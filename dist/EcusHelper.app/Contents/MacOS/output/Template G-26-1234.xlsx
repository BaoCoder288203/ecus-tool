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2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165" fontId="0" fillId="5" borderId="0" pivotButton="0" quotePrefix="0" xfId="0"/>
    <xf numFmtId="0" fontId="0" fillId="0" borderId="12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zoomScaleNormal="100" workbookViewId="0">
      <selection activeCell="D24" sqref="D24"/>
    </sheetView>
  </sheetViews>
  <sheetFormatPr baseColWidth="8" defaultRowHeight="15"/>
  <cols>
    <col width="29.28515625" bestFit="1" customWidth="1" style="20" min="1" max="1"/>
    <col width="11.28515625" customWidth="1" style="22" min="2" max="2"/>
    <col width="16.5703125" customWidth="1" style="22" min="4" max="4"/>
  </cols>
  <sheetData>
    <row r="1"/>
    <row r="2"/>
    <row r="3"/>
    <row r="4"/>
    <row r="5">
      <c r="A5" s="20" t="inlineStr">
        <is>
          <t>Mode of Delivery:</t>
        </is>
      </c>
      <c r="C5" s="21" t="inlineStr">
        <is>
          <t>VDD-FEDEX IE</t>
        </is>
      </c>
    </row>
    <row r="6">
      <c r="A6" s="20" t="inlineStr">
        <is>
          <t>Forwarder/Consolidator:</t>
        </is>
      </c>
      <c r="C6" s="21" t="inlineStr">
        <is>
          <t xml:space="preserve">FEDEX </t>
        </is>
      </c>
    </row>
    <row r="7">
      <c r="A7" s="20" t="inlineStr">
        <is>
          <t>Ship via:</t>
        </is>
      </c>
      <c r="C7" s="21" t="inlineStr">
        <is>
          <t>AIR</t>
        </is>
      </c>
    </row>
    <row r="8">
      <c r="A8" s="20" t="inlineStr">
        <is>
          <t>Container Stuffing Location:</t>
        </is>
      </c>
      <c r="C8" s="21" t="inlineStr">
        <is>
          <t>Door To Door</t>
        </is>
      </c>
    </row>
    <row r="9"/>
    <row r="10"/>
    <row r="11">
      <c r="A11" s="20" t="inlineStr">
        <is>
          <t>Terms of sale:</t>
        </is>
      </c>
      <c r="C11" s="21" t="inlineStr">
        <is>
          <t>FOB Ho Chi Minh City</t>
        </is>
      </c>
    </row>
    <row r="12">
      <c r="A12" s="20" t="inlineStr">
        <is>
          <t>Currency:</t>
        </is>
      </c>
      <c r="C12" s="21" t="inlineStr">
        <is>
          <t>USD</t>
        </is>
      </c>
    </row>
    <row r="13">
      <c r="A13" s="20" t="inlineStr">
        <is>
          <t>Ship to Name:</t>
        </is>
      </c>
      <c r="C13" s="21" t="inlineStr">
        <is>
          <t>Yamato Transport Co. Komaki Logistics Center</t>
        </is>
      </c>
    </row>
    <row r="14"/>
    <row r="15"/>
    <row r="16">
      <c r="A16" s="20" t="inlineStr">
        <is>
          <t>Số lượng kiện</t>
        </is>
      </c>
      <c r="B16" s="21" t="n">
        <v>1</v>
      </c>
      <c r="C16" t="inlineStr">
        <is>
          <t>Số lượng</t>
        </is>
      </c>
      <c r="D16" s="21">
        <f>B16</f>
        <v/>
      </c>
    </row>
    <row r="17">
      <c r="A17" s="20" t="inlineStr">
        <is>
          <t>Đơn vị tính kiện hàng</t>
        </is>
      </c>
      <c r="B17" s="21" t="inlineStr">
        <is>
          <t>BOX</t>
        </is>
      </c>
      <c r="C17" t="inlineStr">
        <is>
          <t>Loại</t>
        </is>
      </c>
      <c r="D17" s="21">
        <f>IF(ISNUMBER(SEARCH("Pallet",B17)),"PP",IF(OR(ISNUMBER(SEARCH("Box",B17)),ISNUMBER(SEARCH("Boxes",B17))),"BX",IF(OR(ISNUMBER(SEARCH("Bundle",B17)),ISNUMBER(SEARCH("Package",B17))),"PK","")))</f>
        <v/>
      </c>
    </row>
    <row r="18">
      <c r="A18" s="20" t="inlineStr">
        <is>
          <t>Tổng trọng lượng hàng (Gross)</t>
        </is>
      </c>
      <c r="B18" s="21" t="n">
        <v>3.5</v>
      </c>
      <c r="C18" t="inlineStr">
        <is>
          <t>KGS</t>
        </is>
      </c>
      <c r="D18" s="21">
        <f>B18</f>
        <v/>
      </c>
    </row>
    <row r="19"/>
    <row r="20"/>
    <row r="21">
      <c r="A21" s="20" t="inlineStr">
        <is>
          <t>Số Invoice</t>
        </is>
      </c>
      <c r="B21" s="21" t="inlineStr">
        <is>
          <t>G-26-1234</t>
        </is>
      </c>
    </row>
    <row r="22">
      <c r="A22" s="20" t="inlineStr">
        <is>
          <t>Ngày Invoice</t>
        </is>
      </c>
      <c r="B22" s="25" t="n">
        <v>46318</v>
      </c>
    </row>
    <row r="23"/>
    <row r="24"/>
    <row r="25">
      <c r="A25" s="20" t="inlineStr">
        <is>
          <t xml:space="preserve">Tổng trị giá Gia công </t>
        </is>
      </c>
      <c r="B25" s="21" t="n">
        <v>82.40000000000001</v>
      </c>
    </row>
    <row r="26">
      <c r="A26" s="20" t="inlineStr">
        <is>
          <t>Tổng trị giá Nguyên vật liệu</t>
        </is>
      </c>
      <c r="B26" s="21">
        <f>B27-B25</f>
        <v/>
      </c>
    </row>
    <row r="27">
      <c r="A27" s="20" t="inlineStr">
        <is>
          <t>Tổng trị giá Hóa đơn</t>
        </is>
      </c>
      <c r="B27" s="21" t="n">
        <v>201.7</v>
      </c>
    </row>
    <row r="28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zoomScale="55" zoomScaleNormal="55" workbookViewId="0">
      <selection activeCell="C26" sqref="C2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22">
      <c r="A1" s="23" t="inlineStr">
        <is>
          <t>Aldila part</t>
        </is>
      </c>
      <c r="B1" s="26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</row>
    <row r="2" ht="37.5" customHeight="1" s="22">
      <c r="A2" s="6" t="inlineStr">
        <is>
          <t>MY038-IS-TA</t>
        </is>
      </c>
      <c r="B2" s="7" t="inlineStr">
        <is>
          <t>12K DIAMANA PUTTER P105S</t>
        </is>
      </c>
      <c r="C2" s="8" t="n">
        <v>10</v>
      </c>
      <c r="D2" s="9" t="n">
        <v>0</v>
      </c>
      <c r="E2" s="8" t="n">
        <v>4.04</v>
      </c>
      <c r="F2" s="8" t="n">
        <v>40.4</v>
      </c>
      <c r="G2" s="10" t="n">
        <v>9.67</v>
      </c>
      <c r="H2" s="11" t="n">
        <v>96.7</v>
      </c>
      <c r="I2" s="12" t="n"/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</row>
    <row r="3" ht="37.5" customHeight="1" s="22">
      <c r="A3" s="6" t="inlineStr">
        <is>
          <t>MY039-IS-TA</t>
        </is>
      </c>
      <c r="B3" s="8" t="inlineStr">
        <is>
          <t>12K DIAMANA PUTTER P120S</t>
        </is>
      </c>
      <c r="C3" s="8" t="n">
        <v>10</v>
      </c>
      <c r="D3" s="8" t="n">
        <v>1</v>
      </c>
      <c r="E3" s="8" t="n">
        <v>4.2</v>
      </c>
      <c r="F3" s="8" t="n">
        <v>42</v>
      </c>
      <c r="G3" s="10" t="n">
        <v>10.5</v>
      </c>
      <c r="H3" s="11" t="n">
        <v>105</v>
      </c>
      <c r="I3" s="12" t="n"/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idden="1" ht="37.5" customHeight="1" s="22">
      <c r="A4" s="6" t="n"/>
      <c r="B4" s="8" t="n"/>
      <c r="C4" s="8" t="n"/>
      <c r="D4" s="8" t="n"/>
      <c r="E4" s="8" t="n"/>
      <c r="F4" s="8" t="n"/>
      <c r="G4" s="10" t="n"/>
      <c r="H4" s="11" t="n"/>
      <c r="I4" s="12" t="n"/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idden="1" ht="37.5" customHeight="1" s="22">
      <c r="A5" s="6" t="n"/>
      <c r="B5" s="8" t="n"/>
      <c r="C5" s="8" t="n"/>
      <c r="D5" s="8" t="n"/>
      <c r="E5" s="8" t="n"/>
      <c r="F5" s="8" t="n"/>
      <c r="G5" s="8" t="n"/>
      <c r="H5" s="11" t="n"/>
      <c r="I5" s="12" t="n"/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idden="1" ht="37.5" customHeight="1" s="22">
      <c r="A6" s="6" t="n"/>
      <c r="B6" s="8" t="n"/>
      <c r="C6" s="8" t="n"/>
      <c r="D6" s="9" t="n"/>
      <c r="E6" s="8" t="n"/>
      <c r="F6" s="8" t="n"/>
      <c r="G6" s="10" t="n"/>
      <c r="H6" s="11" t="n"/>
      <c r="I6" s="12" t="n"/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idden="1" ht="37.5" customHeight="1" s="22">
      <c r="A7" s="6" t="n"/>
      <c r="B7" s="8" t="n"/>
      <c r="C7" s="8" t="n"/>
      <c r="D7" s="8" t="n"/>
      <c r="E7" s="8" t="n"/>
      <c r="F7" s="8" t="n"/>
      <c r="G7" s="8" t="n"/>
      <c r="H7" s="11" t="n"/>
      <c r="I7" s="12" t="n"/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idden="1" ht="37.5" customHeight="1" s="2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idden="1" ht="37.5" customHeight="1" s="2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idden="1" ht="37.5" customHeight="1" s="2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idden="1" ht="37.5" customHeight="1" s="2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idden="1" ht="37.5" customHeight="1" s="2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idden="1" ht="37.5" customHeight="1" s="2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idden="1" ht="37.5" customHeight="1" s="2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idden="1" ht="37.5" customHeight="1" s="2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idden="1" ht="37.5" customHeight="1" s="2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idden="1" ht="37.5" customHeight="1" s="2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idden="1" ht="37.5" customHeight="1" s="2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idden="1" ht="37.5" customHeight="1" s="2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idden="1" ht="37.5" customHeight="1" s="2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idden="1" ht="37.5" customHeight="1" s="2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idden="1" ht="37.5" customHeight="1" s="2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idden="1" ht="37.5" customHeight="1" s="2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idden="1" ht="37.5" customHeight="1" s="2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idden="1" ht="37.5" customHeight="1" s="2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idden="1" ht="37.5" customHeight="1" s="2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idden="1" ht="37.5" customHeight="1" s="2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idden="1" ht="37.5" customHeight="1" s="2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idden="1" ht="37.5" customHeight="1" s="2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idden="1" ht="37.5" customHeight="1" s="2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idden="1" ht="37.5" customHeight="1" s="2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idden="1" ht="37.5" customHeight="1" s="2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idden="1" ht="37.5" customHeight="1" s="2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idden="1" ht="37.5" customHeight="1" s="2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idden="1" ht="37.5" customHeight="1" s="2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idden="1" ht="37.5" customHeight="1" s="2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idden="1" ht="37.5" customHeight="1" s="2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idden="1" ht="37.5" customHeight="1" s="2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idden="1" ht="37.5" customHeight="1" s="2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idden="1" ht="37.5" customHeight="1" s="2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idden="1" ht="37.5" customHeight="1" s="2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idden="1" ht="37.5" customHeight="1" s="2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idden="1" ht="37.5" customHeight="1" s="2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idden="1" ht="37.5" customHeight="1" s="2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idden="1" ht="37.5" customHeight="1" s="2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idden="1" ht="37.5" customHeight="1" s="2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idden="1" ht="37.5" customHeight="1" s="2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idden="1" ht="37.5" customHeight="1" s="2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idden="1" ht="37.5" customHeight="1" s="2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idden="1" ht="37.5" customHeight="1" s="2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idden="1" ht="37.5" customHeight="1" s="2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idden="1" ht="37.5" customHeight="1" s="2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idden="1" ht="37.5" customHeight="1" s="2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idden="1" ht="37.5" customHeight="1" s="2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idden="1" ht="37.5" customHeight="1" s="2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idden="1" ht="37.5" customHeight="1" s="2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idden="1" ht="37.5" customHeight="1" s="2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idden="1" ht="37.5" customHeight="1" s="2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idden="1" ht="37.5" customHeight="1" s="2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idden="1" ht="37.5" customHeight="1" s="2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idden="1" ht="37.5" customHeight="1" s="2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idden="1" ht="37.5" customHeight="1" s="2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idden="1" ht="37.5" customHeight="1" s="2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idden="1" ht="37.5" customHeight="1" s="2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idden="1" ht="37.5" customHeight="1" s="2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idden="1" ht="37.5" customHeight="1" s="2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idden="1" ht="37.5" customHeight="1" s="2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idden="1" ht="37.5" customHeight="1" s="2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idden="1" ht="37.5" customHeight="1" s="2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idden="1" ht="37.5" customHeight="1" s="2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idden="1" ht="37.5" customHeight="1" s="2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idden="1" ht="37.5" customHeight="1" s="2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idden="1" ht="37.5" customHeight="1" s="2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idden="1" ht="37.5" customHeight="1" s="2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idden="1" ht="37.5" customHeight="1" s="2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idden="1" ht="37.5" customHeight="1" s="2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idden="1" ht="37.5" customHeight="1" s="2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idden="1" ht="37.5" customHeight="1" s="2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idden="1" ht="37.5" customHeight="1" s="2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idden="1" ht="37.5" customHeight="1" s="2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idden="1" ht="37.5" customHeight="1" s="2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idden="1" ht="37.5" customHeight="1" s="2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idden="1" ht="37.5" customHeight="1" s="2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idden="1" ht="37.5" customHeight="1" s="2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idden="1" ht="37.5" customHeight="1" s="2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idden="1" ht="37.5" customHeight="1" s="2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idden="1" ht="37.5" customHeight="1" s="2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idden="1" ht="37.5" customHeight="1" s="2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idden="1" ht="37.5" customHeight="1" s="2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idden="1" ht="37.5" customHeight="1" s="2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idden="1" ht="37.5" customHeight="1" s="2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idden="1" ht="37.5" customHeight="1" s="2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idden="1" ht="37.5" customHeight="1" s="2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idden="1" ht="37.5" customHeight="1" s="2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idden="1" ht="37.5" customHeight="1" s="2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idden="1" ht="37.5" customHeight="1" s="2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idden="1" ht="37.5" customHeight="1" s="2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idden="1" ht="37.5" customHeight="1" s="2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idden="1" ht="37.5" customHeight="1" s="2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idden="1" ht="37.5" customHeight="1" s="2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idden="1" ht="37.5" customHeight="1" s="2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idden="1" ht="37.5" customHeight="1" s="2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idden="1" ht="37.5" customHeight="1" s="2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idden="1" ht="37.5" customHeight="1" s="2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idden="1" ht="37.5" customHeight="1" s="2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idden="1" ht="37.5" customHeight="1" s="2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idden="1" ht="37.5" customHeight="1" s="2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idden="1" ht="37.5" customHeight="1" s="2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idden="1" ht="37.5" customHeight="1" s="2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idden="1" ht="37.5" customHeight="1" s="2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idden="1" ht="37.5" customHeight="1" s="2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idden="1" ht="37.5" customHeight="1" s="2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idden="1" ht="37.5" customHeight="1" s="2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6" sqref="D16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2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2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t="55.5" customHeight="1" s="2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idden="1" ht="55.5" customHeight="1" s="2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idden="1" ht="55.5" customHeight="1" s="2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idden="1" ht="55.5" customHeight="1" s="2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idden="1" ht="55.5" customHeight="1" s="2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idden="1" ht="55.5" customHeight="1" s="2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idden="1" ht="55.5" customHeight="1" s="2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idden="1" ht="55.5" customHeight="1" s="2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idden="1" ht="55.5" customHeight="1" s="2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idden="1" ht="55.5" customHeight="1" s="2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idden="1" ht="55.5" customHeight="1" s="2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idden="1" ht="55.5" customHeight="1" s="2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idden="1" ht="55.5" customHeight="1" s="2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idden="1" ht="55.5" customHeight="1" s="2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idden="1" ht="55.5" customHeight="1" s="2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idden="1" ht="55.5" customHeight="1" s="2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idden="1" ht="55.5" customHeight="1" s="2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idden="1" ht="55.5" customHeight="1" s="2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idden="1" ht="55.5" customHeight="1" s="2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idden="1" ht="55.5" customHeight="1" s="2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idden="1" ht="55.5" customHeight="1" s="2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idden="1" ht="55.5" customHeight="1" s="2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idden="1" ht="55.5" customHeight="1" s="2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idden="1" ht="55.5" customHeight="1" s="2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idden="1" ht="55.5" customHeight="1" s="2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idden="1" ht="55.5" customHeight="1" s="2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idden="1" ht="55.5" customHeight="1" s="2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idden="1" ht="55.5" customHeight="1" s="2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idden="1" ht="55.5" customHeight="1" s="2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idden="1" ht="55.5" customHeight="1" s="2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idden="1" ht="55.5" customHeight="1" s="2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idden="1" ht="55.5" customHeight="1" s="2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idden="1" ht="55.5" customHeight="1" s="2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idden="1" ht="55.5" customHeight="1" s="2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idden="1" ht="55.5" customHeight="1" s="2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idden="1" ht="55.5" customHeight="1" s="2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idden="1" ht="55.5" customHeight="1" s="2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idden="1" ht="55.5" customHeight="1" s="2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idden="1" ht="55.5" customHeight="1" s="2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idden="1" ht="55.5" customHeight="1" s="2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idden="1" ht="55.5" customHeight="1" s="2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idden="1" ht="55.5" customHeight="1" s="2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idden="1" ht="55.5" customHeight="1" s="2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idden="1" ht="55.5" customHeight="1" s="2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idden="1" ht="55.5" customHeight="1" s="2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idden="1" ht="55.5" customHeight="1" s="2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idden="1" ht="55.5" customHeight="1" s="2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idden="1" ht="55.5" customHeight="1" s="2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idden="1" ht="55.5" customHeight="1" s="2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idden="1" ht="55.5" customHeight="1" s="2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idden="1" ht="55.5" customHeight="1" s="2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idden="1" ht="55.5" customHeight="1" s="2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idden="1" ht="55.5" customHeight="1" s="2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idden="1" ht="55.5" customHeight="1" s="2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idden="1" ht="55.5" customHeight="1" s="2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idden="1" ht="55.5" customHeight="1" s="2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idden="1" ht="55.5" customHeight="1" s="2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idden="1" ht="55.5" customHeight="1" s="2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idden="1" ht="55.5" customHeight="1" s="2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idden="1" ht="55.5" customHeight="1" s="2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idden="1" ht="55.5" customHeight="1" s="2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idden="1" ht="55.5" customHeight="1" s="2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idden="1" ht="55.5" customHeight="1" s="2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idden="1" ht="55.5" customHeight="1" s="2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idden="1" ht="55.5" customHeight="1" s="2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idden="1" ht="55.5" customHeight="1" s="2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idden="1" ht="55.5" customHeight="1" s="2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idden="1" s="2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idden="1" s="2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idden="1" s="2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idden="1" s="2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idden="1" s="2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idden="1" s="2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idden="1" s="2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idden="1" s="2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idden="1" s="2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idden="1" s="2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idden="1" s="2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idden="1" s="2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idden="1" s="2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idden="1" s="2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idden="1" s="2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idden="1" s="2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idden="1" s="2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idden="1" s="2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idden="1" s="2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idden="1" s="2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idden="1" s="2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idden="1" s="2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idden="1" s="2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idden="1" s="2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idden="1" s="2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idden="1" s="2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idden="1" s="2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idden="1" s="2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idden="1" s="2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idden="1" s="2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idden="1" s="2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Achilles.vnsgn / Bee Logistics</dc:creator>
  <dcterms:created xsi:type="dcterms:W3CDTF">2026-10-20T02:28:43Z</dcterms:created>
  <dcterms:modified xsi:type="dcterms:W3CDTF">2026-10-26T14:36:35Z</dcterms:modified>
  <cp:lastModifiedBy>Achilles.vnsgn / Bee Logistics</cp:lastModifiedBy>
</cp:coreProperties>
</file>