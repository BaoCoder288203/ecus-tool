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27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165" fontId="0" fillId="5" borderId="0" pivotButton="0" quotePrefix="0" xfId="0"/>
    <xf numFmtId="0" fontId="0" fillId="0" borderId="12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zoomScaleNormal="100" workbookViewId="0">
      <selection activeCell="D24" sqref="D24"/>
    </sheetView>
  </sheetViews>
  <sheetFormatPr baseColWidth="8" defaultRowHeight="15"/>
  <cols>
    <col width="29.28515625" bestFit="1" customWidth="1" style="20" min="1" max="1"/>
    <col width="11.28515625" customWidth="1" style="22" min="2" max="2"/>
    <col width="16.5703125" customWidth="1" style="22" min="4" max="4"/>
  </cols>
  <sheetData>
    <row r="1"/>
    <row r="2"/>
    <row r="3"/>
    <row r="4"/>
    <row r="5">
      <c r="A5" s="20" t="inlineStr">
        <is>
          <t>Mode of Delivery:</t>
        </is>
      </c>
      <c r="C5" s="21" t="inlineStr">
        <is>
          <t>VDD-DHL</t>
        </is>
      </c>
    </row>
    <row r="6">
      <c r="A6" s="20" t="inlineStr">
        <is>
          <t>Forwarder/Consolidator:</t>
        </is>
      </c>
      <c r="C6" s="21" t="inlineStr">
        <is>
          <t>DHL</t>
        </is>
      </c>
    </row>
    <row r="7">
      <c r="A7" s="20" t="inlineStr">
        <is>
          <t>Ship via:</t>
        </is>
      </c>
      <c r="C7" s="21" t="inlineStr">
        <is>
          <t>AIR</t>
        </is>
      </c>
    </row>
    <row r="8">
      <c r="A8" s="20" t="inlineStr">
        <is>
          <t>Container Stuffing Location:</t>
        </is>
      </c>
      <c r="C8" s="21" t="inlineStr">
        <is>
          <t>Door To Door</t>
        </is>
      </c>
    </row>
    <row r="9"/>
    <row r="10"/>
    <row r="11">
      <c r="A11" s="20" t="inlineStr">
        <is>
          <t>Terms of sale:</t>
        </is>
      </c>
      <c r="C11" s="21" t="inlineStr">
        <is>
          <t>FOB Ho Chi Minh City</t>
        </is>
      </c>
    </row>
    <row r="12">
      <c r="A12" s="20" t="inlineStr">
        <is>
          <t>Currency:</t>
        </is>
      </c>
      <c r="C12" s="21" t="inlineStr">
        <is>
          <t>USD</t>
        </is>
      </c>
    </row>
    <row r="13">
      <c r="A13" s="20" t="inlineStr">
        <is>
          <t>Ship to Name:</t>
        </is>
      </c>
      <c r="C13" s="21" t="inlineStr">
        <is>
          <t>TJA_CUS</t>
        </is>
      </c>
    </row>
    <row r="14"/>
    <row r="15"/>
    <row r="16">
      <c r="A16" s="20" t="inlineStr">
        <is>
          <t>Số lượng kiện</t>
        </is>
      </c>
      <c r="B16" s="21" t="n">
        <v>14</v>
      </c>
      <c r="C16" t="inlineStr">
        <is>
          <t>Số lượng</t>
        </is>
      </c>
      <c r="D16" s="21">
        <f>B16</f>
        <v/>
      </c>
    </row>
    <row r="17">
      <c r="A17" s="20" t="inlineStr">
        <is>
          <t>Đơn vị tính kiện hàng</t>
        </is>
      </c>
      <c r="B17" s="21" t="inlineStr">
        <is>
          <t>BOX</t>
        </is>
      </c>
      <c r="C17" t="inlineStr">
        <is>
          <t>Loại</t>
        </is>
      </c>
      <c r="D17" s="21">
        <f>IF(ISNUMBER(SEARCH("Pallet",B17)),"PP",IF(OR(ISNUMBER(SEARCH("Box",B17)),ISNUMBER(SEARCH("Boxes",B17))),"BX",IF(OR(ISNUMBER(SEARCH("Bundle",B17)),ISNUMBER(SEARCH("Package",B17))),"PK","")))</f>
        <v/>
      </c>
    </row>
    <row r="18">
      <c r="A18" s="20" t="inlineStr">
        <is>
          <t>Tổng trọng lượng hàng (Gross)</t>
        </is>
      </c>
      <c r="B18" s="21" t="n">
        <v>64.5</v>
      </c>
      <c r="C18" t="inlineStr">
        <is>
          <t>KGS</t>
        </is>
      </c>
      <c r="D18" s="21">
        <f>B18</f>
        <v/>
      </c>
    </row>
    <row r="19"/>
    <row r="20"/>
    <row r="21">
      <c r="A21" s="20" t="inlineStr">
        <is>
          <t>Số Invoice</t>
        </is>
      </c>
      <c r="B21" s="21" t="inlineStr">
        <is>
          <t>G-26-1204</t>
        </is>
      </c>
    </row>
    <row r="22">
      <c r="A22" s="20" t="inlineStr">
        <is>
          <t>Ngày Invoice</t>
        </is>
      </c>
      <c r="B22" s="25" t="n">
        <v>46318</v>
      </c>
    </row>
    <row r="23"/>
    <row r="24"/>
    <row r="25">
      <c r="A25" s="20" t="inlineStr">
        <is>
          <t xml:space="preserve">Tổng trị giá Gia công </t>
        </is>
      </c>
      <c r="B25" s="21" t="n">
        <v>2616.12</v>
      </c>
    </row>
    <row r="26">
      <c r="A26" s="20" t="inlineStr">
        <is>
          <t>Tổng trị giá Nguyên vật liệu</t>
        </is>
      </c>
      <c r="B26" s="21">
        <f>B27-B25</f>
        <v/>
      </c>
    </row>
    <row r="27">
      <c r="A27" s="20" t="inlineStr">
        <is>
          <t>Tổng trị giá Hóa đơn</t>
        </is>
      </c>
      <c r="B27" s="21" t="n">
        <v>6591.000000000001</v>
      </c>
    </row>
    <row r="28"/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zoomScale="55" zoomScaleNormal="55" workbookViewId="0">
      <selection activeCell="C26" sqref="C26"/>
    </sheetView>
  </sheetViews>
  <sheetFormatPr baseColWidth="8" defaultRowHeight="15"/>
  <cols>
    <col width="25.5703125" customWidth="1" style="15" min="1" max="1"/>
    <col width="21.7109375" customWidth="1" style="4" min="2" max="2"/>
    <col width="66" bestFit="1" customWidth="1" style="4" min="3" max="3"/>
    <col width="6.42578125" bestFit="1" customWidth="1" style="4" min="4" max="4"/>
    <col width="8.5703125" bestFit="1" customWidth="1" style="4" min="5" max="5"/>
    <col width="6.28515625" bestFit="1" customWidth="1" style="4" min="6" max="6"/>
    <col width="10.5703125" bestFit="1" customWidth="1" style="4" min="7" max="7"/>
    <col width="7.42578125" bestFit="1" customWidth="1" style="4" min="8" max="8"/>
    <col width="12.42578125" bestFit="1" customWidth="1" style="16" min="9" max="9"/>
    <col width="88" customWidth="1" style="4" min="10" max="10"/>
    <col hidden="1" width="51.42578125" customWidth="1" style="4" min="11" max="11"/>
    <col hidden="1" style="4" min="12" max="15"/>
    <col hidden="1" width="13.140625" customWidth="1" style="4" min="16" max="16"/>
    <col hidden="1" width="10.5703125" customWidth="1" style="4" min="17" max="17"/>
    <col hidden="1" width="54.7109375" customWidth="1" style="4" min="18" max="18"/>
    <col hidden="1" width="3.85546875" customWidth="1" style="4" min="19" max="19"/>
    <col width="9.140625" customWidth="1" style="4" min="20" max="21"/>
    <col width="11" customWidth="1" style="4" min="22" max="22"/>
    <col width="9.140625" customWidth="1" style="4" min="23" max="16384"/>
  </cols>
  <sheetData>
    <row r="1" ht="45" customHeight="1" s="22">
      <c r="A1" s="23" t="inlineStr">
        <is>
          <t>Aldila part</t>
        </is>
      </c>
      <c r="B1" s="26" t="n"/>
      <c r="C1" s="1" t="inlineStr">
        <is>
          <t>Descriptions of goods</t>
        </is>
      </c>
      <c r="D1" s="1" t="inlineStr">
        <is>
          <t>PCS</t>
        </is>
      </c>
      <c r="E1" s="1" t="inlineStr">
        <is>
          <t>BOXES</t>
        </is>
      </c>
      <c r="F1" s="1" t="inlineStr">
        <is>
          <t>Unit</t>
        </is>
      </c>
      <c r="G1" s="1" t="inlineStr">
        <is>
          <t>Extension</t>
        </is>
      </c>
      <c r="H1" s="2" t="inlineStr">
        <is>
          <t>Unit</t>
        </is>
      </c>
      <c r="I1" s="3">
        <f>+SUM(I2:I379)</f>
        <v/>
      </c>
      <c r="L1" s="4" t="inlineStr">
        <is>
          <t>SL</t>
        </is>
      </c>
      <c r="P1" s="18">
        <f>+SUM(P2:P2)</f>
        <v/>
      </c>
      <c r="Q1" s="18">
        <f>+SUM(Q2:Q2)</f>
        <v/>
      </c>
      <c r="R1" s="4" t="inlineStr">
        <is>
          <t xml:space="preserve">Thân gậy đánh gôn làm từ tấm Prepreg tổng hợp kích thước </t>
        </is>
      </c>
      <c r="U1" s="4" t="inlineStr">
        <is>
          <t>/</t>
        </is>
      </c>
      <c r="V1" s="4" t="inlineStr">
        <is>
          <t>/ hiệu</t>
        </is>
      </c>
      <c r="W1" s="4" t="inlineStr">
        <is>
          <t>, hàng mới 100%</t>
        </is>
      </c>
    </row>
    <row r="2" ht="37.5" customHeight="1" s="22">
      <c r="A2" s="6" t="inlineStr">
        <is>
          <t>GOLF SHAFT-SF</t>
        </is>
      </c>
      <c r="B2" s="7" t="inlineStr">
        <is>
          <t>SF352-WX-1A</t>
        </is>
      </c>
      <c r="C2" s="8" t="inlineStr">
        <is>
          <t>M6118401 /SHM-REAX LR 70 X</t>
        </is>
      </c>
      <c r="D2" s="9" t="n">
        <v>143</v>
      </c>
      <c r="E2" s="8" t="n">
        <v>3</v>
      </c>
      <c r="F2" s="8" t="n">
        <v>3.87</v>
      </c>
      <c r="G2" s="10" t="n">
        <v>553.41</v>
      </c>
      <c r="H2" s="11" t="n">
        <v>10.57</v>
      </c>
      <c r="I2" s="12" t="n">
        <v>1511.51</v>
      </c>
      <c r="J2" s="4">
        <f>+$R$1&amp;""&amp;T2&amp;""&amp;U2&amp;" "&amp;$V$1&amp;" "&amp;V2&amp;" / "&amp;B2&amp;" "&amp;$U$1&amp;" "&amp;C2&amp;""&amp;$W$1</f>
        <v/>
      </c>
      <c r="P2" s="18" t="n"/>
      <c r="Q2" s="18" t="n"/>
      <c r="R2" s="18" t="n"/>
      <c r="S2" s="13" t="n"/>
      <c r="T2" s="4">
        <f>+INDEX([1]GOLF!$E$2:$E$1990,MATCH(B2,[1]GOLF!$C$2:$C$1990,0))</f>
        <v/>
      </c>
      <c r="U2" s="4" t="inlineStr">
        <is>
          <t>mm</t>
        </is>
      </c>
      <c r="V2" s="4">
        <f>+INDEX([1]GOLF!$G:$G,MATCH(B2,[1]GOLF!$C:$C,0))</f>
        <v/>
      </c>
      <c r="X2" s="4">
        <f>+VLOOKUP(B2,[1]GOLF!$C:$G,3,0)</f>
        <v/>
      </c>
      <c r="Y2" s="4">
        <f>+X2=T2</f>
        <v/>
      </c>
    </row>
    <row r="3" ht="37.5" customHeight="1" s="22">
      <c r="A3" s="6" t="inlineStr">
        <is>
          <t>GOLF SHAFT-SF</t>
        </is>
      </c>
      <c r="B3" s="8" t="inlineStr">
        <is>
          <t>SF353-WS-1A</t>
        </is>
      </c>
      <c r="C3" s="8" t="inlineStr">
        <is>
          <t>M6118801 /SHM-REAX MR 70 S</t>
        </is>
      </c>
      <c r="D3" s="8" t="n">
        <v>533</v>
      </c>
      <c r="E3" s="8" t="n">
        <v>11</v>
      </c>
      <c r="F3" s="8" t="n">
        <v>3.87</v>
      </c>
      <c r="G3" s="10" t="n">
        <v>2062.71</v>
      </c>
      <c r="H3" s="11" t="n">
        <v>9.530000000000001</v>
      </c>
      <c r="I3" s="12" t="n">
        <v>5079.490000000001</v>
      </c>
      <c r="J3" s="4">
        <f>+$R$1&amp;""&amp;T3&amp;""&amp;U3&amp;" "&amp;$V$1&amp;" "&amp;V3&amp;" / "&amp;B3&amp;" "&amp;$U$1&amp;" "&amp;C3&amp;""&amp;$W$1</f>
        <v/>
      </c>
      <c r="T3" s="4">
        <f>+INDEX([1]GOLF!$E$2:$E$1990,MATCH(B3,[1]GOLF!$C$2:$C$1990,0))</f>
        <v/>
      </c>
      <c r="U3" s="4" t="inlineStr">
        <is>
          <t>mm</t>
        </is>
      </c>
      <c r="V3" s="4">
        <f>+INDEX([1]GOLF!$G:$G,MATCH(B3,[1]GOLF!$C:$C,0))</f>
        <v/>
      </c>
      <c r="X3" s="4">
        <f>+VLOOKUP(B3,[1]GOLF!$C:$G,3,0)</f>
        <v/>
      </c>
      <c r="Y3" s="4">
        <f>+X3=T3</f>
        <v/>
      </c>
    </row>
    <row r="4" hidden="1" ht="37.5" customHeight="1" s="22">
      <c r="A4" s="6" t="n"/>
      <c r="B4" s="8" t="n"/>
      <c r="C4" s="8" t="n"/>
      <c r="D4" s="8" t="n"/>
      <c r="E4" s="8" t="n"/>
      <c r="F4" s="8" t="n"/>
      <c r="G4" s="10" t="n"/>
      <c r="H4" s="11" t="n"/>
      <c r="I4" s="12" t="n"/>
      <c r="J4" s="4">
        <f>+$R$1&amp;""&amp;T4&amp;""&amp;U4&amp;" "&amp;$V$1&amp;" "&amp;V4&amp;" / "&amp;B4&amp;" "&amp;$U$1&amp;" "&amp;C4&amp;""&amp;$W$1</f>
        <v/>
      </c>
      <c r="T4" s="4">
        <f>+INDEX([1]GOLF!$E$2:$E$1990,MATCH(B4,[1]GOLF!$C$2:$C$1990,0))</f>
        <v/>
      </c>
      <c r="U4" s="4" t="inlineStr">
        <is>
          <t>mm</t>
        </is>
      </c>
      <c r="V4" s="4">
        <f>+INDEX([1]GOLF!$G:$G,MATCH(B4,[1]GOLF!$C:$C,0))</f>
        <v/>
      </c>
      <c r="X4" s="4">
        <f>+VLOOKUP(B4,[1]GOLF!$C:$G,3,0)</f>
        <v/>
      </c>
      <c r="Y4" s="4">
        <f>+X4=T4</f>
        <v/>
      </c>
    </row>
    <row r="5" hidden="1" ht="37.5" customHeight="1" s="22">
      <c r="A5" s="6" t="n"/>
      <c r="B5" s="8" t="n"/>
      <c r="C5" s="8" t="n"/>
      <c r="D5" s="8" t="n"/>
      <c r="E5" s="8" t="n"/>
      <c r="F5" s="8" t="n"/>
      <c r="G5" s="8" t="n"/>
      <c r="H5" s="11" t="n"/>
      <c r="I5" s="12" t="n"/>
      <c r="J5" s="4">
        <f>+$R$1&amp;""&amp;T5&amp;""&amp;U5&amp;" "&amp;$V$1&amp;" "&amp;V5&amp;" / "&amp;B5&amp;" "&amp;$U$1&amp;" "&amp;C5&amp;""&amp;$W$1</f>
        <v/>
      </c>
      <c r="T5" s="4">
        <f>+INDEX([1]GOLF!$E$2:$E$1990,MATCH(B5,[1]GOLF!$C$2:$C$1990,0))</f>
        <v/>
      </c>
      <c r="U5" s="4" t="inlineStr">
        <is>
          <t>mm</t>
        </is>
      </c>
      <c r="V5" s="4">
        <f>+INDEX([1]GOLF!$G:$G,MATCH(B5,[1]GOLF!$C:$C,0))</f>
        <v/>
      </c>
      <c r="X5" s="4">
        <f>+VLOOKUP(B5,[1]GOLF!$C:$G,3,0)</f>
        <v/>
      </c>
      <c r="Y5" s="4">
        <f>+X5=T5</f>
        <v/>
      </c>
    </row>
    <row r="6" hidden="1" ht="37.5" customHeight="1" s="22">
      <c r="A6" s="6" t="n"/>
      <c r="B6" s="8" t="n"/>
      <c r="C6" s="8" t="n"/>
      <c r="D6" s="9" t="n"/>
      <c r="E6" s="8" t="n"/>
      <c r="F6" s="8" t="n"/>
      <c r="G6" s="10" t="n"/>
      <c r="H6" s="11" t="n"/>
      <c r="I6" s="12" t="n"/>
      <c r="J6" s="4">
        <f>+$R$1&amp;""&amp;T6&amp;""&amp;U6&amp;" "&amp;$V$1&amp;" "&amp;V6&amp;" / "&amp;B6&amp;" "&amp;$U$1&amp;" "&amp;C6&amp;""&amp;$W$1</f>
        <v/>
      </c>
      <c r="T6" s="4">
        <f>+INDEX([1]GOLF!$E$2:$E$1990,MATCH(B6,[1]GOLF!$C$2:$C$1990,0))</f>
        <v/>
      </c>
      <c r="U6" s="4" t="inlineStr">
        <is>
          <t>mm</t>
        </is>
      </c>
      <c r="V6" s="4">
        <f>+INDEX([1]GOLF!$G:$G,MATCH(B6,[1]GOLF!$C:$C,0))</f>
        <v/>
      </c>
      <c r="X6" s="4">
        <f>+VLOOKUP(B6,[1]GOLF!$C:$G,3,0)</f>
        <v/>
      </c>
      <c r="Y6" s="4">
        <f>+X6=T6</f>
        <v/>
      </c>
    </row>
    <row r="7" hidden="1" ht="37.5" customHeight="1" s="22">
      <c r="A7" s="6" t="n"/>
      <c r="B7" s="8" t="n"/>
      <c r="C7" s="8" t="n"/>
      <c r="D7" s="8" t="n"/>
      <c r="E7" s="8" t="n"/>
      <c r="F7" s="8" t="n"/>
      <c r="G7" s="8" t="n"/>
      <c r="H7" s="11" t="n"/>
      <c r="I7" s="12" t="n"/>
      <c r="J7" s="4">
        <f>+$R$1&amp;""&amp;T7&amp;""&amp;U7&amp;" "&amp;$V$1&amp;" "&amp;V7&amp;" / "&amp;B7&amp;" "&amp;$U$1&amp;" "&amp;C7&amp;""&amp;$W$1</f>
        <v/>
      </c>
      <c r="T7" s="4">
        <f>+INDEX([1]GOLF!$E$2:$E$1990,MATCH(B7,[1]GOLF!$C$2:$C$1990,0))</f>
        <v/>
      </c>
      <c r="U7" s="4" t="inlineStr">
        <is>
          <t>mm</t>
        </is>
      </c>
      <c r="V7" s="4">
        <f>+INDEX([1]GOLF!$G:$G,MATCH(B7,[1]GOLF!$C:$C,0))</f>
        <v/>
      </c>
      <c r="X7" s="4">
        <f>+VLOOKUP(B7,[1]GOLF!$C:$G,3,0)</f>
        <v/>
      </c>
      <c r="Y7" s="4">
        <f>+X7=T7</f>
        <v/>
      </c>
    </row>
    <row r="8" hidden="1" ht="37.5" customHeight="1" s="22">
      <c r="A8" s="6" t="n"/>
      <c r="B8" s="8" t="n"/>
      <c r="C8" s="8" t="n"/>
      <c r="D8" s="8" t="n"/>
      <c r="E8" s="8" t="n"/>
      <c r="F8" s="8" t="n"/>
      <c r="G8" s="8" t="n"/>
      <c r="H8" s="11" t="n"/>
      <c r="I8" s="12" t="n"/>
      <c r="J8" s="4">
        <f>+$R$1&amp;""&amp;T8&amp;""&amp;U8&amp;" "&amp;$V$1&amp;" "&amp;V8&amp;" / "&amp;B8&amp;" "&amp;$U$1&amp;" "&amp;C8&amp;""&amp;$W$1</f>
        <v/>
      </c>
      <c r="T8" s="4">
        <f>+INDEX([1]GOLF!$E$2:$E$1990,MATCH(B8,[1]GOLF!$C$2:$C$1990,0))</f>
        <v/>
      </c>
      <c r="U8" s="4" t="inlineStr">
        <is>
          <t>mm</t>
        </is>
      </c>
      <c r="V8" s="4">
        <f>+INDEX([1]GOLF!$G:$G,MATCH(B8,[1]GOLF!$C:$C,0))</f>
        <v/>
      </c>
      <c r="X8" s="4">
        <f>+VLOOKUP(B8,[1]GOLF!$C:$G,3,0)</f>
        <v/>
      </c>
      <c r="Y8" s="4">
        <f>+X8=T8</f>
        <v/>
      </c>
    </row>
    <row r="9" hidden="1" ht="37.5" customHeight="1" s="22">
      <c r="A9" s="6" t="n"/>
      <c r="B9" s="8" t="n"/>
      <c r="C9" s="8" t="n"/>
      <c r="D9" s="8" t="n"/>
      <c r="E9" s="8" t="n"/>
      <c r="F9" s="8" t="n"/>
      <c r="G9" s="8" t="n"/>
      <c r="H9" s="11" t="n"/>
      <c r="I9" s="14" t="n"/>
      <c r="J9" s="4">
        <f>+$R$1&amp;""&amp;T9&amp;""&amp;U9&amp;" "&amp;$V$1&amp;" "&amp;V9&amp;" / "&amp;B9&amp;" "&amp;$U$1&amp;" "&amp;C9&amp;""&amp;$W$1</f>
        <v/>
      </c>
      <c r="T9" s="4">
        <f>+INDEX([1]GOLF!$E$2:$E$1990,MATCH(B9,[1]GOLF!$C$2:$C$1990,0))</f>
        <v/>
      </c>
      <c r="U9" s="4" t="inlineStr">
        <is>
          <t>mm</t>
        </is>
      </c>
      <c r="V9" s="4">
        <f>+INDEX([1]GOLF!$G:$G,MATCH(B9,[1]GOLF!$C:$C,0))</f>
        <v/>
      </c>
      <c r="X9" s="4">
        <f>+VLOOKUP(B9,[1]GOLF!$C:$G,3,0)</f>
        <v/>
      </c>
      <c r="Y9" s="4">
        <f>+X9=T9</f>
        <v/>
      </c>
    </row>
    <row r="10" hidden="1" ht="37.5" customHeight="1" s="22">
      <c r="A10" s="6" t="n"/>
      <c r="B10" s="8" t="n"/>
      <c r="C10" s="8" t="n"/>
      <c r="D10" s="8" t="n"/>
      <c r="E10" s="8" t="n"/>
      <c r="F10" s="8" t="n"/>
      <c r="G10" s="10" t="n"/>
      <c r="H10" s="11" t="n"/>
      <c r="I10" s="12" t="n"/>
      <c r="J10" s="4">
        <f>+$R$1&amp;""&amp;T10&amp;""&amp;U10&amp;" "&amp;$V$1&amp;" "&amp;V10&amp;" / "&amp;B10&amp;" "&amp;$U$1&amp;" "&amp;C10&amp;""&amp;$W$1</f>
        <v/>
      </c>
      <c r="T10" s="4">
        <f>+INDEX([1]GOLF!$E$2:$E$1990,MATCH(B10,[1]GOLF!$C$2:$C$1990,0))</f>
        <v/>
      </c>
      <c r="U10" s="4" t="inlineStr">
        <is>
          <t>mm</t>
        </is>
      </c>
      <c r="V10" s="4">
        <f>+INDEX([1]GOLF!$G:$G,MATCH(B10,[1]GOLF!$C:$C,0))</f>
        <v/>
      </c>
      <c r="X10" s="4">
        <f>+VLOOKUP(B10,[1]GOLF!$C:$G,3,0)</f>
        <v/>
      </c>
      <c r="Y10" s="4">
        <f>+X10=T10</f>
        <v/>
      </c>
    </row>
    <row r="11" hidden="1" ht="37.5" customHeight="1" s="22">
      <c r="A11" s="6" t="n"/>
      <c r="B11" s="8" t="n"/>
      <c r="C11" s="8" t="n"/>
      <c r="D11" s="8" t="n"/>
      <c r="E11" s="8" t="n"/>
      <c r="F11" s="8" t="n"/>
      <c r="G11" s="8" t="n"/>
      <c r="H11" s="11" t="n"/>
      <c r="I11" s="12" t="n"/>
      <c r="J11" s="4">
        <f>+$R$1&amp;""&amp;T11&amp;""&amp;U11&amp;" "&amp;$V$1&amp;" "&amp;V11&amp;" / "&amp;B11&amp;" "&amp;$U$1&amp;" "&amp;C11&amp;""&amp;$W$1</f>
        <v/>
      </c>
      <c r="T11" s="4">
        <f>+INDEX([1]GOLF!$E$2:$E$1990,MATCH(B11,[1]GOLF!$C$2:$C$1990,0))</f>
        <v/>
      </c>
      <c r="U11" s="4" t="inlineStr">
        <is>
          <t>mm</t>
        </is>
      </c>
      <c r="V11" s="4">
        <f>+INDEX([1]GOLF!$G:$G,MATCH(B11,[1]GOLF!$C:$C,0))</f>
        <v/>
      </c>
      <c r="X11" s="4">
        <f>+VLOOKUP(B11,[1]GOLF!$C:$G,3,0)</f>
        <v/>
      </c>
      <c r="Y11" s="4">
        <f>+X11=T11</f>
        <v/>
      </c>
    </row>
    <row r="12" hidden="1" ht="37.5" customHeight="1" s="22">
      <c r="A12" s="6" t="n"/>
      <c r="B12" s="8" t="n"/>
      <c r="C12" s="8" t="n"/>
      <c r="D12" s="8" t="n"/>
      <c r="E12" s="8" t="n"/>
      <c r="F12" s="8" t="n"/>
      <c r="G12" s="8" t="n"/>
      <c r="H12" s="11" t="n"/>
      <c r="I12" s="14" t="n"/>
      <c r="J12" s="4">
        <f>+$R$1&amp;""&amp;T12&amp;""&amp;U12&amp;" "&amp;$V$1&amp;" "&amp;V12&amp;" / "&amp;B12&amp;" "&amp;$U$1&amp;" "&amp;C12&amp;""&amp;$W$1</f>
        <v/>
      </c>
      <c r="T12" s="4">
        <f>+INDEX([1]GOLF!$E$2:$E$1990,MATCH(B12,[1]GOLF!$C$2:$C$1990,0))</f>
        <v/>
      </c>
      <c r="U12" s="4" t="inlineStr">
        <is>
          <t>mm</t>
        </is>
      </c>
      <c r="V12" s="4">
        <f>+INDEX([1]GOLF!$G:$G,MATCH(B12,[1]GOLF!$C:$C,0))</f>
        <v/>
      </c>
      <c r="X12" s="4">
        <f>+VLOOKUP(B12,[1]GOLF!$C:$G,3,0)</f>
        <v/>
      </c>
      <c r="Y12" s="4">
        <f>+X12=T12</f>
        <v/>
      </c>
    </row>
    <row r="13" hidden="1" ht="37.5" customHeight="1" s="22">
      <c r="A13" s="6" t="n"/>
      <c r="B13" s="8" t="n"/>
      <c r="C13" s="8" t="n"/>
      <c r="D13" s="8" t="n"/>
      <c r="E13" s="8" t="n"/>
      <c r="F13" s="8" t="n"/>
      <c r="G13" s="10" t="n"/>
      <c r="H13" s="11" t="n"/>
      <c r="I13" s="12" t="n"/>
      <c r="J13" s="4">
        <f>+$R$1&amp;""&amp;T13&amp;""&amp;U13&amp;" "&amp;$V$1&amp;" "&amp;V13&amp;" / "&amp;B13&amp;" "&amp;$U$1&amp;" "&amp;C13&amp;""&amp;$W$1</f>
        <v/>
      </c>
      <c r="T13" s="4">
        <f>+INDEX([1]GOLF!$E$2:$E$1990,MATCH(B13,[1]GOLF!$C$2:$C$1990,0))</f>
        <v/>
      </c>
      <c r="U13" s="4" t="inlineStr">
        <is>
          <t>mm</t>
        </is>
      </c>
      <c r="V13" s="4">
        <f>+INDEX([1]GOLF!$G:$G,MATCH(B13,[1]GOLF!$C:$C,0))</f>
        <v/>
      </c>
      <c r="X13" s="4">
        <f>+VLOOKUP(B13,[1]GOLF!$C:$G,3,0)</f>
        <v/>
      </c>
      <c r="Y13" s="4">
        <f>+X13=T13</f>
        <v/>
      </c>
    </row>
    <row r="14" hidden="1" ht="37.5" customHeight="1" s="22">
      <c r="A14" s="6" t="n"/>
      <c r="B14" s="8" t="n"/>
      <c r="C14" s="8" t="n"/>
      <c r="D14" s="8" t="n"/>
      <c r="E14" s="8" t="n"/>
      <c r="F14" s="8" t="n"/>
      <c r="G14" s="8" t="n"/>
      <c r="H14" s="11" t="n"/>
      <c r="I14" s="14" t="n"/>
      <c r="J14" s="4">
        <f>+$R$1&amp;""&amp;T14&amp;""&amp;U14&amp;" "&amp;$V$1&amp;" "&amp;V14&amp;" / "&amp;B14&amp;" "&amp;$U$1&amp;" "&amp;C14&amp;""&amp;$W$1</f>
        <v/>
      </c>
      <c r="T14" s="4">
        <f>+INDEX([1]GOLF!$E$2:$E$1990,MATCH(B14,[1]GOLF!$C$2:$C$1990,0))</f>
        <v/>
      </c>
      <c r="U14" s="4" t="inlineStr">
        <is>
          <t>mm</t>
        </is>
      </c>
      <c r="V14" s="4">
        <f>+INDEX([1]GOLF!$G:$G,MATCH(B14,[1]GOLF!$C:$C,0))</f>
        <v/>
      </c>
      <c r="X14" s="4">
        <f>+VLOOKUP(B14,[1]GOLF!$C:$G,3,0)</f>
        <v/>
      </c>
      <c r="Y14" s="4">
        <f>+X14=T14</f>
        <v/>
      </c>
    </row>
    <row r="15" hidden="1" ht="37.5" customHeight="1" s="22">
      <c r="A15" s="6" t="n"/>
      <c r="B15" s="8" t="n"/>
      <c r="C15" s="8" t="n"/>
      <c r="D15" s="8" t="n"/>
      <c r="E15" s="8" t="n"/>
      <c r="F15" s="8" t="n"/>
      <c r="G15" s="8" t="n"/>
      <c r="H15" s="11" t="n"/>
      <c r="I15" s="14" t="n"/>
      <c r="J15" s="4">
        <f>+$R$1&amp;""&amp;T15&amp;""&amp;U15&amp;" "&amp;$V$1&amp;" "&amp;V15&amp;" / "&amp;B15&amp;" "&amp;$U$1&amp;" "&amp;C15&amp;""&amp;$W$1</f>
        <v/>
      </c>
      <c r="T15" s="4">
        <f>+INDEX([1]GOLF!$E$2:$E$1990,MATCH(B15,[1]GOLF!$C$2:$C$1990,0))</f>
        <v/>
      </c>
      <c r="U15" s="4" t="inlineStr">
        <is>
          <t>mm</t>
        </is>
      </c>
      <c r="V15" s="4">
        <f>+INDEX([1]GOLF!$G:$G,MATCH(B15,[1]GOLF!$C:$C,0))</f>
        <v/>
      </c>
      <c r="X15" s="4">
        <f>+VLOOKUP(B15,[1]GOLF!$C:$G,3,0)</f>
        <v/>
      </c>
      <c r="Y15" s="4">
        <f>+X15=T15</f>
        <v/>
      </c>
    </row>
    <row r="16" hidden="1" ht="37.5" customHeight="1" s="22">
      <c r="A16" s="6" t="n"/>
      <c r="B16" s="8" t="n"/>
      <c r="C16" s="8" t="n"/>
      <c r="D16" s="8" t="n"/>
      <c r="E16" s="8" t="n"/>
      <c r="F16" s="8" t="n"/>
      <c r="G16" s="8" t="n"/>
      <c r="H16" s="11" t="n"/>
      <c r="I16" s="14" t="n"/>
      <c r="J16" s="4">
        <f>+$R$1&amp;""&amp;T16&amp;""&amp;U16&amp;" "&amp;$V$1&amp;" "&amp;V16&amp;" / "&amp;B16&amp;" "&amp;$U$1&amp;" "&amp;C16&amp;""&amp;$W$1</f>
        <v/>
      </c>
      <c r="T16" s="4">
        <f>+INDEX([1]GOLF!$E$2:$E$1990,MATCH(B16,[1]GOLF!$C$2:$C$1990,0))</f>
        <v/>
      </c>
      <c r="U16" s="4" t="inlineStr">
        <is>
          <t>mm</t>
        </is>
      </c>
      <c r="V16" s="4">
        <f>+INDEX([1]GOLF!$G:$G,MATCH(B16,[1]GOLF!$C:$C,0))</f>
        <v/>
      </c>
      <c r="X16" s="4">
        <f>+VLOOKUP(B16,[1]GOLF!$C:$G,3,0)</f>
        <v/>
      </c>
      <c r="Y16" s="4">
        <f>+X16=T16</f>
        <v/>
      </c>
    </row>
    <row r="17" hidden="1" ht="37.5" customHeight="1" s="22">
      <c r="A17" s="6" t="n"/>
      <c r="B17" s="8" t="n"/>
      <c r="C17" s="8" t="n"/>
      <c r="D17" s="8" t="n"/>
      <c r="E17" s="8" t="n"/>
      <c r="F17" s="8" t="n"/>
      <c r="G17" s="8" t="n"/>
      <c r="H17" s="11" t="n"/>
      <c r="I17" s="14" t="n"/>
      <c r="J17" s="4">
        <f>+$R$1&amp;""&amp;T17&amp;""&amp;U17&amp;" "&amp;$V$1&amp;" "&amp;V17&amp;" / "&amp;B17&amp;" "&amp;$U$1&amp;" "&amp;C17&amp;""&amp;$W$1</f>
        <v/>
      </c>
      <c r="T17" s="4">
        <f>+INDEX([1]GOLF!$E$2:$E$1990,MATCH(B17,[1]GOLF!$C$2:$C$1990,0))</f>
        <v/>
      </c>
      <c r="U17" s="4" t="inlineStr">
        <is>
          <t>mm</t>
        </is>
      </c>
      <c r="V17" s="4">
        <f>+INDEX([1]GOLF!$G:$G,MATCH(B17,[1]GOLF!$C:$C,0))</f>
        <v/>
      </c>
      <c r="X17" s="4">
        <f>+VLOOKUP(B17,[1]GOLF!$C:$G,3,0)</f>
        <v/>
      </c>
      <c r="Y17" s="4">
        <f>+X17=T17</f>
        <v/>
      </c>
    </row>
    <row r="18" hidden="1" ht="37.5" customHeight="1" s="22">
      <c r="A18" s="6" t="n"/>
      <c r="B18" s="8" t="n"/>
      <c r="C18" s="8" t="n"/>
      <c r="D18" s="8" t="n"/>
      <c r="E18" s="8" t="n"/>
      <c r="F18" s="8" t="n"/>
      <c r="G18" s="8" t="n"/>
      <c r="H18" s="11" t="n"/>
      <c r="I18" s="14" t="n"/>
      <c r="J18" s="4">
        <f>+$R$1&amp;""&amp;T18&amp;""&amp;U18&amp;" "&amp;$V$1&amp;" "&amp;V18&amp;" / "&amp;B18&amp;" "&amp;$U$1&amp;" "&amp;C18&amp;""&amp;$W$1</f>
        <v/>
      </c>
      <c r="T18" s="4">
        <f>+INDEX([1]GOLF!$E$2:$E$1990,MATCH(B18,[1]GOLF!$C$2:$C$1990,0))</f>
        <v/>
      </c>
      <c r="U18" s="4" t="inlineStr">
        <is>
          <t>mm</t>
        </is>
      </c>
      <c r="V18" s="4">
        <f>+INDEX([1]GOLF!$G:$G,MATCH(B18,[1]GOLF!$C:$C,0))</f>
        <v/>
      </c>
      <c r="X18" s="4">
        <f>+VLOOKUP(B18,[1]GOLF!$C:$G,3,0)</f>
        <v/>
      </c>
      <c r="Y18" s="4">
        <f>+X18=T18</f>
        <v/>
      </c>
    </row>
    <row r="19" hidden="1" ht="37.5" customHeight="1" s="22">
      <c r="A19" s="6" t="n"/>
      <c r="B19" s="8" t="n"/>
      <c r="C19" s="8" t="n"/>
      <c r="D19" s="8" t="n"/>
      <c r="E19" s="8" t="n"/>
      <c r="F19" s="8" t="n"/>
      <c r="G19" s="8" t="n"/>
      <c r="H19" s="11" t="n"/>
      <c r="I19" s="14" t="n"/>
      <c r="J19" s="4">
        <f>+$R$1&amp;""&amp;T19&amp;""&amp;U19&amp;" "&amp;$V$1&amp;" "&amp;V19&amp;" / "&amp;B19&amp;" "&amp;$U$1&amp;" "&amp;C19&amp;""&amp;$W$1</f>
        <v/>
      </c>
      <c r="T19" s="4">
        <f>+INDEX([1]GOLF!$E$2:$E$1990,MATCH(B19,[1]GOLF!$C$2:$C$1990,0))</f>
        <v/>
      </c>
      <c r="U19" s="4" t="inlineStr">
        <is>
          <t>mm</t>
        </is>
      </c>
      <c r="V19" s="4">
        <f>+INDEX([1]GOLF!$G:$G,MATCH(B19,[1]GOLF!$C:$C,0))</f>
        <v/>
      </c>
      <c r="X19" s="4">
        <f>+VLOOKUP(B19,[1]GOLF!$C:$G,3,0)</f>
        <v/>
      </c>
      <c r="Y19" s="4">
        <f>+X19=T19</f>
        <v/>
      </c>
    </row>
    <row r="20" hidden="1" ht="37.5" customHeight="1" s="22">
      <c r="A20" s="6" t="n"/>
      <c r="B20" s="8" t="n"/>
      <c r="C20" s="8" t="n"/>
      <c r="D20" s="8" t="n"/>
      <c r="E20" s="8" t="n"/>
      <c r="F20" s="8" t="n"/>
      <c r="G20" s="8" t="n"/>
      <c r="H20" s="11" t="n"/>
      <c r="I20" s="14" t="n"/>
      <c r="J20" s="4">
        <f>+$R$1&amp;""&amp;T20&amp;""&amp;U20&amp;" "&amp;$V$1&amp;" "&amp;V20&amp;" / "&amp;B20&amp;" "&amp;$U$1&amp;" "&amp;C20&amp;""&amp;$W$1</f>
        <v/>
      </c>
      <c r="T20" s="4">
        <f>+INDEX([1]GOLF!$E$2:$E$1990,MATCH(B20,[1]GOLF!$C$2:$C$1990,0))</f>
        <v/>
      </c>
      <c r="U20" s="4" t="inlineStr">
        <is>
          <t>mm</t>
        </is>
      </c>
      <c r="V20" s="4">
        <f>+INDEX([1]GOLF!$G:$G,MATCH(B20,[1]GOLF!$C:$C,0))</f>
        <v/>
      </c>
      <c r="X20" s="4">
        <f>+VLOOKUP(B20,[1]GOLF!$C:$G,3,0)</f>
        <v/>
      </c>
      <c r="Y20" s="4">
        <f>+X20=T20</f>
        <v/>
      </c>
    </row>
    <row r="21" hidden="1" ht="37.5" customHeight="1" s="22">
      <c r="A21" s="6" t="n"/>
      <c r="B21" s="8" t="n"/>
      <c r="C21" s="8" t="n"/>
      <c r="D21" s="8" t="n"/>
      <c r="E21" s="8" t="n"/>
      <c r="F21" s="8" t="n"/>
      <c r="G21" s="8" t="n"/>
      <c r="H21" s="11" t="n"/>
      <c r="I21" s="14" t="n"/>
      <c r="J21" s="4">
        <f>+$R$1&amp;""&amp;T21&amp;""&amp;U21&amp;" "&amp;$V$1&amp;" "&amp;V21&amp;" / "&amp;B21&amp;" "&amp;$U$1&amp;" "&amp;C21&amp;""&amp;$W$1</f>
        <v/>
      </c>
      <c r="T21" s="4">
        <f>+INDEX([1]GOLF!$E$2:$E$1990,MATCH(B21,[1]GOLF!$C$2:$C$1990,0))</f>
        <v/>
      </c>
      <c r="U21" s="4" t="inlineStr">
        <is>
          <t>mm</t>
        </is>
      </c>
      <c r="V21" s="4">
        <f>+INDEX([1]GOLF!$G:$G,MATCH(B21,[1]GOLF!$C:$C,0))</f>
        <v/>
      </c>
      <c r="X21" s="4">
        <f>+VLOOKUP(B21,[1]GOLF!$C:$G,3,0)</f>
        <v/>
      </c>
      <c r="Y21" s="4">
        <f>+X21=T21</f>
        <v/>
      </c>
    </row>
    <row r="22" hidden="1" ht="37.5" customHeight="1" s="22">
      <c r="A22" s="6" t="n"/>
      <c r="B22" s="8" t="n"/>
      <c r="C22" s="8" t="n"/>
      <c r="D22" s="8" t="n"/>
      <c r="E22" s="8" t="n"/>
      <c r="F22" s="8" t="n"/>
      <c r="G22" s="8" t="n"/>
      <c r="H22" s="11" t="n"/>
      <c r="I22" s="14" t="n"/>
      <c r="J22" s="4">
        <f>+$R$1&amp;""&amp;T22&amp;""&amp;U22&amp;" "&amp;$V$1&amp;" "&amp;V22&amp;" / "&amp;B22&amp;" "&amp;$U$1&amp;" "&amp;C22&amp;""&amp;$W$1</f>
        <v/>
      </c>
      <c r="T22" s="4">
        <f>+INDEX([1]GOLF!$E$2:$E$1990,MATCH(B22,[1]GOLF!$C$2:$C$1990,0))</f>
        <v/>
      </c>
      <c r="U22" s="4" t="inlineStr">
        <is>
          <t>mm</t>
        </is>
      </c>
      <c r="V22" s="4">
        <f>+INDEX([1]GOLF!$G:$G,MATCH(B22,[1]GOLF!$C:$C,0))</f>
        <v/>
      </c>
      <c r="X22" s="4">
        <f>+VLOOKUP(B22,[1]GOLF!$C:$G,3,0)</f>
        <v/>
      </c>
      <c r="Y22" s="4">
        <f>+X22=T22</f>
        <v/>
      </c>
    </row>
    <row r="23" hidden="1" ht="37.5" customHeight="1" s="22">
      <c r="A23" s="6" t="n"/>
      <c r="B23" s="8" t="n"/>
      <c r="C23" s="8" t="n"/>
      <c r="D23" s="8" t="n"/>
      <c r="E23" s="8" t="n"/>
      <c r="F23" s="8" t="n"/>
      <c r="G23" s="8" t="n"/>
      <c r="H23" s="11" t="n"/>
      <c r="I23" s="14" t="n"/>
      <c r="J23" s="4">
        <f>+$R$1&amp;""&amp;T23&amp;""&amp;U23&amp;" "&amp;$V$1&amp;" "&amp;V23&amp;" / "&amp;B23&amp;" "&amp;$U$1&amp;" "&amp;C23&amp;""&amp;$W$1</f>
        <v/>
      </c>
      <c r="T23" s="4">
        <f>+INDEX([1]GOLF!$E$2:$E$1990,MATCH(B23,[1]GOLF!$C$2:$C$1990,0))</f>
        <v/>
      </c>
      <c r="U23" s="4" t="inlineStr">
        <is>
          <t>mm</t>
        </is>
      </c>
      <c r="V23" s="4">
        <f>+INDEX([1]GOLF!$G:$G,MATCH(B23,[1]GOLF!$C:$C,0))</f>
        <v/>
      </c>
      <c r="X23" s="4">
        <f>+VLOOKUP(B23,[1]GOLF!$C:$G,3,0)</f>
        <v/>
      </c>
      <c r="Y23" s="4">
        <f>+X23=T23</f>
        <v/>
      </c>
    </row>
    <row r="24" hidden="1" ht="37.5" customHeight="1" s="22">
      <c r="A24" s="6" t="n"/>
      <c r="B24" s="8" t="n"/>
      <c r="C24" s="8" t="n"/>
      <c r="D24" s="8" t="n"/>
      <c r="E24" s="8" t="n"/>
      <c r="F24" s="8" t="n"/>
      <c r="G24" s="8" t="n"/>
      <c r="H24" s="11" t="n"/>
      <c r="I24" s="14" t="n"/>
      <c r="J24" s="4">
        <f>+$R$1&amp;""&amp;T24&amp;""&amp;U24&amp;" "&amp;$V$1&amp;" "&amp;V24&amp;" / "&amp;B24&amp;" "&amp;$U$1&amp;" "&amp;C24&amp;""&amp;$W$1</f>
        <v/>
      </c>
      <c r="T24" s="4">
        <f>+INDEX([1]GOLF!$E$2:$E$1990,MATCH(B24,[1]GOLF!$C$2:$C$1990,0))</f>
        <v/>
      </c>
      <c r="U24" s="4" t="inlineStr">
        <is>
          <t>mm</t>
        </is>
      </c>
      <c r="V24" s="4">
        <f>+INDEX([1]GOLF!$G:$G,MATCH(B24,[1]GOLF!$C:$C,0))</f>
        <v/>
      </c>
      <c r="X24" s="4">
        <f>+VLOOKUP(B24,[1]GOLF!$C:$G,3,0)</f>
        <v/>
      </c>
      <c r="Y24" s="4">
        <f>+X24=T24</f>
        <v/>
      </c>
    </row>
    <row r="25" hidden="1" ht="37.5" customHeight="1" s="22">
      <c r="A25" s="6" t="n"/>
      <c r="B25" s="8" t="n"/>
      <c r="C25" s="8" t="n"/>
      <c r="D25" s="8" t="n"/>
      <c r="E25" s="8" t="n"/>
      <c r="F25" s="8" t="n"/>
      <c r="G25" s="8" t="n"/>
      <c r="H25" s="11" t="n"/>
      <c r="I25" s="14" t="n"/>
      <c r="J25" s="4">
        <f>+$R$1&amp;""&amp;T25&amp;""&amp;U25&amp;" "&amp;$V$1&amp;" "&amp;V25&amp;" / "&amp;B25&amp;" "&amp;$U$1&amp;" "&amp;C25&amp;""&amp;$W$1</f>
        <v/>
      </c>
      <c r="T25" s="4">
        <f>+INDEX([1]GOLF!$E$2:$E$1990,MATCH(B25,[1]GOLF!$C$2:$C$1990,0))</f>
        <v/>
      </c>
      <c r="U25" s="4" t="inlineStr">
        <is>
          <t>mm</t>
        </is>
      </c>
      <c r="V25" s="4">
        <f>+INDEX([1]GOLF!$G:$G,MATCH(B25,[1]GOLF!$C:$C,0))</f>
        <v/>
      </c>
      <c r="X25" s="4">
        <f>+VLOOKUP(B25,[1]GOLF!$C:$G,3,0)</f>
        <v/>
      </c>
      <c r="Y25" s="4">
        <f>+X25=T25</f>
        <v/>
      </c>
    </row>
    <row r="26" hidden="1" ht="37.5" customHeight="1" s="22">
      <c r="A26" s="6" t="n"/>
      <c r="B26" s="8" t="n"/>
      <c r="C26" s="8" t="n"/>
      <c r="D26" s="8" t="n"/>
      <c r="E26" s="8" t="n"/>
      <c r="F26" s="8" t="n"/>
      <c r="G26" s="8" t="n"/>
      <c r="H26" s="11" t="n"/>
      <c r="I26" s="14" t="n"/>
      <c r="J26" s="4">
        <f>+$R$1&amp;""&amp;T26&amp;""&amp;U26&amp;" "&amp;$V$1&amp;" "&amp;V26&amp;" / "&amp;B26&amp;" "&amp;$U$1&amp;" "&amp;C26&amp;""&amp;$W$1</f>
        <v/>
      </c>
      <c r="T26" s="4">
        <f>+INDEX([1]GOLF!$E$2:$E$1990,MATCH(B26,[1]GOLF!$C$2:$C$1990,0))</f>
        <v/>
      </c>
      <c r="U26" s="4" t="inlineStr">
        <is>
          <t>mm</t>
        </is>
      </c>
      <c r="V26" s="4">
        <f>+INDEX([1]GOLF!$G:$G,MATCH(B26,[1]GOLF!$C:$C,0))</f>
        <v/>
      </c>
      <c r="X26" s="4">
        <f>+VLOOKUP(B26,[1]GOLF!$C:$G,3,0)</f>
        <v/>
      </c>
      <c r="Y26" s="4">
        <f>+X26=T26</f>
        <v/>
      </c>
    </row>
    <row r="27" hidden="1" ht="37.5" customHeight="1" s="22">
      <c r="A27" s="6" t="n"/>
      <c r="B27" s="8" t="n"/>
      <c r="C27" s="8" t="n"/>
      <c r="D27" s="8" t="n"/>
      <c r="E27" s="8" t="n"/>
      <c r="F27" s="8" t="n"/>
      <c r="G27" s="8" t="n"/>
      <c r="H27" s="11" t="n"/>
      <c r="I27" s="14" t="n"/>
      <c r="J27" s="4">
        <f>+$R$1&amp;""&amp;T27&amp;""&amp;U27&amp;" "&amp;$V$1&amp;" "&amp;V27&amp;" / "&amp;B27&amp;" "&amp;$U$1&amp;" "&amp;C27&amp;""&amp;$W$1</f>
        <v/>
      </c>
      <c r="T27" s="4">
        <f>+INDEX([1]GOLF!$E$2:$E$1990,MATCH(B27,[1]GOLF!$C$2:$C$1990,0))</f>
        <v/>
      </c>
      <c r="U27" s="4" t="inlineStr">
        <is>
          <t>mm</t>
        </is>
      </c>
      <c r="V27" s="4">
        <f>+INDEX([1]GOLF!$G:$G,MATCH(B27,[1]GOLF!$C:$C,0))</f>
        <v/>
      </c>
      <c r="X27" s="4">
        <f>+VLOOKUP(B27,[1]GOLF!$C:$G,3,0)</f>
        <v/>
      </c>
      <c r="Y27" s="4">
        <f>+X27=T27</f>
        <v/>
      </c>
    </row>
    <row r="28" hidden="1" ht="37.5" customHeight="1" s="22">
      <c r="A28" s="6" t="n"/>
      <c r="B28" s="8" t="n"/>
      <c r="C28" s="8" t="n"/>
      <c r="D28" s="8" t="n"/>
      <c r="E28" s="8" t="n"/>
      <c r="F28" s="8" t="n"/>
      <c r="G28" s="8" t="n"/>
      <c r="H28" s="11" t="n"/>
      <c r="I28" s="14" t="n"/>
      <c r="J28" s="4">
        <f>+$R$1&amp;""&amp;T28&amp;""&amp;U28&amp;" "&amp;$V$1&amp;" "&amp;V28&amp;" / "&amp;B28&amp;" "&amp;$U$1&amp;" "&amp;C28&amp;""&amp;$W$1</f>
        <v/>
      </c>
      <c r="T28" s="4">
        <f>+INDEX([1]GOLF!$E$2:$E$1990,MATCH(B28,[1]GOLF!$C$2:$C$1990,0))</f>
        <v/>
      </c>
      <c r="U28" s="4" t="inlineStr">
        <is>
          <t>mm</t>
        </is>
      </c>
      <c r="V28" s="4">
        <f>+INDEX([1]GOLF!$G:$G,MATCH(B28,[1]GOLF!$C:$C,0))</f>
        <v/>
      </c>
      <c r="X28" s="4">
        <f>+VLOOKUP(B28,[1]GOLF!$C:$G,3,0)</f>
        <v/>
      </c>
      <c r="Y28" s="4">
        <f>+X28=T28</f>
        <v/>
      </c>
    </row>
    <row r="29" hidden="1" ht="37.5" customHeight="1" s="22">
      <c r="A29" s="6" t="n"/>
      <c r="B29" s="8" t="n"/>
      <c r="C29" s="8" t="n"/>
      <c r="D29" s="8" t="n"/>
      <c r="E29" s="8" t="n"/>
      <c r="F29" s="8" t="n"/>
      <c r="G29" s="8" t="n"/>
      <c r="H29" s="11" t="n"/>
      <c r="I29" s="14" t="n"/>
      <c r="J29" s="4">
        <f>+$R$1&amp;""&amp;T29&amp;""&amp;U29&amp;" "&amp;$V$1&amp;" "&amp;V29&amp;" / "&amp;B29&amp;" "&amp;$U$1&amp;" "&amp;C29&amp;""&amp;$W$1</f>
        <v/>
      </c>
      <c r="T29" s="4">
        <f>+INDEX([1]GOLF!$E$2:$E$1990,MATCH(B29,[1]GOLF!$C$2:$C$1990,0))</f>
        <v/>
      </c>
      <c r="U29" s="4" t="inlineStr">
        <is>
          <t>mm</t>
        </is>
      </c>
      <c r="V29" s="4">
        <f>+INDEX([1]GOLF!$G:$G,MATCH(B29,[1]GOLF!$C:$C,0))</f>
        <v/>
      </c>
      <c r="X29" s="4">
        <f>+VLOOKUP(B29,[1]GOLF!$C:$G,3,0)</f>
        <v/>
      </c>
      <c r="Y29" s="4">
        <f>+X29=T29</f>
        <v/>
      </c>
    </row>
    <row r="30" hidden="1" ht="37.5" customHeight="1" s="22">
      <c r="A30" s="6" t="n"/>
      <c r="B30" s="8" t="n"/>
      <c r="C30" s="8" t="n"/>
      <c r="D30" s="8" t="n"/>
      <c r="E30" s="8" t="n"/>
      <c r="F30" s="8" t="n"/>
      <c r="G30" s="8" t="n"/>
      <c r="H30" s="11" t="n"/>
      <c r="I30" s="14" t="n"/>
      <c r="J30" s="4">
        <f>+$R$1&amp;""&amp;T30&amp;""&amp;U30&amp;" "&amp;$V$1&amp;" "&amp;V30&amp;" / "&amp;B30&amp;" "&amp;$U$1&amp;" "&amp;C30&amp;""&amp;$W$1</f>
        <v/>
      </c>
      <c r="T30" s="4">
        <f>+INDEX([1]GOLF!$E$2:$E$1990,MATCH(B30,[1]GOLF!$C$2:$C$1990,0))</f>
        <v/>
      </c>
      <c r="U30" s="4" t="inlineStr">
        <is>
          <t>mm</t>
        </is>
      </c>
      <c r="V30" s="4">
        <f>+INDEX([1]GOLF!$G:$G,MATCH(B30,[1]GOLF!$C:$C,0))</f>
        <v/>
      </c>
      <c r="X30" s="4">
        <f>+VLOOKUP(B30,[1]GOLF!$C:$G,3,0)</f>
        <v/>
      </c>
      <c r="Y30" s="4">
        <f>+X30=T30</f>
        <v/>
      </c>
    </row>
    <row r="31" hidden="1" ht="37.5" customHeight="1" s="22">
      <c r="A31" s="6" t="n"/>
      <c r="B31" s="8" t="n"/>
      <c r="C31" s="8" t="n"/>
      <c r="D31" s="8" t="n"/>
      <c r="E31" s="8" t="n"/>
      <c r="F31" s="8" t="n"/>
      <c r="G31" s="8" t="n"/>
      <c r="H31" s="11" t="n"/>
      <c r="I31" s="14" t="n"/>
      <c r="J31" s="4">
        <f>+$R$1&amp;""&amp;T31&amp;""&amp;U31&amp;" "&amp;$V$1&amp;" "&amp;V31&amp;" / "&amp;B31&amp;" "&amp;$U$1&amp;" "&amp;C31&amp;""&amp;$W$1</f>
        <v/>
      </c>
      <c r="T31" s="4">
        <f>+INDEX([1]GOLF!$E$2:$E$1990,MATCH(B31,[1]GOLF!$C$2:$C$1990,0))</f>
        <v/>
      </c>
      <c r="U31" s="4" t="inlineStr">
        <is>
          <t>mm</t>
        </is>
      </c>
      <c r="V31" s="4">
        <f>+INDEX([1]GOLF!$G:$G,MATCH(B31,[1]GOLF!$C:$C,0))</f>
        <v/>
      </c>
      <c r="X31" s="4">
        <f>+VLOOKUP(B31,[1]GOLF!$C:$G,3,0)</f>
        <v/>
      </c>
      <c r="Y31" s="4">
        <f>+X31=T31</f>
        <v/>
      </c>
    </row>
    <row r="32" hidden="1" ht="37.5" customHeight="1" s="22">
      <c r="A32" s="6" t="n"/>
      <c r="B32" s="8" t="n"/>
      <c r="C32" s="8" t="n"/>
      <c r="D32" s="8" t="n"/>
      <c r="E32" s="8" t="n"/>
      <c r="F32" s="8" t="n"/>
      <c r="G32" s="8" t="n"/>
      <c r="H32" s="11" t="n"/>
      <c r="I32" s="14" t="n"/>
      <c r="J32" s="4">
        <f>+$R$1&amp;""&amp;T32&amp;""&amp;U32&amp;" "&amp;$V$1&amp;" "&amp;V32&amp;" / "&amp;B32&amp;" "&amp;$U$1&amp;" "&amp;C32&amp;""&amp;$W$1</f>
        <v/>
      </c>
      <c r="T32" s="4">
        <f>+INDEX([1]GOLF!$E$2:$E$1990,MATCH(B32,[1]GOLF!$C$2:$C$1990,0))</f>
        <v/>
      </c>
      <c r="U32" s="4" t="inlineStr">
        <is>
          <t>mm</t>
        </is>
      </c>
      <c r="V32" s="4">
        <f>+INDEX([1]GOLF!$G:$G,MATCH(B32,[1]GOLF!$C:$C,0))</f>
        <v/>
      </c>
      <c r="X32" s="4">
        <f>+VLOOKUP(B32,[1]GOLF!$C:$G,3,0)</f>
        <v/>
      </c>
      <c r="Y32" s="4">
        <f>+X32=T32</f>
        <v/>
      </c>
    </row>
    <row r="33" hidden="1" ht="37.5" customHeight="1" s="22">
      <c r="A33" s="6" t="n"/>
      <c r="B33" s="8" t="n"/>
      <c r="C33" s="8" t="n"/>
      <c r="D33" s="8" t="n"/>
      <c r="E33" s="8" t="n"/>
      <c r="F33" s="8" t="n"/>
      <c r="G33" s="8" t="n"/>
      <c r="H33" s="11" t="n"/>
      <c r="I33" s="14" t="n"/>
      <c r="J33" s="4">
        <f>+$R$1&amp;""&amp;T33&amp;""&amp;U33&amp;" "&amp;$V$1&amp;" "&amp;V33&amp;" / "&amp;B33&amp;" "&amp;$U$1&amp;" "&amp;C33&amp;""&amp;$W$1</f>
        <v/>
      </c>
      <c r="T33" s="4">
        <f>+INDEX([1]GOLF!$E$2:$E$1990,MATCH(B33,[1]GOLF!$C$2:$C$1990,0))</f>
        <v/>
      </c>
      <c r="U33" s="4" t="inlineStr">
        <is>
          <t>mm</t>
        </is>
      </c>
      <c r="V33" s="4">
        <f>+INDEX([1]GOLF!$G:$G,MATCH(B33,[1]GOLF!$C:$C,0))</f>
        <v/>
      </c>
      <c r="X33" s="4">
        <f>+VLOOKUP(B33,[1]GOLF!$C:$G,3,0)</f>
        <v/>
      </c>
      <c r="Y33" s="4">
        <f>+X33=T33</f>
        <v/>
      </c>
    </row>
    <row r="34" hidden="1" ht="37.5" customHeight="1" s="22">
      <c r="A34" s="6" t="n"/>
      <c r="B34" s="8" t="n"/>
      <c r="C34" s="8" t="n"/>
      <c r="D34" s="8" t="n"/>
      <c r="E34" s="8" t="n"/>
      <c r="F34" s="8" t="n"/>
      <c r="G34" s="8" t="n"/>
      <c r="H34" s="11" t="n"/>
      <c r="I34" s="14" t="n"/>
      <c r="J34" s="4">
        <f>+$R$1&amp;""&amp;T34&amp;""&amp;U34&amp;" "&amp;$V$1&amp;" "&amp;V34&amp;" / "&amp;B34&amp;" "&amp;$U$1&amp;" "&amp;C34&amp;""&amp;$W$1</f>
        <v/>
      </c>
      <c r="T34" s="4">
        <f>+INDEX([1]GOLF!$E$2:$E$1990,MATCH(B34,[1]GOLF!$C$2:$C$1990,0))</f>
        <v/>
      </c>
      <c r="U34" s="4" t="inlineStr">
        <is>
          <t>mm</t>
        </is>
      </c>
      <c r="V34" s="4">
        <f>+INDEX([1]GOLF!$G:$G,MATCH(B34,[1]GOLF!$C:$C,0))</f>
        <v/>
      </c>
      <c r="X34" s="4">
        <f>+VLOOKUP(B34,[1]GOLF!$C:$G,3,0)</f>
        <v/>
      </c>
      <c r="Y34" s="4">
        <f>+X34=T34</f>
        <v/>
      </c>
    </row>
    <row r="35" hidden="1" ht="37.5" customHeight="1" s="22">
      <c r="A35" s="6" t="n"/>
      <c r="B35" s="8" t="n"/>
      <c r="C35" s="8" t="n"/>
      <c r="D35" s="8" t="n"/>
      <c r="E35" s="8" t="n"/>
      <c r="F35" s="8" t="n"/>
      <c r="G35" s="8" t="n"/>
      <c r="H35" s="11" t="n"/>
      <c r="I35" s="14" t="n"/>
      <c r="J35" s="4">
        <f>+$R$1&amp;""&amp;T35&amp;""&amp;U35&amp;" "&amp;$V$1&amp;" "&amp;V35&amp;" / "&amp;B35&amp;" "&amp;$U$1&amp;" "&amp;C35&amp;""&amp;$W$1</f>
        <v/>
      </c>
      <c r="T35" s="4">
        <f>+INDEX([1]GOLF!$E$2:$E$1990,MATCH(B35,[1]GOLF!$C$2:$C$1990,0))</f>
        <v/>
      </c>
      <c r="U35" s="4" t="inlineStr">
        <is>
          <t>mm</t>
        </is>
      </c>
      <c r="V35" s="4">
        <f>+INDEX([1]GOLF!$G:$G,MATCH(B35,[1]GOLF!$C:$C,0))</f>
        <v/>
      </c>
      <c r="X35" s="4">
        <f>+VLOOKUP(B35,[1]GOLF!$C:$G,3,0)</f>
        <v/>
      </c>
      <c r="Y35" s="4">
        <f>+X35=T35</f>
        <v/>
      </c>
    </row>
    <row r="36" hidden="1" ht="37.5" customHeight="1" s="22">
      <c r="A36" s="6" t="n"/>
      <c r="B36" s="8" t="n"/>
      <c r="C36" s="8" t="n"/>
      <c r="D36" s="8" t="n"/>
      <c r="E36" s="8" t="n"/>
      <c r="F36" s="8" t="n"/>
      <c r="G36" s="8" t="n"/>
      <c r="H36" s="11" t="n"/>
      <c r="I36" s="14" t="n"/>
      <c r="J36" s="4">
        <f>+$R$1&amp;""&amp;T36&amp;""&amp;U36&amp;" "&amp;$V$1&amp;" "&amp;V36&amp;" / "&amp;B36&amp;" "&amp;$U$1&amp;" "&amp;C36&amp;""&amp;$W$1</f>
        <v/>
      </c>
      <c r="T36" s="4">
        <f>+INDEX([1]GOLF!$E$2:$E$1990,MATCH(B36,[1]GOLF!$C$2:$C$1990,0))</f>
        <v/>
      </c>
      <c r="U36" s="4" t="inlineStr">
        <is>
          <t>mm</t>
        </is>
      </c>
      <c r="V36" s="4">
        <f>+INDEX([1]GOLF!$G:$G,MATCH(B36,[1]GOLF!$C:$C,0))</f>
        <v/>
      </c>
      <c r="X36" s="4">
        <f>+VLOOKUP(B36,[1]GOLF!$C:$G,3,0)</f>
        <v/>
      </c>
      <c r="Y36" s="4">
        <f>+X36=T36</f>
        <v/>
      </c>
    </row>
    <row r="37" hidden="1" ht="37.5" customHeight="1" s="22">
      <c r="A37" s="6" t="n"/>
      <c r="B37" s="8" t="n"/>
      <c r="C37" s="8" t="n"/>
      <c r="D37" s="8" t="n"/>
      <c r="E37" s="8" t="n"/>
      <c r="F37" s="8" t="n"/>
      <c r="G37" s="8" t="n"/>
      <c r="H37" s="11" t="n"/>
      <c r="I37" s="14" t="n"/>
      <c r="J37" s="4">
        <f>+$R$1&amp;""&amp;T37&amp;""&amp;U37&amp;" "&amp;$V$1&amp;" "&amp;V37&amp;" / "&amp;B37&amp;" "&amp;$U$1&amp;" "&amp;C37&amp;""&amp;$W$1</f>
        <v/>
      </c>
      <c r="T37" s="4">
        <f>+INDEX([1]GOLF!$E$2:$E$1990,MATCH(B37,[1]GOLF!$C$2:$C$1990,0))</f>
        <v/>
      </c>
      <c r="U37" s="4" t="inlineStr">
        <is>
          <t>mm</t>
        </is>
      </c>
      <c r="V37" s="4">
        <f>+INDEX([1]GOLF!$G:$G,MATCH(B37,[1]GOLF!$C:$C,0))</f>
        <v/>
      </c>
      <c r="X37" s="4">
        <f>+VLOOKUP(B37,[1]GOLF!$C:$G,3,0)</f>
        <v/>
      </c>
      <c r="Y37" s="4">
        <f>+X37=T37</f>
        <v/>
      </c>
    </row>
    <row r="38" hidden="1" ht="37.5" customHeight="1" s="22">
      <c r="A38" s="6" t="n"/>
      <c r="B38" s="8" t="n"/>
      <c r="C38" s="8" t="n"/>
      <c r="D38" s="8" t="n"/>
      <c r="E38" s="8" t="n"/>
      <c r="F38" s="8" t="n"/>
      <c r="G38" s="8" t="n"/>
      <c r="H38" s="11" t="n"/>
      <c r="I38" s="14" t="n"/>
      <c r="J38" s="4">
        <f>+$R$1&amp;""&amp;T38&amp;""&amp;U38&amp;" "&amp;$V$1&amp;" "&amp;V38&amp;" / "&amp;B38&amp;" "&amp;$U$1&amp;" "&amp;C38&amp;""&amp;$W$1</f>
        <v/>
      </c>
      <c r="T38" s="4">
        <f>+INDEX([1]GOLF!$E$2:$E$1990,MATCH(B38,[1]GOLF!$C$2:$C$1990,0))</f>
        <v/>
      </c>
      <c r="U38" s="4" t="inlineStr">
        <is>
          <t>mm</t>
        </is>
      </c>
      <c r="V38" s="4">
        <f>+INDEX([1]GOLF!$G:$G,MATCH(B38,[1]GOLF!$C:$C,0))</f>
        <v/>
      </c>
      <c r="X38" s="4">
        <f>+VLOOKUP(B38,[1]GOLF!$C:$G,3,0)</f>
        <v/>
      </c>
      <c r="Y38" s="4">
        <f>+X38=T38</f>
        <v/>
      </c>
    </row>
    <row r="39" hidden="1" ht="37.5" customHeight="1" s="22">
      <c r="A39" s="6" t="n"/>
      <c r="B39" s="8" t="n"/>
      <c r="C39" s="8" t="n"/>
      <c r="D39" s="8" t="n"/>
      <c r="E39" s="8" t="n"/>
      <c r="F39" s="8" t="n"/>
      <c r="G39" s="8" t="n"/>
      <c r="H39" s="11" t="n"/>
      <c r="I39" s="14" t="n"/>
      <c r="J39" s="4">
        <f>+$R$1&amp;""&amp;T39&amp;""&amp;U39&amp;" "&amp;$V$1&amp;" "&amp;V39&amp;" / "&amp;B39&amp;" "&amp;$U$1&amp;" "&amp;C39&amp;""&amp;$W$1</f>
        <v/>
      </c>
      <c r="T39" s="4">
        <f>+INDEX([1]GOLF!$E$2:$E$1990,MATCH(B39,[1]GOLF!$C$2:$C$1990,0))</f>
        <v/>
      </c>
      <c r="U39" s="4" t="inlineStr">
        <is>
          <t>mm</t>
        </is>
      </c>
      <c r="V39" s="4">
        <f>+INDEX([1]GOLF!$G:$G,MATCH(B39,[1]GOLF!$C:$C,0))</f>
        <v/>
      </c>
      <c r="X39" s="4">
        <f>+VLOOKUP(B39,[1]GOLF!$C:$G,3,0)</f>
        <v/>
      </c>
      <c r="Y39" s="4">
        <f>+X39=T39</f>
        <v/>
      </c>
    </row>
    <row r="40" hidden="1" ht="37.5" customHeight="1" s="22">
      <c r="A40" s="6" t="n"/>
      <c r="B40" s="8" t="n"/>
      <c r="C40" s="8" t="n"/>
      <c r="D40" s="8" t="n"/>
      <c r="E40" s="8" t="n"/>
      <c r="F40" s="8" t="n"/>
      <c r="G40" s="8" t="n"/>
      <c r="H40" s="11" t="n"/>
      <c r="I40" s="14" t="n"/>
      <c r="J40" s="4">
        <f>+$R$1&amp;""&amp;T40&amp;""&amp;U40&amp;" "&amp;$V$1&amp;" "&amp;V40&amp;" / "&amp;B40&amp;" "&amp;$U$1&amp;" "&amp;C40&amp;""&amp;$W$1</f>
        <v/>
      </c>
      <c r="T40" s="4">
        <f>+INDEX([1]GOLF!$E$2:$E$1990,MATCH(B40,[1]GOLF!$C$2:$C$1990,0))</f>
        <v/>
      </c>
      <c r="U40" s="4" t="inlineStr">
        <is>
          <t>mm</t>
        </is>
      </c>
      <c r="V40" s="4">
        <f>+INDEX([1]GOLF!$G:$G,MATCH(B40,[1]GOLF!$C:$C,0))</f>
        <v/>
      </c>
      <c r="X40" s="4">
        <f>+VLOOKUP(B40,[1]GOLF!$C:$G,3,0)</f>
        <v/>
      </c>
      <c r="Y40" s="4">
        <f>+X40=T40</f>
        <v/>
      </c>
    </row>
    <row r="41" hidden="1" ht="37.5" customHeight="1" s="22">
      <c r="A41" s="6" t="n"/>
      <c r="B41" s="8" t="n"/>
      <c r="C41" s="8" t="n"/>
      <c r="D41" s="8" t="n"/>
      <c r="E41" s="8" t="n"/>
      <c r="F41" s="8" t="n"/>
      <c r="G41" s="8" t="n"/>
      <c r="H41" s="11" t="n"/>
      <c r="I41" s="14" t="n"/>
      <c r="J41" s="4">
        <f>+$R$1&amp;""&amp;T41&amp;""&amp;U41&amp;" "&amp;$V$1&amp;" "&amp;V41&amp;" / "&amp;B41&amp;" "&amp;$U$1&amp;" "&amp;C41&amp;""&amp;$W$1</f>
        <v/>
      </c>
      <c r="T41" s="4">
        <f>+INDEX([1]GOLF!$E$2:$E$1990,MATCH(B41,[1]GOLF!$C$2:$C$1990,0))</f>
        <v/>
      </c>
      <c r="U41" s="4" t="inlineStr">
        <is>
          <t>mm</t>
        </is>
      </c>
      <c r="V41" s="4">
        <f>+INDEX([1]GOLF!$G:$G,MATCH(B41,[1]GOLF!$C:$C,0))</f>
        <v/>
      </c>
      <c r="X41" s="4">
        <f>+VLOOKUP(B41,[1]GOLF!$C:$G,3,0)</f>
        <v/>
      </c>
      <c r="Y41" s="4">
        <f>+X41=T41</f>
        <v/>
      </c>
    </row>
    <row r="42" hidden="1" ht="37.5" customHeight="1" s="22">
      <c r="A42" s="6" t="n"/>
      <c r="B42" s="8" t="n"/>
      <c r="C42" s="8" t="n"/>
      <c r="D42" s="8" t="n"/>
      <c r="E42" s="8" t="n"/>
      <c r="F42" s="8" t="n"/>
      <c r="G42" s="8" t="n"/>
      <c r="H42" s="11" t="n"/>
      <c r="I42" s="14" t="n"/>
      <c r="J42" s="4">
        <f>+$R$1&amp;""&amp;T42&amp;""&amp;U42&amp;" "&amp;$V$1&amp;" "&amp;V42&amp;" / "&amp;B42&amp;" "&amp;$U$1&amp;" "&amp;C42&amp;""&amp;$W$1</f>
        <v/>
      </c>
      <c r="T42" s="4">
        <f>+INDEX([1]GOLF!$E$2:$E$1990,MATCH(B42,[1]GOLF!$C$2:$C$1990,0))</f>
        <v/>
      </c>
      <c r="U42" s="4" t="inlineStr">
        <is>
          <t>mm</t>
        </is>
      </c>
      <c r="V42" s="4">
        <f>+INDEX([1]GOLF!$G:$G,MATCH(B42,[1]GOLF!$C:$C,0))</f>
        <v/>
      </c>
      <c r="X42" s="4">
        <f>+VLOOKUP(B42,[1]GOLF!$C:$G,3,0)</f>
        <v/>
      </c>
      <c r="Y42" s="4">
        <f>+X42=T42</f>
        <v/>
      </c>
    </row>
    <row r="43" hidden="1" ht="37.5" customHeight="1" s="22">
      <c r="A43" s="6" t="n"/>
      <c r="B43" s="8" t="n"/>
      <c r="C43" s="8" t="n"/>
      <c r="D43" s="8" t="n"/>
      <c r="E43" s="8" t="n"/>
      <c r="F43" s="8" t="n"/>
      <c r="G43" s="8" t="n"/>
      <c r="H43" s="11" t="n"/>
      <c r="I43" s="14" t="n"/>
      <c r="J43" s="4">
        <f>+$R$1&amp;""&amp;T43&amp;""&amp;U43&amp;" "&amp;$V$1&amp;" "&amp;V43&amp;" / "&amp;B43&amp;" "&amp;$U$1&amp;" "&amp;C43&amp;""&amp;$W$1</f>
        <v/>
      </c>
      <c r="T43" s="4">
        <f>+INDEX([1]GOLF!$E$2:$E$1990,MATCH(B43,[1]GOLF!$C$2:$C$1990,0))</f>
        <v/>
      </c>
      <c r="U43" s="4" t="inlineStr">
        <is>
          <t>mm</t>
        </is>
      </c>
      <c r="V43" s="4">
        <f>+INDEX([1]GOLF!$G:$G,MATCH(B43,[1]GOLF!$C:$C,0))</f>
        <v/>
      </c>
      <c r="X43" s="4">
        <f>+VLOOKUP(B43,[1]GOLF!$C:$G,3,0)</f>
        <v/>
      </c>
      <c r="Y43" s="4">
        <f>+X43=T43</f>
        <v/>
      </c>
    </row>
    <row r="44" hidden="1" ht="37.5" customHeight="1" s="22">
      <c r="A44" s="6" t="n"/>
      <c r="B44" s="8" t="n"/>
      <c r="C44" s="8" t="n"/>
      <c r="D44" s="8" t="n"/>
      <c r="E44" s="8" t="n"/>
      <c r="F44" s="8" t="n"/>
      <c r="G44" s="8" t="n"/>
      <c r="H44" s="11" t="n"/>
      <c r="I44" s="14" t="n"/>
      <c r="J44" s="4">
        <f>+$R$1&amp;""&amp;T44&amp;""&amp;U44&amp;" "&amp;$V$1&amp;" "&amp;V44&amp;" / "&amp;B44&amp;" "&amp;$U$1&amp;" "&amp;C44&amp;""&amp;$W$1</f>
        <v/>
      </c>
      <c r="T44" s="4">
        <f>+INDEX([1]GOLF!$E$2:$E$1990,MATCH(B44,[1]GOLF!$C$2:$C$1990,0))</f>
        <v/>
      </c>
      <c r="U44" s="4" t="inlineStr">
        <is>
          <t>mm</t>
        </is>
      </c>
      <c r="V44" s="4">
        <f>+INDEX([1]GOLF!$G:$G,MATCH(B44,[1]GOLF!$C:$C,0))</f>
        <v/>
      </c>
      <c r="X44" s="4">
        <f>+VLOOKUP(B44,[1]GOLF!$C:$G,3,0)</f>
        <v/>
      </c>
      <c r="Y44" s="4">
        <f>+X44=T44</f>
        <v/>
      </c>
    </row>
    <row r="45" hidden="1" ht="37.5" customHeight="1" s="22">
      <c r="A45" s="6" t="n"/>
      <c r="B45" s="8" t="n"/>
      <c r="C45" s="8" t="n"/>
      <c r="D45" s="8" t="n"/>
      <c r="E45" s="8" t="n"/>
      <c r="F45" s="8" t="n"/>
      <c r="G45" s="8" t="n"/>
      <c r="H45" s="11" t="n"/>
      <c r="I45" s="14" t="n"/>
      <c r="J45" s="4">
        <f>+$R$1&amp;""&amp;T45&amp;""&amp;U45&amp;" "&amp;$V$1&amp;" "&amp;V45&amp;" / "&amp;B45&amp;" "&amp;$U$1&amp;" "&amp;C45&amp;""&amp;$W$1</f>
        <v/>
      </c>
      <c r="T45" s="4">
        <f>+INDEX([1]GOLF!$E$2:$E$1990,MATCH(B45,[1]GOLF!$C$2:$C$1990,0))</f>
        <v/>
      </c>
      <c r="U45" s="4" t="inlineStr">
        <is>
          <t>mm</t>
        </is>
      </c>
      <c r="V45" s="4">
        <f>+INDEX([1]GOLF!$G:$G,MATCH(B45,[1]GOLF!$C:$C,0))</f>
        <v/>
      </c>
      <c r="X45" s="4">
        <f>+VLOOKUP(B45,[1]GOLF!$C:$G,3,0)</f>
        <v/>
      </c>
      <c r="Y45" s="4">
        <f>+X45=T45</f>
        <v/>
      </c>
    </row>
    <row r="46" hidden="1" ht="37.5" customHeight="1" s="22">
      <c r="A46" s="6" t="n"/>
      <c r="B46" s="8" t="n"/>
      <c r="C46" s="8" t="n"/>
      <c r="D46" s="8" t="n"/>
      <c r="E46" s="8" t="n"/>
      <c r="F46" s="8" t="n"/>
      <c r="G46" s="8" t="n"/>
      <c r="H46" s="11" t="n"/>
      <c r="I46" s="14" t="n"/>
      <c r="J46" s="4">
        <f>+$R$1&amp;""&amp;T46&amp;""&amp;U46&amp;" "&amp;$V$1&amp;" "&amp;V46&amp;" / "&amp;B46&amp;" "&amp;$U$1&amp;" "&amp;C46&amp;""&amp;$W$1</f>
        <v/>
      </c>
      <c r="T46" s="4">
        <f>+INDEX([1]GOLF!$E$2:$E$1990,MATCH(B46,[1]GOLF!$C$2:$C$1990,0))</f>
        <v/>
      </c>
      <c r="U46" s="4" t="inlineStr">
        <is>
          <t>mm</t>
        </is>
      </c>
      <c r="V46" s="4">
        <f>+INDEX([1]GOLF!$G:$G,MATCH(B46,[1]GOLF!$C:$C,0))</f>
        <v/>
      </c>
      <c r="X46" s="4">
        <f>+VLOOKUP(B46,[1]GOLF!$C:$G,3,0)</f>
        <v/>
      </c>
      <c r="Y46" s="4">
        <f>+X46=T46</f>
        <v/>
      </c>
    </row>
    <row r="47" hidden="1" ht="37.5" customHeight="1" s="22">
      <c r="A47" s="6" t="n"/>
      <c r="B47" s="8" t="n"/>
      <c r="C47" s="8" t="n"/>
      <c r="D47" s="8" t="n"/>
      <c r="E47" s="8" t="n"/>
      <c r="F47" s="8" t="n"/>
      <c r="G47" s="8" t="n"/>
      <c r="H47" s="11" t="n"/>
      <c r="I47" s="14" t="n"/>
      <c r="J47" s="4">
        <f>+$R$1&amp;""&amp;T47&amp;""&amp;U47&amp;" "&amp;$V$1&amp;" "&amp;V47&amp;" / "&amp;B47&amp;" "&amp;$U$1&amp;" "&amp;C47&amp;""&amp;$W$1</f>
        <v/>
      </c>
      <c r="T47" s="4">
        <f>+INDEX([1]GOLF!$E$2:$E$1990,MATCH(B47,[1]GOLF!$C$2:$C$1990,0))</f>
        <v/>
      </c>
      <c r="U47" s="4" t="inlineStr">
        <is>
          <t>mm</t>
        </is>
      </c>
      <c r="V47" s="4">
        <f>+INDEX([1]GOLF!$G:$G,MATCH(B47,[1]GOLF!$C:$C,0))</f>
        <v/>
      </c>
      <c r="X47" s="4">
        <f>+VLOOKUP(B47,[1]GOLF!$C:$G,3,0)</f>
        <v/>
      </c>
      <c r="Y47" s="4">
        <f>+X47=T47</f>
        <v/>
      </c>
    </row>
    <row r="48" hidden="1" ht="37.5" customHeight="1" s="22">
      <c r="A48" s="6" t="n"/>
      <c r="B48" s="8" t="n"/>
      <c r="C48" s="8" t="n"/>
      <c r="D48" s="8" t="n"/>
      <c r="E48" s="8" t="n"/>
      <c r="F48" s="8" t="n"/>
      <c r="G48" s="8" t="n"/>
      <c r="H48" s="11" t="n"/>
      <c r="I48" s="14" t="n"/>
      <c r="J48" s="4">
        <f>+$R$1&amp;""&amp;T48&amp;""&amp;U48&amp;" "&amp;$V$1&amp;" "&amp;V48&amp;" / "&amp;B48&amp;" "&amp;$U$1&amp;" "&amp;C48&amp;""&amp;$W$1</f>
        <v/>
      </c>
      <c r="T48" s="4">
        <f>+INDEX([1]GOLF!$E$2:$E$1990,MATCH(B48,[1]GOLF!$C$2:$C$1990,0))</f>
        <v/>
      </c>
      <c r="U48" s="4" t="inlineStr">
        <is>
          <t>mm</t>
        </is>
      </c>
      <c r="V48" s="4">
        <f>+INDEX([1]GOLF!$G:$G,MATCH(B48,[1]GOLF!$C:$C,0))</f>
        <v/>
      </c>
      <c r="X48" s="4">
        <f>+VLOOKUP(B48,[1]GOLF!$C:$G,3,0)</f>
        <v/>
      </c>
      <c r="Y48" s="4">
        <f>+X48=T48</f>
        <v/>
      </c>
    </row>
    <row r="49" hidden="1" ht="37.5" customHeight="1" s="22">
      <c r="A49" s="6" t="n"/>
      <c r="B49" s="8" t="n"/>
      <c r="C49" s="8" t="n"/>
      <c r="D49" s="8" t="n"/>
      <c r="E49" s="8" t="n"/>
      <c r="F49" s="8" t="n"/>
      <c r="G49" s="8" t="n"/>
      <c r="H49" s="11" t="n"/>
      <c r="I49" s="14" t="n"/>
      <c r="J49" s="4">
        <f>+$R$1&amp;""&amp;T49&amp;""&amp;U49&amp;" "&amp;$V$1&amp;" "&amp;V49&amp;" / "&amp;B49&amp;" "&amp;$U$1&amp;" "&amp;C49&amp;""&amp;$W$1</f>
        <v/>
      </c>
      <c r="T49" s="4">
        <f>+INDEX([1]GOLF!$E$2:$E$1990,MATCH(B49,[1]GOLF!$C$2:$C$1990,0))</f>
        <v/>
      </c>
      <c r="U49" s="4" t="inlineStr">
        <is>
          <t>mm</t>
        </is>
      </c>
      <c r="V49" s="4">
        <f>+INDEX([1]GOLF!$G:$G,MATCH(B49,[1]GOLF!$C:$C,0))</f>
        <v/>
      </c>
      <c r="X49" s="4">
        <f>+VLOOKUP(B49,[1]GOLF!$C:$G,3,0)</f>
        <v/>
      </c>
      <c r="Y49" s="4">
        <f>+X49=T49</f>
        <v/>
      </c>
    </row>
    <row r="50" hidden="1" ht="37.5" customHeight="1" s="22">
      <c r="A50" s="6" t="n"/>
      <c r="B50" s="8" t="n"/>
      <c r="C50" s="8" t="n"/>
      <c r="D50" s="8" t="n"/>
      <c r="E50" s="8" t="n"/>
      <c r="F50" s="8" t="n"/>
      <c r="G50" s="8" t="n"/>
      <c r="H50" s="11" t="n"/>
      <c r="I50" s="14" t="n"/>
      <c r="J50" s="4">
        <f>+$R$1&amp;""&amp;T50&amp;""&amp;U50&amp;" "&amp;$V$1&amp;" "&amp;V50&amp;" / "&amp;B50&amp;" "&amp;$U$1&amp;" "&amp;C50&amp;""&amp;$W$1</f>
        <v/>
      </c>
      <c r="T50" s="4">
        <f>+INDEX([1]GOLF!$E$2:$E$1990,MATCH(B50,[1]GOLF!$C$2:$C$1990,0))</f>
        <v/>
      </c>
      <c r="U50" s="4" t="inlineStr">
        <is>
          <t>mm</t>
        </is>
      </c>
      <c r="V50" s="4">
        <f>+INDEX([1]GOLF!$G:$G,MATCH(B50,[1]GOLF!$C:$C,0))</f>
        <v/>
      </c>
      <c r="X50" s="4">
        <f>+VLOOKUP(B50,[1]GOLF!$C:$G,3,0)</f>
        <v/>
      </c>
      <c r="Y50" s="4">
        <f>+X50=T50</f>
        <v/>
      </c>
    </row>
    <row r="51" hidden="1" ht="37.5" customHeight="1" s="22">
      <c r="A51" s="6" t="n"/>
      <c r="B51" s="8" t="n"/>
      <c r="C51" s="8" t="n"/>
      <c r="D51" s="8" t="n"/>
      <c r="E51" s="8" t="n"/>
      <c r="F51" s="8" t="n"/>
      <c r="G51" s="8" t="n"/>
      <c r="H51" s="11" t="n"/>
      <c r="I51" s="14" t="n"/>
      <c r="J51" s="4">
        <f>+$R$1&amp;""&amp;T51&amp;""&amp;U51&amp;" "&amp;$V$1&amp;" "&amp;V51&amp;" / "&amp;B51&amp;" "&amp;$U$1&amp;" "&amp;C51&amp;""&amp;$W$1</f>
        <v/>
      </c>
      <c r="T51" s="4">
        <f>+INDEX([1]GOLF!$E$2:$E$1990,MATCH(B51,[1]GOLF!$C$2:$C$1990,0))</f>
        <v/>
      </c>
      <c r="U51" s="4" t="inlineStr">
        <is>
          <t>mm</t>
        </is>
      </c>
      <c r="V51" s="4">
        <f>+INDEX([1]GOLF!$G:$G,MATCH(B51,[1]GOLF!$C:$C,0))</f>
        <v/>
      </c>
      <c r="X51" s="4">
        <f>+VLOOKUP(B51,[1]GOLF!$C:$G,3,0)</f>
        <v/>
      </c>
      <c r="Y51" s="4">
        <f>+X51=T51</f>
        <v/>
      </c>
    </row>
    <row r="52" hidden="1" ht="37.5" customHeight="1" s="22">
      <c r="A52" s="6" t="n"/>
      <c r="B52" s="8" t="n"/>
      <c r="C52" s="8" t="n"/>
      <c r="D52" s="8" t="n"/>
      <c r="E52" s="8" t="n"/>
      <c r="F52" s="8" t="n"/>
      <c r="G52" s="8" t="n"/>
      <c r="H52" s="11" t="n"/>
      <c r="I52" s="14" t="n"/>
      <c r="J52" s="4">
        <f>+$R$1&amp;""&amp;T52&amp;""&amp;U52&amp;" "&amp;$V$1&amp;" "&amp;V52&amp;" / "&amp;B52&amp;" "&amp;$U$1&amp;" "&amp;C52&amp;""&amp;$W$1</f>
        <v/>
      </c>
      <c r="T52" s="4">
        <f>+INDEX([1]GOLF!$E$2:$E$1990,MATCH(B52,[1]GOLF!$C$2:$C$1990,0))</f>
        <v/>
      </c>
      <c r="U52" s="4" t="inlineStr">
        <is>
          <t>mm</t>
        </is>
      </c>
      <c r="V52" s="4">
        <f>+INDEX([1]GOLF!$G:$G,MATCH(B52,[1]GOLF!$C:$C,0))</f>
        <v/>
      </c>
      <c r="X52" s="4">
        <f>+VLOOKUP(B52,[1]GOLF!$C:$G,3,0)</f>
        <v/>
      </c>
      <c r="Y52" s="4">
        <f>+X52=T52</f>
        <v/>
      </c>
    </row>
    <row r="53" hidden="1" ht="37.5" customHeight="1" s="22">
      <c r="A53" s="6" t="n"/>
      <c r="B53" s="8" t="n"/>
      <c r="C53" s="8" t="n"/>
      <c r="D53" s="8" t="n"/>
      <c r="E53" s="8" t="n"/>
      <c r="F53" s="8" t="n"/>
      <c r="G53" s="8" t="n"/>
      <c r="H53" s="11" t="n"/>
      <c r="I53" s="14" t="n"/>
      <c r="J53" s="4">
        <f>+$R$1&amp;""&amp;T53&amp;""&amp;U53&amp;" "&amp;$V$1&amp;" "&amp;V53&amp;" / "&amp;B53&amp;" "&amp;$U$1&amp;" "&amp;C53&amp;""&amp;$W$1</f>
        <v/>
      </c>
      <c r="T53" s="4">
        <f>+INDEX([1]GOLF!$E$2:$E$1990,MATCH(B53,[1]GOLF!$C$2:$C$1990,0))</f>
        <v/>
      </c>
      <c r="U53" s="4" t="inlineStr">
        <is>
          <t>mm</t>
        </is>
      </c>
      <c r="V53" s="4">
        <f>+INDEX([1]GOLF!$G:$G,MATCH(B53,[1]GOLF!$C:$C,0))</f>
        <v/>
      </c>
      <c r="X53" s="4">
        <f>+VLOOKUP(B53,[1]GOLF!$C:$G,3,0)</f>
        <v/>
      </c>
      <c r="Y53" s="4">
        <f>+X53=T53</f>
        <v/>
      </c>
    </row>
    <row r="54" hidden="1" ht="37.5" customHeight="1" s="22">
      <c r="A54" s="6" t="n"/>
      <c r="B54" s="8" t="n"/>
      <c r="C54" s="8" t="n"/>
      <c r="D54" s="8" t="n"/>
      <c r="E54" s="8" t="n"/>
      <c r="F54" s="8" t="n"/>
      <c r="G54" s="8" t="n"/>
      <c r="H54" s="11" t="n"/>
      <c r="I54" s="14" t="n"/>
      <c r="J54" s="4">
        <f>+$R$1&amp;""&amp;T54&amp;""&amp;U54&amp;" "&amp;$V$1&amp;" "&amp;V54&amp;" / "&amp;B54&amp;" "&amp;$U$1&amp;" "&amp;C54&amp;""&amp;$W$1</f>
        <v/>
      </c>
      <c r="T54" s="4">
        <f>+INDEX([1]GOLF!$E$2:$E$1990,MATCH(B54,[1]GOLF!$C$2:$C$1990,0))</f>
        <v/>
      </c>
      <c r="U54" s="4" t="inlineStr">
        <is>
          <t>mm</t>
        </is>
      </c>
      <c r="V54" s="4">
        <f>+INDEX([1]GOLF!$G:$G,MATCH(B54,[1]GOLF!$C:$C,0))</f>
        <v/>
      </c>
      <c r="X54" s="4">
        <f>+VLOOKUP(B54,[1]GOLF!$C:$G,3,0)</f>
        <v/>
      </c>
      <c r="Y54" s="4">
        <f>+X54=T54</f>
        <v/>
      </c>
    </row>
    <row r="55" hidden="1" ht="37.5" customHeight="1" s="22">
      <c r="A55" s="6" t="n"/>
      <c r="B55" s="8" t="n"/>
      <c r="C55" s="8" t="n"/>
      <c r="D55" s="8" t="n"/>
      <c r="E55" s="8" t="n"/>
      <c r="F55" s="8" t="n"/>
      <c r="G55" s="8" t="n"/>
      <c r="H55" s="11" t="n"/>
      <c r="I55" s="14" t="n"/>
      <c r="J55" s="4">
        <f>+$R$1&amp;""&amp;T55&amp;""&amp;U55&amp;" "&amp;$V$1&amp;" "&amp;V55&amp;" / "&amp;B55&amp;" "&amp;$U$1&amp;" "&amp;C55&amp;""&amp;$W$1</f>
        <v/>
      </c>
      <c r="T55" s="4">
        <f>+INDEX([1]GOLF!$E$2:$E$1990,MATCH(B55,[1]GOLF!$C$2:$C$1990,0))</f>
        <v/>
      </c>
      <c r="U55" s="4" t="inlineStr">
        <is>
          <t>mm</t>
        </is>
      </c>
      <c r="V55" s="4">
        <f>+INDEX([1]GOLF!$G:$G,MATCH(B55,[1]GOLF!$C:$C,0))</f>
        <v/>
      </c>
      <c r="X55" s="4">
        <f>+VLOOKUP(B55,[1]GOLF!$C:$G,3,0)</f>
        <v/>
      </c>
      <c r="Y55" s="4">
        <f>+X55=T55</f>
        <v/>
      </c>
    </row>
    <row r="56" hidden="1" ht="37.5" customHeight="1" s="22">
      <c r="A56" s="6" t="n"/>
      <c r="B56" s="8" t="n"/>
      <c r="C56" s="8" t="n"/>
      <c r="D56" s="8" t="n"/>
      <c r="E56" s="8" t="n"/>
      <c r="F56" s="8" t="n"/>
      <c r="G56" s="8" t="n"/>
      <c r="H56" s="11" t="n"/>
      <c r="I56" s="14" t="n"/>
      <c r="J56" s="4">
        <f>+$R$1&amp;""&amp;T56&amp;""&amp;U56&amp;" "&amp;$V$1&amp;" "&amp;V56&amp;" / "&amp;B56&amp;" "&amp;$U$1&amp;" "&amp;C56&amp;""&amp;$W$1</f>
        <v/>
      </c>
      <c r="T56" s="4">
        <f>+INDEX([1]GOLF!$E$2:$E$1990,MATCH(B56,[1]GOLF!$C$2:$C$1990,0))</f>
        <v/>
      </c>
      <c r="U56" s="4" t="inlineStr">
        <is>
          <t>mm</t>
        </is>
      </c>
      <c r="V56" s="4">
        <f>+INDEX([1]GOLF!$G:$G,MATCH(B56,[1]GOLF!$C:$C,0))</f>
        <v/>
      </c>
      <c r="X56" s="4">
        <f>+VLOOKUP(B56,[1]GOLF!$C:$G,3,0)</f>
        <v/>
      </c>
      <c r="Y56" s="4">
        <f>+X56=T56</f>
        <v/>
      </c>
    </row>
    <row r="57" hidden="1" ht="37.5" customHeight="1" s="22">
      <c r="A57" s="6" t="n"/>
      <c r="B57" s="8" t="n"/>
      <c r="C57" s="8" t="n"/>
      <c r="D57" s="8" t="n"/>
      <c r="E57" s="8" t="n"/>
      <c r="F57" s="8" t="n"/>
      <c r="G57" s="8" t="n"/>
      <c r="H57" s="11" t="n"/>
      <c r="I57" s="14" t="n"/>
      <c r="J57" s="4">
        <f>+$R$1&amp;""&amp;T57&amp;""&amp;U57&amp;" "&amp;$V$1&amp;" "&amp;V57&amp;" / "&amp;B57&amp;" "&amp;$U$1&amp;" "&amp;C57&amp;""&amp;$W$1</f>
        <v/>
      </c>
      <c r="T57" s="4">
        <f>+INDEX([1]GOLF!$E$2:$E$1990,MATCH(B57,[1]GOLF!$C$2:$C$1990,0))</f>
        <v/>
      </c>
      <c r="U57" s="4" t="inlineStr">
        <is>
          <t>mm</t>
        </is>
      </c>
      <c r="V57" s="4">
        <f>+INDEX([1]GOLF!$G:$G,MATCH(B57,[1]GOLF!$C:$C,0))</f>
        <v/>
      </c>
      <c r="X57" s="4">
        <f>+VLOOKUP(B57,[1]GOLF!$C:$G,3,0)</f>
        <v/>
      </c>
      <c r="Y57" s="4">
        <f>+X57=T57</f>
        <v/>
      </c>
    </row>
    <row r="58" hidden="1" ht="37.5" customHeight="1" s="22">
      <c r="A58" s="6" t="n"/>
      <c r="B58" s="8" t="n"/>
      <c r="C58" s="8" t="n"/>
      <c r="D58" s="8" t="n"/>
      <c r="E58" s="8" t="n"/>
      <c r="F58" s="8" t="n"/>
      <c r="G58" s="8" t="n"/>
      <c r="H58" s="11" t="n"/>
      <c r="I58" s="14" t="n"/>
      <c r="J58" s="4">
        <f>+$R$1&amp;""&amp;T58&amp;""&amp;U58&amp;" "&amp;$V$1&amp;" "&amp;V58&amp;" / "&amp;B58&amp;" "&amp;$U$1&amp;" "&amp;C58&amp;""&amp;$W$1</f>
        <v/>
      </c>
      <c r="T58" s="4">
        <f>+INDEX([1]GOLF!$E$2:$E$1990,MATCH(B58,[1]GOLF!$C$2:$C$1990,0))</f>
        <v/>
      </c>
      <c r="U58" s="4" t="inlineStr">
        <is>
          <t>mm</t>
        </is>
      </c>
      <c r="V58" s="4">
        <f>+INDEX([1]GOLF!$G:$G,MATCH(B58,[1]GOLF!$C:$C,0))</f>
        <v/>
      </c>
      <c r="X58" s="4">
        <f>+VLOOKUP(B58,[1]GOLF!$C:$G,3,0)</f>
        <v/>
      </c>
      <c r="Y58" s="4">
        <f>+X58=T58</f>
        <v/>
      </c>
    </row>
    <row r="59" hidden="1" ht="37.5" customHeight="1" s="22">
      <c r="A59" s="6" t="n"/>
      <c r="B59" s="8" t="n"/>
      <c r="C59" s="8" t="n"/>
      <c r="D59" s="8" t="n"/>
      <c r="E59" s="8" t="n"/>
      <c r="F59" s="8" t="n"/>
      <c r="G59" s="8" t="n"/>
      <c r="H59" s="11" t="n"/>
      <c r="I59" s="14" t="n"/>
      <c r="J59" s="4">
        <f>+$R$1&amp;""&amp;T59&amp;""&amp;U59&amp;" "&amp;$V$1&amp;" "&amp;V59&amp;" / "&amp;B59&amp;" "&amp;$U$1&amp;" "&amp;C59&amp;""&amp;$W$1</f>
        <v/>
      </c>
      <c r="T59" s="4">
        <f>+INDEX([1]GOLF!$E$2:$E$1990,MATCH(B59,[1]GOLF!$C$2:$C$1990,0))</f>
        <v/>
      </c>
      <c r="U59" s="4" t="inlineStr">
        <is>
          <t>mm</t>
        </is>
      </c>
      <c r="V59" s="4">
        <f>+INDEX([1]GOLF!$G:$G,MATCH(B59,[1]GOLF!$C:$C,0))</f>
        <v/>
      </c>
      <c r="X59" s="4">
        <f>+VLOOKUP(B59,[1]GOLF!$C:$G,3,0)</f>
        <v/>
      </c>
      <c r="Y59" s="4">
        <f>+X59=T59</f>
        <v/>
      </c>
    </row>
    <row r="60" hidden="1" ht="37.5" customHeight="1" s="22">
      <c r="A60" s="6" t="n"/>
      <c r="B60" s="8" t="n"/>
      <c r="C60" s="8" t="n"/>
      <c r="D60" s="8" t="n"/>
      <c r="E60" s="8" t="n"/>
      <c r="F60" s="8" t="n"/>
      <c r="G60" s="8" t="n"/>
      <c r="H60" s="11" t="n"/>
      <c r="I60" s="14" t="n"/>
      <c r="J60" s="4">
        <f>+$R$1&amp;""&amp;T60&amp;""&amp;U60&amp;" "&amp;$V$1&amp;" "&amp;V60&amp;" / "&amp;B60&amp;" "&amp;$U$1&amp;" "&amp;C60&amp;""&amp;$W$1</f>
        <v/>
      </c>
      <c r="T60" s="4">
        <f>+INDEX([1]GOLF!$E$2:$E$1990,MATCH(B60,[1]GOLF!$C$2:$C$1990,0))</f>
        <v/>
      </c>
      <c r="U60" s="4" t="inlineStr">
        <is>
          <t>mm</t>
        </is>
      </c>
      <c r="V60" s="4">
        <f>+INDEX([1]GOLF!$G:$G,MATCH(B60,[1]GOLF!$C:$C,0))</f>
        <v/>
      </c>
      <c r="X60" s="4">
        <f>+VLOOKUP(B60,[1]GOLF!$C:$G,3,0)</f>
        <v/>
      </c>
      <c r="Y60" s="4">
        <f>+X60=T60</f>
        <v/>
      </c>
    </row>
    <row r="61" hidden="1" ht="37.5" customHeight="1" s="22">
      <c r="A61" s="6" t="n"/>
      <c r="B61" s="8" t="n"/>
      <c r="C61" s="8" t="n"/>
      <c r="D61" s="8" t="n"/>
      <c r="E61" s="8" t="n"/>
      <c r="F61" s="8" t="n"/>
      <c r="G61" s="8" t="n"/>
      <c r="H61" s="11" t="n"/>
      <c r="I61" s="14" t="n"/>
      <c r="J61" s="4">
        <f>+$R$1&amp;""&amp;T61&amp;""&amp;U61&amp;" "&amp;$V$1&amp;" "&amp;V61&amp;" / "&amp;B61&amp;" "&amp;$U$1&amp;" "&amp;C61&amp;""&amp;$W$1</f>
        <v/>
      </c>
      <c r="T61" s="4">
        <f>+INDEX([1]GOLF!$E$2:$E$1990,MATCH(B61,[1]GOLF!$C$2:$C$1990,0))</f>
        <v/>
      </c>
      <c r="U61" s="4" t="inlineStr">
        <is>
          <t>mm</t>
        </is>
      </c>
      <c r="V61" s="4">
        <f>+INDEX([1]GOLF!$G:$G,MATCH(B61,[1]GOLF!$C:$C,0))</f>
        <v/>
      </c>
      <c r="X61" s="4">
        <f>+VLOOKUP(B61,[1]GOLF!$C:$G,3,0)</f>
        <v/>
      </c>
      <c r="Y61" s="4">
        <f>+X61=T61</f>
        <v/>
      </c>
    </row>
    <row r="62" hidden="1" ht="37.5" customHeight="1" s="22">
      <c r="A62" s="6" t="n"/>
      <c r="B62" s="8" t="n"/>
      <c r="C62" s="8" t="n"/>
      <c r="D62" s="8" t="n"/>
      <c r="E62" s="8" t="n"/>
      <c r="F62" s="8" t="n"/>
      <c r="G62" s="8" t="n"/>
      <c r="H62" s="11" t="n"/>
      <c r="I62" s="14" t="n"/>
      <c r="J62" s="4">
        <f>+$R$1&amp;""&amp;T62&amp;""&amp;U62&amp;" "&amp;$V$1&amp;" "&amp;V62&amp;" / "&amp;B62&amp;" "&amp;$U$1&amp;" "&amp;C62&amp;""&amp;$W$1</f>
        <v/>
      </c>
      <c r="T62" s="4">
        <f>+INDEX([1]GOLF!$E$2:$E$1990,MATCH(B62,[1]GOLF!$C$2:$C$1990,0))</f>
        <v/>
      </c>
      <c r="U62" s="4" t="inlineStr">
        <is>
          <t>mm</t>
        </is>
      </c>
      <c r="V62" s="4">
        <f>+INDEX([1]GOLF!$G:$G,MATCH(B62,[1]GOLF!$C:$C,0))</f>
        <v/>
      </c>
      <c r="X62" s="4">
        <f>+VLOOKUP(B62,[1]GOLF!$C:$G,3,0)</f>
        <v/>
      </c>
      <c r="Y62" s="4">
        <f>+X62=T62</f>
        <v/>
      </c>
    </row>
    <row r="63" hidden="1" ht="37.5" customHeight="1" s="22">
      <c r="A63" s="6" t="n"/>
      <c r="B63" s="8" t="n"/>
      <c r="C63" s="8" t="n"/>
      <c r="D63" s="8" t="n"/>
      <c r="E63" s="8" t="n"/>
      <c r="F63" s="8" t="n"/>
      <c r="G63" s="8" t="n"/>
      <c r="H63" s="11" t="n"/>
      <c r="I63" s="14" t="n"/>
      <c r="J63" s="4">
        <f>+$R$1&amp;""&amp;T63&amp;""&amp;U63&amp;" "&amp;$V$1&amp;" "&amp;V63&amp;" / "&amp;B63&amp;" "&amp;$U$1&amp;" "&amp;C63&amp;""&amp;$W$1</f>
        <v/>
      </c>
      <c r="T63" s="4">
        <f>+INDEX([1]GOLF!$E$2:$E$1990,MATCH(B63,[1]GOLF!$C$2:$C$1990,0))</f>
        <v/>
      </c>
      <c r="U63" s="4" t="inlineStr">
        <is>
          <t>mm</t>
        </is>
      </c>
      <c r="V63" s="4">
        <f>+INDEX([1]GOLF!$G:$G,MATCH(B63,[1]GOLF!$C:$C,0))</f>
        <v/>
      </c>
      <c r="X63" s="4">
        <f>+VLOOKUP(B63,[1]GOLF!$C:$G,3,0)</f>
        <v/>
      </c>
      <c r="Y63" s="4">
        <f>+X63=T63</f>
        <v/>
      </c>
    </row>
    <row r="64" hidden="1" ht="37.5" customHeight="1" s="22">
      <c r="A64" s="6" t="n"/>
      <c r="B64" s="8" t="n"/>
      <c r="C64" s="8" t="n"/>
      <c r="D64" s="8" t="n"/>
      <c r="E64" s="8" t="n"/>
      <c r="F64" s="8" t="n"/>
      <c r="G64" s="8" t="n"/>
      <c r="H64" s="11" t="n"/>
      <c r="I64" s="14" t="n"/>
      <c r="J64" s="4">
        <f>+$R$1&amp;""&amp;T64&amp;""&amp;U64&amp;" "&amp;$V$1&amp;" "&amp;V64&amp;" / "&amp;B64&amp;" "&amp;$U$1&amp;" "&amp;C64&amp;""&amp;$W$1</f>
        <v/>
      </c>
      <c r="T64" s="4">
        <f>+INDEX([1]GOLF!$E$2:$E$1990,MATCH(B64,[1]GOLF!$C$2:$C$1990,0))</f>
        <v/>
      </c>
      <c r="U64" s="4" t="inlineStr">
        <is>
          <t>mm</t>
        </is>
      </c>
      <c r="V64" s="4">
        <f>+INDEX([1]GOLF!$G:$G,MATCH(B64,[1]GOLF!$C:$C,0))</f>
        <v/>
      </c>
      <c r="X64" s="4">
        <f>+VLOOKUP(B64,[1]GOLF!$C:$G,3,0)</f>
        <v/>
      </c>
      <c r="Y64" s="4">
        <f>+X64=T64</f>
        <v/>
      </c>
    </row>
    <row r="65" hidden="1" ht="37.5" customHeight="1" s="22">
      <c r="A65" s="6" t="n"/>
      <c r="B65" s="8" t="n"/>
      <c r="C65" s="8" t="n"/>
      <c r="D65" s="8" t="n"/>
      <c r="E65" s="8" t="n"/>
      <c r="F65" s="8" t="n"/>
      <c r="G65" s="8" t="n"/>
      <c r="H65" s="11" t="n"/>
      <c r="I65" s="14" t="n"/>
      <c r="J65" s="4">
        <f>+$R$1&amp;""&amp;T65&amp;""&amp;U65&amp;" "&amp;$V$1&amp;" "&amp;V65&amp;" / "&amp;B65&amp;" "&amp;$U$1&amp;" "&amp;C65&amp;""&amp;$W$1</f>
        <v/>
      </c>
      <c r="T65" s="4">
        <f>+INDEX([1]GOLF!$E$2:$E$1990,MATCH(B65,[1]GOLF!$C$2:$C$1990,0))</f>
        <v/>
      </c>
      <c r="U65" s="4" t="inlineStr">
        <is>
          <t>mm</t>
        </is>
      </c>
      <c r="V65" s="4">
        <f>+INDEX([1]GOLF!$G:$G,MATCH(B65,[1]GOLF!$C:$C,0))</f>
        <v/>
      </c>
      <c r="X65" s="4">
        <f>+VLOOKUP(B65,[1]GOLF!$C:$G,3,0)</f>
        <v/>
      </c>
      <c r="Y65" s="4">
        <f>+X65=T65</f>
        <v/>
      </c>
    </row>
    <row r="66" hidden="1" ht="37.5" customHeight="1" s="22">
      <c r="A66" s="6" t="n"/>
      <c r="B66" s="8" t="n"/>
      <c r="C66" s="8" t="n"/>
      <c r="D66" s="8" t="n"/>
      <c r="E66" s="8" t="n"/>
      <c r="F66" s="8" t="n"/>
      <c r="G66" s="8" t="n"/>
      <c r="H66" s="11" t="n"/>
      <c r="I66" s="14" t="n"/>
      <c r="J66" s="4">
        <f>+$R$1&amp;""&amp;T66&amp;""&amp;U66&amp;" "&amp;$V$1&amp;" "&amp;V66&amp;" / "&amp;B66&amp;" "&amp;$U$1&amp;" "&amp;C66&amp;""&amp;$W$1</f>
        <v/>
      </c>
      <c r="T66" s="4">
        <f>+INDEX([1]GOLF!$E$2:$E$1990,MATCH(B66,[1]GOLF!$C$2:$C$1990,0))</f>
        <v/>
      </c>
      <c r="U66" s="4" t="inlineStr">
        <is>
          <t>mm</t>
        </is>
      </c>
      <c r="V66" s="4">
        <f>+INDEX([1]GOLF!$G:$G,MATCH(B66,[1]GOLF!$C:$C,0))</f>
        <v/>
      </c>
      <c r="X66" s="4">
        <f>+VLOOKUP(B66,[1]GOLF!$C:$G,3,0)</f>
        <v/>
      </c>
      <c r="Y66" s="4">
        <f>+X66=T66</f>
        <v/>
      </c>
    </row>
    <row r="67" hidden="1" ht="37.5" customHeight="1" s="22">
      <c r="A67" s="6" t="n"/>
      <c r="B67" s="8" t="n"/>
      <c r="C67" s="8" t="n"/>
      <c r="D67" s="8" t="n"/>
      <c r="E67" s="8" t="n"/>
      <c r="F67" s="8" t="n"/>
      <c r="G67" s="8" t="n"/>
      <c r="H67" s="11" t="n"/>
      <c r="I67" s="14" t="n"/>
      <c r="J67" s="4">
        <f>+$R$1&amp;""&amp;T67&amp;""&amp;U67&amp;" "&amp;$V$1&amp;" "&amp;V67&amp;" / "&amp;B67&amp;" "&amp;$U$1&amp;" "&amp;C67&amp;""&amp;$W$1</f>
        <v/>
      </c>
      <c r="T67" s="4">
        <f>+INDEX([1]GOLF!$E$2:$E$1990,MATCH(B67,[1]GOLF!$C$2:$C$1990,0))</f>
        <v/>
      </c>
      <c r="U67" s="4" t="inlineStr">
        <is>
          <t>mm</t>
        </is>
      </c>
      <c r="V67" s="4">
        <f>+INDEX([1]GOLF!$G:$G,MATCH(B67,[1]GOLF!$C:$C,0))</f>
        <v/>
      </c>
      <c r="X67" s="4">
        <f>+VLOOKUP(B67,[1]GOLF!$C:$G,3,0)</f>
        <v/>
      </c>
      <c r="Y67" s="4">
        <f>+X67=T67</f>
        <v/>
      </c>
    </row>
    <row r="68" hidden="1" ht="37.5" customHeight="1" s="22">
      <c r="A68" s="6" t="n"/>
      <c r="B68" s="8" t="n"/>
      <c r="C68" s="8" t="n"/>
      <c r="D68" s="8" t="n"/>
      <c r="E68" s="8" t="n"/>
      <c r="F68" s="8" t="n"/>
      <c r="G68" s="8" t="n"/>
      <c r="H68" s="11" t="n"/>
      <c r="I68" s="14" t="n"/>
      <c r="J68" s="4">
        <f>+$R$1&amp;""&amp;T68&amp;""&amp;U68&amp;" "&amp;$V$1&amp;" "&amp;V68&amp;" / "&amp;B68&amp;" "&amp;$U$1&amp;" "&amp;C68&amp;""&amp;$W$1</f>
        <v/>
      </c>
      <c r="T68" s="4">
        <f>+INDEX([1]GOLF!$E$2:$E$1990,MATCH(B68,[1]GOLF!$C$2:$C$1990,0))</f>
        <v/>
      </c>
      <c r="U68" s="4" t="inlineStr">
        <is>
          <t>mm</t>
        </is>
      </c>
      <c r="V68" s="4">
        <f>+INDEX([1]GOLF!$G:$G,MATCH(B68,[1]GOLF!$C:$C,0))</f>
        <v/>
      </c>
      <c r="X68" s="4">
        <f>+VLOOKUP(B68,[1]GOLF!$C:$G,3,0)</f>
        <v/>
      </c>
      <c r="Y68" s="4">
        <f>+X68=T68</f>
        <v/>
      </c>
    </row>
    <row r="69" hidden="1" ht="37.5" customHeight="1" s="22">
      <c r="A69" s="6" t="n"/>
      <c r="B69" s="8" t="n"/>
      <c r="C69" s="8" t="n"/>
      <c r="D69" s="8" t="n"/>
      <c r="E69" s="8" t="n"/>
      <c r="F69" s="8" t="n"/>
      <c r="G69" s="8" t="n"/>
      <c r="H69" s="11" t="n"/>
      <c r="I69" s="14" t="n"/>
      <c r="J69" s="4">
        <f>+$R$1&amp;""&amp;T69&amp;""&amp;U69&amp;" "&amp;$V$1&amp;" "&amp;V69&amp;" / "&amp;B69&amp;" "&amp;$U$1&amp;" "&amp;C69&amp;""&amp;$W$1</f>
        <v/>
      </c>
      <c r="T69" s="4">
        <f>+INDEX([1]GOLF!$E$2:$E$1990,MATCH(B69,[1]GOLF!$C$2:$C$1990,0))</f>
        <v/>
      </c>
      <c r="U69" s="4" t="inlineStr">
        <is>
          <t>mm</t>
        </is>
      </c>
      <c r="V69" s="4">
        <f>+INDEX([1]GOLF!$G:$G,MATCH(B69,[1]GOLF!$C:$C,0))</f>
        <v/>
      </c>
      <c r="X69" s="4">
        <f>+VLOOKUP(B69,[1]GOLF!$C:$G,3,0)</f>
        <v/>
      </c>
      <c r="Y69" s="4">
        <f>+X69=T69</f>
        <v/>
      </c>
    </row>
    <row r="70" hidden="1" ht="37.5" customHeight="1" s="22">
      <c r="A70" s="6" t="n"/>
      <c r="B70" s="8" t="n"/>
      <c r="C70" s="8" t="n"/>
      <c r="D70" s="8" t="n"/>
      <c r="E70" s="8" t="n"/>
      <c r="F70" s="8" t="n"/>
      <c r="G70" s="8" t="n"/>
      <c r="H70" s="11" t="n"/>
      <c r="I70" s="14" t="n"/>
      <c r="J70" s="4">
        <f>+$R$1&amp;""&amp;T70&amp;""&amp;U70&amp;" "&amp;$V$1&amp;" "&amp;V70&amp;" / "&amp;B70&amp;" "&amp;$U$1&amp;" "&amp;C70&amp;""&amp;$W$1</f>
        <v/>
      </c>
      <c r="T70" s="4">
        <f>+INDEX([1]GOLF!$E$2:$E$1990,MATCH(B70,[1]GOLF!$C$2:$C$1990,0))</f>
        <v/>
      </c>
      <c r="U70" s="4" t="inlineStr">
        <is>
          <t>mm</t>
        </is>
      </c>
      <c r="V70" s="4">
        <f>+INDEX([1]GOLF!$G:$G,MATCH(B70,[1]GOLF!$C:$C,0))</f>
        <v/>
      </c>
      <c r="X70" s="4">
        <f>+VLOOKUP(B70,[1]GOLF!$C:$G,3,0)</f>
        <v/>
      </c>
      <c r="Y70" s="4">
        <f>+X70=T70</f>
        <v/>
      </c>
    </row>
    <row r="71" hidden="1" ht="37.5" customHeight="1" s="22">
      <c r="A71" s="6" t="n"/>
      <c r="B71" s="8" t="n"/>
      <c r="C71" s="8" t="n"/>
      <c r="D71" s="8" t="n"/>
      <c r="E71" s="8" t="n"/>
      <c r="F71" s="8" t="n"/>
      <c r="G71" s="8" t="n"/>
      <c r="H71" s="11" t="n"/>
      <c r="I71" s="14" t="n"/>
      <c r="J71" s="4">
        <f>+$R$1&amp;""&amp;T71&amp;""&amp;U71&amp;" "&amp;$V$1&amp;" "&amp;V71&amp;" / "&amp;B71&amp;" "&amp;$U$1&amp;" "&amp;C71&amp;""&amp;$W$1</f>
        <v/>
      </c>
      <c r="T71" s="4">
        <f>+INDEX([1]GOLF!$E$2:$E$1990,MATCH(B71,[1]GOLF!$C$2:$C$1990,0))</f>
        <v/>
      </c>
      <c r="U71" s="4" t="inlineStr">
        <is>
          <t>mm</t>
        </is>
      </c>
      <c r="V71" s="4">
        <f>+INDEX([1]GOLF!$G:$G,MATCH(B71,[1]GOLF!$C:$C,0))</f>
        <v/>
      </c>
      <c r="X71" s="4">
        <f>+VLOOKUP(B71,[1]GOLF!$C:$G,3,0)</f>
        <v/>
      </c>
      <c r="Y71" s="4">
        <f>+X71=T71</f>
        <v/>
      </c>
    </row>
    <row r="72" hidden="1" ht="37.5" customHeight="1" s="22">
      <c r="A72" s="6" t="n"/>
      <c r="B72" s="8" t="n"/>
      <c r="C72" s="8" t="n"/>
      <c r="D72" s="8" t="n"/>
      <c r="E72" s="8" t="n"/>
      <c r="F72" s="8" t="n"/>
      <c r="G72" s="8" t="n"/>
      <c r="H72" s="11" t="n"/>
      <c r="I72" s="14" t="n"/>
      <c r="J72" s="4">
        <f>+$R$1&amp;""&amp;T72&amp;""&amp;U72&amp;" "&amp;$V$1&amp;" "&amp;V72&amp;" / "&amp;B72&amp;" "&amp;$U$1&amp;" "&amp;C72&amp;""&amp;$W$1</f>
        <v/>
      </c>
      <c r="T72" s="4">
        <f>+INDEX([1]GOLF!$E$2:$E$1990,MATCH(B72,[1]GOLF!$C$2:$C$1990,0))</f>
        <v/>
      </c>
      <c r="U72" s="4" t="inlineStr">
        <is>
          <t>mm</t>
        </is>
      </c>
      <c r="V72" s="4">
        <f>+INDEX([1]GOLF!$G:$G,MATCH(B72,[1]GOLF!$C:$C,0))</f>
        <v/>
      </c>
      <c r="X72" s="4">
        <f>+VLOOKUP(B72,[1]GOLF!$C:$G,3,0)</f>
        <v/>
      </c>
      <c r="Y72" s="4">
        <f>+X72=T72</f>
        <v/>
      </c>
    </row>
    <row r="73" hidden="1" ht="37.5" customHeight="1" s="22">
      <c r="A73" s="6" t="n"/>
      <c r="B73" s="8" t="n"/>
      <c r="C73" s="8" t="n"/>
      <c r="D73" s="8" t="n"/>
      <c r="E73" s="8" t="n"/>
      <c r="F73" s="8" t="n"/>
      <c r="G73" s="8" t="n"/>
      <c r="H73" s="11" t="n"/>
      <c r="I73" s="14" t="n"/>
      <c r="J73" s="4">
        <f>+$R$1&amp;""&amp;T73&amp;""&amp;U73&amp;" "&amp;$V$1&amp;" "&amp;V73&amp;" / "&amp;B73&amp;" "&amp;$U$1&amp;" "&amp;C73&amp;""&amp;$W$1</f>
        <v/>
      </c>
      <c r="T73" s="4">
        <f>+INDEX([1]GOLF!$E$2:$E$1990,MATCH(B73,[1]GOLF!$C$2:$C$1990,0))</f>
        <v/>
      </c>
      <c r="U73" s="4" t="inlineStr">
        <is>
          <t>mm</t>
        </is>
      </c>
      <c r="V73" s="4">
        <f>+INDEX([1]GOLF!$G:$G,MATCH(B73,[1]GOLF!$C:$C,0))</f>
        <v/>
      </c>
      <c r="X73" s="4">
        <f>+VLOOKUP(B73,[1]GOLF!$C:$G,3,0)</f>
        <v/>
      </c>
      <c r="Y73" s="4">
        <f>+X73=T73</f>
        <v/>
      </c>
    </row>
    <row r="74" hidden="1" ht="37.5" customHeight="1" s="22">
      <c r="A74" s="6" t="n"/>
      <c r="B74" s="8" t="n"/>
      <c r="C74" s="8" t="n"/>
      <c r="D74" s="8" t="n"/>
      <c r="E74" s="8" t="n"/>
      <c r="F74" s="8" t="n"/>
      <c r="G74" s="8" t="n"/>
      <c r="H74" s="11" t="n"/>
      <c r="I74" s="14" t="n"/>
      <c r="J74" s="4">
        <f>+$R$1&amp;""&amp;T74&amp;""&amp;U74&amp;" "&amp;$V$1&amp;" "&amp;V74&amp;" / "&amp;B74&amp;" "&amp;$U$1&amp;" "&amp;C74&amp;""&amp;$W$1</f>
        <v/>
      </c>
      <c r="T74" s="4">
        <f>+INDEX([1]GOLF!$E$2:$E$1990,MATCH(B74,[1]GOLF!$C$2:$C$1990,0))</f>
        <v/>
      </c>
      <c r="U74" s="4" t="inlineStr">
        <is>
          <t>mm</t>
        </is>
      </c>
      <c r="V74" s="4">
        <f>+INDEX([1]GOLF!$G:$G,MATCH(B74,[1]GOLF!$C:$C,0))</f>
        <v/>
      </c>
      <c r="X74" s="4">
        <f>+VLOOKUP(B74,[1]GOLF!$C:$G,3,0)</f>
        <v/>
      </c>
      <c r="Y74" s="4">
        <f>+X74=T74</f>
        <v/>
      </c>
    </row>
    <row r="75" hidden="1" ht="37.5" customHeight="1" s="22">
      <c r="A75" s="6" t="n"/>
      <c r="B75" s="8" t="n"/>
      <c r="C75" s="8" t="n"/>
      <c r="D75" s="8" t="n"/>
      <c r="E75" s="8" t="n"/>
      <c r="F75" s="8" t="n"/>
      <c r="G75" s="8" t="n"/>
      <c r="H75" s="11" t="n"/>
      <c r="I75" s="14" t="n"/>
      <c r="J75" s="4">
        <f>+$R$1&amp;""&amp;T75&amp;""&amp;U75&amp;" "&amp;$V$1&amp;" "&amp;V75&amp;" / "&amp;B75&amp;" "&amp;$U$1&amp;" "&amp;C75&amp;""&amp;$W$1</f>
        <v/>
      </c>
      <c r="T75" s="4">
        <f>+INDEX([1]GOLF!$E$2:$E$1990,MATCH(B75,[1]GOLF!$C$2:$C$1990,0))</f>
        <v/>
      </c>
      <c r="U75" s="4" t="inlineStr">
        <is>
          <t>mm</t>
        </is>
      </c>
      <c r="V75" s="4">
        <f>+INDEX([1]GOLF!$G:$G,MATCH(B75,[1]GOLF!$C:$C,0))</f>
        <v/>
      </c>
      <c r="X75" s="4">
        <f>+VLOOKUP(B75,[1]GOLF!$C:$G,3,0)</f>
        <v/>
      </c>
      <c r="Y75" s="4">
        <f>+X75=T75</f>
        <v/>
      </c>
    </row>
    <row r="76" hidden="1" ht="37.5" customHeight="1" s="22">
      <c r="A76" s="6" t="n"/>
      <c r="B76" s="8" t="n"/>
      <c r="C76" s="8" t="n"/>
      <c r="D76" s="8" t="n"/>
      <c r="E76" s="8" t="n"/>
      <c r="F76" s="8" t="n"/>
      <c r="G76" s="8" t="n"/>
      <c r="H76" s="11" t="n"/>
      <c r="I76" s="14" t="n"/>
      <c r="J76" s="4">
        <f>+$R$1&amp;""&amp;T76&amp;""&amp;U76&amp;" "&amp;$V$1&amp;" "&amp;V76&amp;" / "&amp;B76&amp;" "&amp;$U$1&amp;" "&amp;C76&amp;""&amp;$W$1</f>
        <v/>
      </c>
      <c r="T76" s="4">
        <f>+INDEX([1]GOLF!$E$2:$E$1990,MATCH(B76,[1]GOLF!$C$2:$C$1990,0))</f>
        <v/>
      </c>
      <c r="U76" s="4" t="inlineStr">
        <is>
          <t>mm</t>
        </is>
      </c>
      <c r="V76" s="4">
        <f>+INDEX([1]GOLF!$G:$G,MATCH(B76,[1]GOLF!$C:$C,0))</f>
        <v/>
      </c>
      <c r="X76" s="4">
        <f>+VLOOKUP(B76,[1]GOLF!$C:$G,3,0)</f>
        <v/>
      </c>
      <c r="Y76" s="4">
        <f>+X76=T76</f>
        <v/>
      </c>
    </row>
    <row r="77" hidden="1" ht="37.5" customHeight="1" s="22">
      <c r="A77" s="6" t="n"/>
      <c r="B77" s="8" t="n"/>
      <c r="C77" s="8" t="n"/>
      <c r="D77" s="8" t="n"/>
      <c r="E77" s="8" t="n"/>
      <c r="F77" s="8" t="n"/>
      <c r="G77" s="8" t="n"/>
      <c r="H77" s="11" t="n"/>
      <c r="I77" s="14" t="n"/>
      <c r="J77" s="4">
        <f>+$R$1&amp;""&amp;T77&amp;""&amp;U77&amp;" "&amp;$V$1&amp;" "&amp;V77&amp;" / "&amp;B77&amp;" "&amp;$U$1&amp;" "&amp;C77&amp;""&amp;$W$1</f>
        <v/>
      </c>
      <c r="T77" s="4">
        <f>+INDEX([1]GOLF!$E$2:$E$1990,MATCH(B77,[1]GOLF!$C$2:$C$1990,0))</f>
        <v/>
      </c>
      <c r="U77" s="4" t="inlineStr">
        <is>
          <t>mm</t>
        </is>
      </c>
      <c r="V77" s="4">
        <f>+INDEX([1]GOLF!$G:$G,MATCH(B77,[1]GOLF!$C:$C,0))</f>
        <v/>
      </c>
      <c r="X77" s="4">
        <f>+VLOOKUP(B77,[1]GOLF!$C:$G,3,0)</f>
        <v/>
      </c>
      <c r="Y77" s="4">
        <f>+X77=T77</f>
        <v/>
      </c>
    </row>
    <row r="78" hidden="1" ht="37.5" customHeight="1" s="22">
      <c r="A78" s="6" t="n"/>
      <c r="B78" s="8" t="n"/>
      <c r="C78" s="8" t="n"/>
      <c r="D78" s="8" t="n"/>
      <c r="E78" s="8" t="n"/>
      <c r="F78" s="8" t="n"/>
      <c r="G78" s="8" t="n"/>
      <c r="H78" s="11" t="n"/>
      <c r="I78" s="14" t="n"/>
      <c r="J78" s="4">
        <f>+$R$1&amp;""&amp;T78&amp;""&amp;U78&amp;" "&amp;$V$1&amp;" "&amp;V78&amp;" / "&amp;B78&amp;" "&amp;$U$1&amp;" "&amp;C78&amp;""&amp;$W$1</f>
        <v/>
      </c>
      <c r="T78" s="4">
        <f>+INDEX([1]GOLF!$E$2:$E$1990,MATCH(B78,[1]GOLF!$C$2:$C$1990,0))</f>
        <v/>
      </c>
      <c r="U78" s="4" t="inlineStr">
        <is>
          <t>mm</t>
        </is>
      </c>
      <c r="V78" s="4">
        <f>+INDEX([1]GOLF!$G:$G,MATCH(B78,[1]GOLF!$C:$C,0))</f>
        <v/>
      </c>
      <c r="X78" s="4">
        <f>+VLOOKUP(B78,[1]GOLF!$C:$G,3,0)</f>
        <v/>
      </c>
      <c r="Y78" s="4">
        <f>+X78=T78</f>
        <v/>
      </c>
    </row>
    <row r="79" hidden="1" ht="37.5" customHeight="1" s="22">
      <c r="A79" s="6" t="n"/>
      <c r="B79" s="8" t="n"/>
      <c r="C79" s="8" t="n"/>
      <c r="D79" s="8" t="n"/>
      <c r="E79" s="8" t="n"/>
      <c r="F79" s="8" t="n"/>
      <c r="G79" s="8" t="n"/>
      <c r="H79" s="11" t="n"/>
      <c r="I79" s="14" t="n"/>
      <c r="J79" s="4">
        <f>+$R$1&amp;""&amp;T79&amp;""&amp;U79&amp;" "&amp;$V$1&amp;" "&amp;V79&amp;" / "&amp;B79&amp;" "&amp;$U$1&amp;" "&amp;C79&amp;""&amp;$W$1</f>
        <v/>
      </c>
      <c r="T79" s="4">
        <f>+INDEX([1]GOLF!$E$2:$E$1990,MATCH(B79,[1]GOLF!$C$2:$C$1990,0))</f>
        <v/>
      </c>
      <c r="U79" s="4" t="inlineStr">
        <is>
          <t>mm</t>
        </is>
      </c>
      <c r="V79" s="4">
        <f>+INDEX([1]GOLF!$G:$G,MATCH(B79,[1]GOLF!$C:$C,0))</f>
        <v/>
      </c>
      <c r="X79" s="4">
        <f>+VLOOKUP(B79,[1]GOLF!$C:$G,3,0)</f>
        <v/>
      </c>
      <c r="Y79" s="4">
        <f>+X79=T79</f>
        <v/>
      </c>
    </row>
    <row r="80" hidden="1" ht="37.5" customHeight="1" s="22">
      <c r="A80" s="6" t="n"/>
      <c r="B80" s="8" t="n"/>
      <c r="C80" s="8" t="n"/>
      <c r="D80" s="8" t="n"/>
      <c r="E80" s="8" t="n"/>
      <c r="F80" s="8" t="n"/>
      <c r="G80" s="8" t="n"/>
      <c r="H80" s="11" t="n"/>
      <c r="I80" s="14" t="n"/>
      <c r="J80" s="4">
        <f>+$R$1&amp;""&amp;T80&amp;""&amp;U80&amp;" "&amp;$V$1&amp;" "&amp;V80&amp;" / "&amp;B80&amp;" "&amp;$U$1&amp;" "&amp;C80&amp;""&amp;$W$1</f>
        <v/>
      </c>
      <c r="T80" s="4">
        <f>+INDEX([1]GOLF!$E$2:$E$1990,MATCH(B80,[1]GOLF!$C$2:$C$1990,0))</f>
        <v/>
      </c>
      <c r="U80" s="4" t="inlineStr">
        <is>
          <t>mm</t>
        </is>
      </c>
      <c r="V80" s="4">
        <f>+INDEX([1]GOLF!$G:$G,MATCH(B80,[1]GOLF!$C:$C,0))</f>
        <v/>
      </c>
      <c r="X80" s="4">
        <f>+VLOOKUP(B80,[1]GOLF!$C:$G,3,0)</f>
        <v/>
      </c>
      <c r="Y80" s="4">
        <f>+X80=T80</f>
        <v/>
      </c>
    </row>
    <row r="81" hidden="1" ht="37.5" customHeight="1" s="22">
      <c r="A81" s="6" t="n"/>
      <c r="B81" s="8" t="n"/>
      <c r="C81" s="8" t="n"/>
      <c r="D81" s="8" t="n"/>
      <c r="E81" s="8" t="n"/>
      <c r="F81" s="8" t="n"/>
      <c r="G81" s="8" t="n"/>
      <c r="H81" s="11" t="n"/>
      <c r="I81" s="14" t="n"/>
      <c r="J81" s="4">
        <f>+$R$1&amp;""&amp;T81&amp;""&amp;U81&amp;" "&amp;$V$1&amp;" "&amp;V81&amp;" / "&amp;B81&amp;" "&amp;$U$1&amp;" "&amp;C81&amp;""&amp;$W$1</f>
        <v/>
      </c>
      <c r="T81" s="4">
        <f>+INDEX([1]GOLF!$E$2:$E$1990,MATCH(B81,[1]GOLF!$C$2:$C$1990,0))</f>
        <v/>
      </c>
      <c r="U81" s="4" t="inlineStr">
        <is>
          <t>mm</t>
        </is>
      </c>
      <c r="V81" s="4">
        <f>+INDEX([1]GOLF!$G:$G,MATCH(B81,[1]GOLF!$C:$C,0))</f>
        <v/>
      </c>
      <c r="X81" s="4">
        <f>+VLOOKUP(B81,[1]GOLF!$C:$G,3,0)</f>
        <v/>
      </c>
      <c r="Y81" s="4">
        <f>+X81=T81</f>
        <v/>
      </c>
    </row>
    <row r="82" hidden="1" ht="37.5" customHeight="1" s="22">
      <c r="A82" s="6" t="n"/>
      <c r="B82" s="8" t="n"/>
      <c r="C82" s="8" t="n"/>
      <c r="D82" s="8" t="n"/>
      <c r="E82" s="8" t="n"/>
      <c r="F82" s="8" t="n"/>
      <c r="G82" s="8" t="n"/>
      <c r="H82" s="11" t="n"/>
      <c r="I82" s="14" t="n"/>
      <c r="J82" s="4">
        <f>+$R$1&amp;""&amp;T82&amp;""&amp;U82&amp;" "&amp;$V$1&amp;" "&amp;V82&amp;" / "&amp;B82&amp;" "&amp;$U$1&amp;" "&amp;C82&amp;""&amp;$W$1</f>
        <v/>
      </c>
      <c r="T82" s="4">
        <f>+INDEX([1]GOLF!$E$2:$E$1990,MATCH(B82,[1]GOLF!$C$2:$C$1990,0))</f>
        <v/>
      </c>
      <c r="U82" s="4" t="inlineStr">
        <is>
          <t>mm</t>
        </is>
      </c>
      <c r="V82" s="4">
        <f>+INDEX([1]GOLF!$G:$G,MATCH(B82,[1]GOLF!$C:$C,0))</f>
        <v/>
      </c>
      <c r="X82" s="4">
        <f>+VLOOKUP(B82,[1]GOLF!$C:$G,3,0)</f>
        <v/>
      </c>
      <c r="Y82" s="4">
        <f>+X82=T82</f>
        <v/>
      </c>
    </row>
    <row r="83" hidden="1" ht="37.5" customHeight="1" s="22">
      <c r="A83" s="6" t="n"/>
      <c r="B83" s="8" t="n"/>
      <c r="C83" s="8" t="n"/>
      <c r="D83" s="8" t="n"/>
      <c r="E83" s="8" t="n"/>
      <c r="F83" s="8" t="n"/>
      <c r="G83" s="8" t="n"/>
      <c r="H83" s="11" t="n"/>
      <c r="I83" s="14" t="n"/>
      <c r="J83" s="4">
        <f>+$R$1&amp;""&amp;T83&amp;""&amp;U83&amp;" "&amp;$V$1&amp;" "&amp;V83&amp;" / "&amp;B83&amp;" "&amp;$U$1&amp;" "&amp;C83&amp;""&amp;$W$1</f>
        <v/>
      </c>
      <c r="T83" s="4">
        <f>+INDEX([1]GOLF!$E$2:$E$1990,MATCH(B83,[1]GOLF!$C$2:$C$1990,0))</f>
        <v/>
      </c>
      <c r="U83" s="4" t="inlineStr">
        <is>
          <t>mm</t>
        </is>
      </c>
      <c r="V83" s="4">
        <f>+INDEX([1]GOLF!$G:$G,MATCH(B83,[1]GOLF!$C:$C,0))</f>
        <v/>
      </c>
      <c r="X83" s="4">
        <f>+VLOOKUP(B83,[1]GOLF!$C:$G,3,0)</f>
        <v/>
      </c>
      <c r="Y83" s="4">
        <f>+X83=T83</f>
        <v/>
      </c>
    </row>
    <row r="84" hidden="1" ht="37.5" customHeight="1" s="22">
      <c r="A84" s="6" t="n"/>
      <c r="B84" s="8" t="n"/>
      <c r="C84" s="8" t="n"/>
      <c r="D84" s="8" t="n"/>
      <c r="E84" s="8" t="n"/>
      <c r="F84" s="8" t="n"/>
      <c r="G84" s="8" t="n"/>
      <c r="H84" s="11" t="n"/>
      <c r="I84" s="14" t="n"/>
      <c r="J84" s="4">
        <f>+$R$1&amp;""&amp;T84&amp;""&amp;U84&amp;" "&amp;$V$1&amp;" "&amp;V84&amp;" / "&amp;B84&amp;" "&amp;$U$1&amp;" "&amp;C84&amp;""&amp;$W$1</f>
        <v/>
      </c>
      <c r="T84" s="4">
        <f>+INDEX([1]GOLF!$E$2:$E$1990,MATCH(B84,[1]GOLF!$C$2:$C$1990,0))</f>
        <v/>
      </c>
      <c r="U84" s="4" t="inlineStr">
        <is>
          <t>mm</t>
        </is>
      </c>
      <c r="V84" s="4">
        <f>+INDEX([1]GOLF!$G:$G,MATCH(B84,[1]GOLF!$C:$C,0))</f>
        <v/>
      </c>
      <c r="X84" s="4">
        <f>+VLOOKUP(B84,[1]GOLF!$C:$G,3,0)</f>
        <v/>
      </c>
      <c r="Y84" s="4">
        <f>+X84=T84</f>
        <v/>
      </c>
    </row>
    <row r="85" hidden="1" ht="37.5" customHeight="1" s="22">
      <c r="A85" s="6" t="n"/>
      <c r="B85" s="8" t="n"/>
      <c r="C85" s="8" t="n"/>
      <c r="D85" s="8" t="n"/>
      <c r="E85" s="8" t="n"/>
      <c r="F85" s="8" t="n"/>
      <c r="G85" s="8" t="n"/>
      <c r="H85" s="11" t="n"/>
      <c r="I85" s="14" t="n"/>
      <c r="J85" s="4">
        <f>+$R$1&amp;""&amp;T85&amp;""&amp;U85&amp;" "&amp;$V$1&amp;" "&amp;V85&amp;" / "&amp;B85&amp;" "&amp;$U$1&amp;" "&amp;C85&amp;""&amp;$W$1</f>
        <v/>
      </c>
      <c r="T85" s="4">
        <f>+INDEX([1]GOLF!$E$2:$E$1990,MATCH(B85,[1]GOLF!$C$2:$C$1990,0))</f>
        <v/>
      </c>
      <c r="U85" s="4" t="inlineStr">
        <is>
          <t>mm</t>
        </is>
      </c>
      <c r="V85" s="4">
        <f>+INDEX([1]GOLF!$G:$G,MATCH(B85,[1]GOLF!$C:$C,0))</f>
        <v/>
      </c>
      <c r="X85" s="4">
        <f>+VLOOKUP(B85,[1]GOLF!$C:$G,3,0)</f>
        <v/>
      </c>
      <c r="Y85" s="4">
        <f>+X85=T85</f>
        <v/>
      </c>
    </row>
    <row r="86" hidden="1" ht="37.5" customHeight="1" s="22">
      <c r="A86" s="6" t="n"/>
      <c r="B86" s="8" t="n"/>
      <c r="C86" s="8" t="n"/>
      <c r="D86" s="8" t="n"/>
      <c r="E86" s="8" t="n"/>
      <c r="F86" s="8" t="n"/>
      <c r="G86" s="8" t="n"/>
      <c r="H86" s="11" t="n"/>
      <c r="I86" s="14" t="n"/>
      <c r="J86" s="4">
        <f>+$R$1&amp;""&amp;T86&amp;""&amp;U86&amp;" "&amp;$V$1&amp;" "&amp;V86&amp;" / "&amp;B86&amp;" "&amp;$U$1&amp;" "&amp;C86&amp;""&amp;$W$1</f>
        <v/>
      </c>
      <c r="T86" s="4">
        <f>+INDEX([1]GOLF!$E$2:$E$1990,MATCH(B86,[1]GOLF!$C$2:$C$1990,0))</f>
        <v/>
      </c>
      <c r="U86" s="4" t="inlineStr">
        <is>
          <t>mm</t>
        </is>
      </c>
      <c r="V86" s="4">
        <f>+INDEX([1]GOLF!$G:$G,MATCH(B86,[1]GOLF!$C:$C,0))</f>
        <v/>
      </c>
      <c r="X86" s="4">
        <f>+VLOOKUP(B86,[1]GOLF!$C:$G,3,0)</f>
        <v/>
      </c>
      <c r="Y86" s="4">
        <f>+X86=T86</f>
        <v/>
      </c>
    </row>
    <row r="87" hidden="1" ht="37.5" customHeight="1" s="22">
      <c r="A87" s="6" t="n"/>
      <c r="B87" s="8" t="n"/>
      <c r="C87" s="8" t="n"/>
      <c r="D87" s="8" t="n"/>
      <c r="E87" s="8" t="n"/>
      <c r="F87" s="8" t="n"/>
      <c r="G87" s="8" t="n"/>
      <c r="H87" s="11" t="n"/>
      <c r="I87" s="14" t="n"/>
      <c r="J87" s="4">
        <f>+$R$1&amp;""&amp;T87&amp;""&amp;U87&amp;" "&amp;$V$1&amp;" "&amp;V87&amp;" / "&amp;B87&amp;" "&amp;$U$1&amp;" "&amp;C87&amp;""&amp;$W$1</f>
        <v/>
      </c>
      <c r="T87" s="4">
        <f>+INDEX([1]GOLF!$E$2:$E$1990,MATCH(B87,[1]GOLF!$C$2:$C$1990,0))</f>
        <v/>
      </c>
      <c r="U87" s="4" t="inlineStr">
        <is>
          <t>mm</t>
        </is>
      </c>
      <c r="V87" s="4">
        <f>+INDEX([1]GOLF!$G:$G,MATCH(B87,[1]GOLF!$C:$C,0))</f>
        <v/>
      </c>
      <c r="X87" s="4">
        <f>+VLOOKUP(B87,[1]GOLF!$C:$G,3,0)</f>
        <v/>
      </c>
      <c r="Y87" s="4">
        <f>+X87=T87</f>
        <v/>
      </c>
    </row>
    <row r="88" hidden="1" ht="37.5" customHeight="1" s="22">
      <c r="A88" s="6" t="n"/>
      <c r="B88" s="8" t="n"/>
      <c r="C88" s="8" t="n"/>
      <c r="D88" s="8" t="n"/>
      <c r="E88" s="8" t="n"/>
      <c r="F88" s="8" t="n"/>
      <c r="G88" s="8" t="n"/>
      <c r="H88" s="11" t="n"/>
      <c r="I88" s="14" t="n"/>
      <c r="J88" s="4">
        <f>+$R$1&amp;""&amp;T88&amp;""&amp;U88&amp;" "&amp;$V$1&amp;" "&amp;V88&amp;" / "&amp;B88&amp;" "&amp;$U$1&amp;" "&amp;C88&amp;""&amp;$W$1</f>
        <v/>
      </c>
      <c r="T88" s="4">
        <f>+INDEX([1]GOLF!$E$2:$E$1990,MATCH(B88,[1]GOLF!$C$2:$C$1990,0))</f>
        <v/>
      </c>
      <c r="U88" s="4" t="inlineStr">
        <is>
          <t>mm</t>
        </is>
      </c>
      <c r="V88" s="4">
        <f>+INDEX([1]GOLF!$G:$G,MATCH(B88,[1]GOLF!$C:$C,0))</f>
        <v/>
      </c>
      <c r="X88" s="4">
        <f>+VLOOKUP(B88,[1]GOLF!$C:$G,3,0)</f>
        <v/>
      </c>
      <c r="Y88" s="4">
        <f>+X88=T88</f>
        <v/>
      </c>
    </row>
    <row r="89" hidden="1" ht="37.5" customHeight="1" s="22">
      <c r="A89" s="6" t="n"/>
      <c r="B89" s="8" t="n"/>
      <c r="C89" s="8" t="n"/>
      <c r="D89" s="8" t="n"/>
      <c r="E89" s="8" t="n"/>
      <c r="F89" s="8" t="n"/>
      <c r="G89" s="8" t="n"/>
      <c r="H89" s="11" t="n"/>
      <c r="I89" s="14" t="n"/>
      <c r="J89" s="4">
        <f>+$R$1&amp;""&amp;T89&amp;""&amp;U89&amp;" "&amp;$V$1&amp;" "&amp;V89&amp;" / "&amp;B89&amp;" "&amp;$U$1&amp;" "&amp;C89&amp;""&amp;$W$1</f>
        <v/>
      </c>
      <c r="T89" s="4">
        <f>+INDEX([1]GOLF!$E$2:$E$1990,MATCH(B89,[1]GOLF!$C$2:$C$1990,0))</f>
        <v/>
      </c>
      <c r="U89" s="4" t="inlineStr">
        <is>
          <t>mm</t>
        </is>
      </c>
      <c r="V89" s="4">
        <f>+INDEX([1]GOLF!$G:$G,MATCH(B89,[1]GOLF!$C:$C,0))</f>
        <v/>
      </c>
      <c r="X89" s="4">
        <f>+VLOOKUP(B89,[1]GOLF!$C:$G,3,0)</f>
        <v/>
      </c>
      <c r="Y89" s="4">
        <f>+X89=T89</f>
        <v/>
      </c>
    </row>
    <row r="90" hidden="1" ht="37.5" customHeight="1" s="22">
      <c r="A90" s="6" t="n"/>
      <c r="B90" s="8" t="n"/>
      <c r="C90" s="8" t="n"/>
      <c r="D90" s="8" t="n"/>
      <c r="E90" s="8" t="n"/>
      <c r="F90" s="8" t="n"/>
      <c r="G90" s="8" t="n"/>
      <c r="H90" s="11" t="n"/>
      <c r="I90" s="14" t="n"/>
      <c r="J90" s="4">
        <f>+$R$1&amp;""&amp;T90&amp;""&amp;U90&amp;" "&amp;$V$1&amp;" "&amp;V90&amp;" / "&amp;B90&amp;" "&amp;$U$1&amp;" "&amp;C90&amp;""&amp;$W$1</f>
        <v/>
      </c>
      <c r="T90" s="4">
        <f>+INDEX([1]GOLF!$E$2:$E$1990,MATCH(B90,[1]GOLF!$C$2:$C$1990,0))</f>
        <v/>
      </c>
      <c r="U90" s="4" t="inlineStr">
        <is>
          <t>mm</t>
        </is>
      </c>
      <c r="V90" s="4">
        <f>+INDEX([1]GOLF!$G:$G,MATCH(B90,[1]GOLF!$C:$C,0))</f>
        <v/>
      </c>
      <c r="X90" s="4">
        <f>+VLOOKUP(B90,[1]GOLF!$C:$G,3,0)</f>
        <v/>
      </c>
      <c r="Y90" s="4">
        <f>+X90=T90</f>
        <v/>
      </c>
    </row>
    <row r="91" hidden="1" ht="37.5" customHeight="1" s="22">
      <c r="A91" s="6" t="n"/>
      <c r="B91" s="8" t="n"/>
      <c r="C91" s="8" t="n"/>
      <c r="D91" s="8" t="n"/>
      <c r="E91" s="8" t="n"/>
      <c r="F91" s="8" t="n"/>
      <c r="G91" s="8" t="n"/>
      <c r="H91" s="11" t="n"/>
      <c r="I91" s="14" t="n"/>
      <c r="J91" s="4">
        <f>+$R$1&amp;""&amp;T91&amp;""&amp;U91&amp;" "&amp;$V$1&amp;" "&amp;V91&amp;" / "&amp;B91&amp;" "&amp;$U$1&amp;" "&amp;C91&amp;""&amp;$W$1</f>
        <v/>
      </c>
      <c r="T91" s="4">
        <f>+INDEX([1]GOLF!$E$2:$E$1990,MATCH(B91,[1]GOLF!$C$2:$C$1990,0))</f>
        <v/>
      </c>
      <c r="U91" s="4" t="inlineStr">
        <is>
          <t>mm</t>
        </is>
      </c>
      <c r="V91" s="4">
        <f>+INDEX([1]GOLF!$G:$G,MATCH(B91,[1]GOLF!$C:$C,0))</f>
        <v/>
      </c>
      <c r="X91" s="4">
        <f>+VLOOKUP(B91,[1]GOLF!$C:$G,3,0)</f>
        <v/>
      </c>
      <c r="Y91" s="4">
        <f>+X91=T91</f>
        <v/>
      </c>
    </row>
    <row r="92" hidden="1" ht="37.5" customHeight="1" s="22">
      <c r="A92" s="6" t="n"/>
      <c r="B92" s="8" t="n"/>
      <c r="C92" s="8" t="n"/>
      <c r="D92" s="8" t="n"/>
      <c r="E92" s="8" t="n"/>
      <c r="F92" s="8" t="n"/>
      <c r="G92" s="8" t="n"/>
      <c r="H92" s="11" t="n"/>
      <c r="I92" s="14" t="n"/>
      <c r="J92" s="4">
        <f>+$R$1&amp;""&amp;T92&amp;""&amp;U92&amp;" "&amp;$V$1&amp;" "&amp;V92&amp;" / "&amp;B92&amp;" "&amp;$U$1&amp;" "&amp;C92&amp;""&amp;$W$1</f>
        <v/>
      </c>
      <c r="T92" s="4">
        <f>+INDEX([1]GOLF!$E$2:$E$1990,MATCH(B92,[1]GOLF!$C$2:$C$1990,0))</f>
        <v/>
      </c>
      <c r="U92" s="4" t="inlineStr">
        <is>
          <t>mm</t>
        </is>
      </c>
      <c r="V92" s="4">
        <f>+INDEX([1]GOLF!$G:$G,MATCH(B92,[1]GOLF!$C:$C,0))</f>
        <v/>
      </c>
      <c r="X92" s="4">
        <f>+VLOOKUP(B92,[1]GOLF!$C:$G,3,0)</f>
        <v/>
      </c>
      <c r="Y92" s="4">
        <f>+X92=T92</f>
        <v/>
      </c>
    </row>
    <row r="93" hidden="1" ht="37.5" customHeight="1" s="22">
      <c r="A93" s="6" t="n"/>
      <c r="B93" s="8" t="n"/>
      <c r="C93" s="8" t="n"/>
      <c r="D93" s="8" t="n"/>
      <c r="E93" s="8" t="n"/>
      <c r="F93" s="8" t="n"/>
      <c r="G93" s="8" t="n"/>
      <c r="H93" s="11" t="n"/>
      <c r="I93" s="14" t="n"/>
      <c r="J93" s="4">
        <f>+$R$1&amp;""&amp;T93&amp;""&amp;U93&amp;" "&amp;$V$1&amp;" "&amp;V93&amp;" / "&amp;B93&amp;" "&amp;$U$1&amp;" "&amp;C93&amp;""&amp;$W$1</f>
        <v/>
      </c>
      <c r="T93" s="4">
        <f>+INDEX([1]GOLF!$E$2:$E$1990,MATCH(B93,[1]GOLF!$C$2:$C$1990,0))</f>
        <v/>
      </c>
      <c r="U93" s="4" t="inlineStr">
        <is>
          <t>mm</t>
        </is>
      </c>
      <c r="V93" s="4">
        <f>+INDEX([1]GOLF!$G:$G,MATCH(B93,[1]GOLF!$C:$C,0))</f>
        <v/>
      </c>
      <c r="X93" s="4">
        <f>+VLOOKUP(B93,[1]GOLF!$C:$G,3,0)</f>
        <v/>
      </c>
      <c r="Y93" s="4">
        <f>+X93=T93</f>
        <v/>
      </c>
    </row>
    <row r="94" hidden="1" ht="37.5" customHeight="1" s="22">
      <c r="A94" s="6" t="n"/>
      <c r="B94" s="8" t="n"/>
      <c r="C94" s="8" t="n"/>
      <c r="D94" s="8" t="n"/>
      <c r="E94" s="8" t="n"/>
      <c r="F94" s="8" t="n"/>
      <c r="G94" s="8" t="n"/>
      <c r="H94" s="11" t="n"/>
      <c r="I94" s="14" t="n"/>
      <c r="J94" s="4">
        <f>+$R$1&amp;""&amp;T94&amp;""&amp;U94&amp;" "&amp;$V$1&amp;" "&amp;V94&amp;" / "&amp;B94&amp;" "&amp;$U$1&amp;" "&amp;C94&amp;""&amp;$W$1</f>
        <v/>
      </c>
      <c r="T94" s="4">
        <f>+INDEX([1]GOLF!$E$2:$E$1990,MATCH(B94,[1]GOLF!$C$2:$C$1990,0))</f>
        <v/>
      </c>
      <c r="U94" s="4" t="inlineStr">
        <is>
          <t>mm</t>
        </is>
      </c>
      <c r="V94" s="4">
        <f>+INDEX([1]GOLF!$G:$G,MATCH(B94,[1]GOLF!$C:$C,0))</f>
        <v/>
      </c>
      <c r="X94" s="4">
        <f>+VLOOKUP(B94,[1]GOLF!$C:$G,3,0)</f>
        <v/>
      </c>
      <c r="Y94" s="4">
        <f>+X94=T94</f>
        <v/>
      </c>
    </row>
    <row r="95" hidden="1" ht="37.5" customHeight="1" s="22">
      <c r="A95" s="6" t="n"/>
      <c r="B95" s="8" t="n"/>
      <c r="C95" s="8" t="n"/>
      <c r="D95" s="8" t="n"/>
      <c r="E95" s="8" t="n"/>
      <c r="F95" s="8" t="n"/>
      <c r="G95" s="8" t="n"/>
      <c r="H95" s="11" t="n"/>
      <c r="I95" s="14" t="n"/>
      <c r="J95" s="4">
        <f>+$R$1&amp;""&amp;T95&amp;""&amp;U95&amp;" "&amp;$V$1&amp;" "&amp;V95&amp;" / "&amp;B95&amp;" "&amp;$U$1&amp;" "&amp;C95&amp;""&amp;$W$1</f>
        <v/>
      </c>
      <c r="T95" s="4">
        <f>+INDEX([1]GOLF!$E$2:$E$1990,MATCH(B95,[1]GOLF!$C$2:$C$1990,0))</f>
        <v/>
      </c>
      <c r="U95" s="4" t="inlineStr">
        <is>
          <t>mm</t>
        </is>
      </c>
      <c r="V95" s="4">
        <f>+INDEX([1]GOLF!$G:$G,MATCH(B95,[1]GOLF!$C:$C,0))</f>
        <v/>
      </c>
      <c r="X95" s="4">
        <f>+VLOOKUP(B95,[1]GOLF!$C:$G,3,0)</f>
        <v/>
      </c>
      <c r="Y95" s="4">
        <f>+X95=T95</f>
        <v/>
      </c>
    </row>
    <row r="96" hidden="1" ht="37.5" customHeight="1" s="22">
      <c r="A96" s="6" t="n"/>
      <c r="B96" s="8" t="n"/>
      <c r="C96" s="8" t="n"/>
      <c r="D96" s="8" t="n"/>
      <c r="E96" s="8" t="n"/>
      <c r="F96" s="8" t="n"/>
      <c r="G96" s="8" t="n"/>
      <c r="H96" s="11" t="n"/>
      <c r="I96" s="14" t="n"/>
      <c r="J96" s="4">
        <f>+$R$1&amp;""&amp;T96&amp;""&amp;U96&amp;" "&amp;$V$1&amp;" "&amp;V96&amp;" / "&amp;B96&amp;" "&amp;$U$1&amp;" "&amp;C96&amp;""&amp;$W$1</f>
        <v/>
      </c>
      <c r="T96" s="4">
        <f>+INDEX([1]GOLF!$E$2:$E$1990,MATCH(B96,[1]GOLF!$C$2:$C$1990,0))</f>
        <v/>
      </c>
      <c r="U96" s="4" t="inlineStr">
        <is>
          <t>mm</t>
        </is>
      </c>
      <c r="V96" s="4">
        <f>+INDEX([1]GOLF!$G:$G,MATCH(B96,[1]GOLF!$C:$C,0))</f>
        <v/>
      </c>
      <c r="X96" s="4">
        <f>+VLOOKUP(B96,[1]GOLF!$C:$G,3,0)</f>
        <v/>
      </c>
      <c r="Y96" s="4">
        <f>+X96=T96</f>
        <v/>
      </c>
    </row>
    <row r="97" hidden="1" ht="37.5" customHeight="1" s="22">
      <c r="A97" s="6" t="n"/>
      <c r="B97" s="8" t="n"/>
      <c r="C97" s="8" t="n"/>
      <c r="D97" s="8" t="n"/>
      <c r="E97" s="8" t="n"/>
      <c r="F97" s="8" t="n"/>
      <c r="G97" s="8" t="n"/>
      <c r="H97" s="11" t="n"/>
      <c r="I97" s="14" t="n"/>
      <c r="J97" s="4">
        <f>+$R$1&amp;""&amp;T97&amp;""&amp;U97&amp;" "&amp;$V$1&amp;" "&amp;V97&amp;" / "&amp;B97&amp;" "&amp;$U$1&amp;" "&amp;C97&amp;""&amp;$W$1</f>
        <v/>
      </c>
      <c r="T97" s="4">
        <f>+INDEX([1]GOLF!$E$2:$E$1990,MATCH(B97,[1]GOLF!$C$2:$C$1990,0))</f>
        <v/>
      </c>
      <c r="U97" s="4" t="inlineStr">
        <is>
          <t>mm</t>
        </is>
      </c>
      <c r="V97" s="4">
        <f>+INDEX([1]GOLF!$G:$G,MATCH(B97,[1]GOLF!$C:$C,0))</f>
        <v/>
      </c>
      <c r="X97" s="4">
        <f>+VLOOKUP(B97,[1]GOLF!$C:$G,3,0)</f>
        <v/>
      </c>
      <c r="Y97" s="4">
        <f>+X97=T97</f>
        <v/>
      </c>
    </row>
    <row r="98" hidden="1" ht="37.5" customHeight="1" s="22">
      <c r="A98" s="6" t="n"/>
      <c r="B98" s="8" t="n"/>
      <c r="C98" s="8" t="n"/>
      <c r="D98" s="8" t="n"/>
      <c r="E98" s="8" t="n"/>
      <c r="F98" s="8" t="n"/>
      <c r="G98" s="8" t="n"/>
      <c r="H98" s="11" t="n"/>
      <c r="I98" s="14" t="n"/>
      <c r="J98" s="4">
        <f>+$R$1&amp;""&amp;T98&amp;""&amp;U98&amp;" "&amp;$V$1&amp;" "&amp;V98&amp;" / "&amp;B98&amp;" "&amp;$U$1&amp;" "&amp;C98&amp;""&amp;$W$1</f>
        <v/>
      </c>
      <c r="T98" s="4">
        <f>+INDEX([1]GOLF!$E$2:$E$1990,MATCH(B98,[1]GOLF!$C$2:$C$1990,0))</f>
        <v/>
      </c>
      <c r="U98" s="4" t="inlineStr">
        <is>
          <t>mm</t>
        </is>
      </c>
      <c r="V98" s="4">
        <f>+INDEX([1]GOLF!$G:$G,MATCH(B98,[1]GOLF!$C:$C,0))</f>
        <v/>
      </c>
      <c r="X98" s="4">
        <f>+VLOOKUP(B98,[1]GOLF!$C:$G,3,0)</f>
        <v/>
      </c>
      <c r="Y98" s="4">
        <f>+X98=T98</f>
        <v/>
      </c>
    </row>
    <row r="99" hidden="1" ht="37.5" customHeight="1" s="22">
      <c r="A99" s="6" t="n"/>
      <c r="B99" s="8" t="n"/>
      <c r="C99" s="8" t="n"/>
      <c r="D99" s="8" t="n"/>
      <c r="E99" s="8" t="n"/>
      <c r="F99" s="8" t="n"/>
      <c r="G99" s="8" t="n"/>
      <c r="H99" s="11" t="n"/>
      <c r="I99" s="14" t="n"/>
      <c r="J99" s="4">
        <f>+$R$1&amp;""&amp;T99&amp;""&amp;U99&amp;" "&amp;$V$1&amp;" "&amp;V99&amp;" / "&amp;B99&amp;" "&amp;$U$1&amp;" "&amp;C99&amp;""&amp;$W$1</f>
        <v/>
      </c>
      <c r="T99" s="4">
        <f>+INDEX([1]GOLF!$E$2:$E$1990,MATCH(B99,[1]GOLF!$C$2:$C$1990,0))</f>
        <v/>
      </c>
      <c r="U99" s="4" t="inlineStr">
        <is>
          <t>mm</t>
        </is>
      </c>
      <c r="V99" s="4">
        <f>+INDEX([1]GOLF!$G:$G,MATCH(B99,[1]GOLF!$C:$C,0))</f>
        <v/>
      </c>
      <c r="X99" s="4">
        <f>+VLOOKUP(B99,[1]GOLF!$C:$G,3,0)</f>
        <v/>
      </c>
      <c r="Y99" s="4">
        <f>+X99=T99</f>
        <v/>
      </c>
    </row>
    <row r="100" hidden="1" ht="37.5" customHeight="1" s="22">
      <c r="A100" s="6" t="n"/>
      <c r="B100" s="8" t="n"/>
      <c r="C100" s="8" t="n"/>
      <c r="D100" s="8" t="n"/>
      <c r="E100" s="8" t="n"/>
      <c r="F100" s="8" t="n"/>
      <c r="G100" s="8" t="n"/>
      <c r="H100" s="11" t="n"/>
      <c r="I100" s="14" t="n"/>
      <c r="J100" s="4">
        <f>+$R$1&amp;""&amp;T100&amp;""&amp;U100&amp;" "&amp;$V$1&amp;" "&amp;V100&amp;" / "&amp;B100&amp;" "&amp;$U$1&amp;" "&amp;C100&amp;""&amp;$W$1</f>
        <v/>
      </c>
      <c r="T100" s="4">
        <f>+INDEX([1]GOLF!$E$2:$E$1990,MATCH(B100,[1]GOLF!$C$2:$C$1990,0))</f>
        <v/>
      </c>
      <c r="U100" s="4" t="inlineStr">
        <is>
          <t>mm</t>
        </is>
      </c>
      <c r="V100" s="4">
        <f>+INDEX([1]GOLF!$G:$G,MATCH(B100,[1]GOLF!$C:$C,0))</f>
        <v/>
      </c>
      <c r="X100" s="4">
        <f>+VLOOKUP(B100,[1]GOLF!$C:$G,3,0)</f>
        <v/>
      </c>
      <c r="Y100" s="4">
        <f>+X100=T100</f>
        <v/>
      </c>
    </row>
    <row r="101" hidden="1" ht="37.5" customHeight="1" s="22">
      <c r="A101" s="6" t="n"/>
      <c r="B101" s="8" t="n"/>
      <c r="C101" s="8" t="n"/>
      <c r="D101" s="8" t="n"/>
      <c r="E101" s="8" t="n"/>
      <c r="F101" s="8" t="n"/>
      <c r="G101" s="8" t="n"/>
      <c r="H101" s="11" t="n"/>
      <c r="I101" s="14" t="n"/>
    </row>
    <row r="102" hidden="1" ht="37.5" customHeight="1" s="22">
      <c r="A102" s="6" t="n"/>
      <c r="B102" s="8" t="n"/>
      <c r="C102" s="8" t="n"/>
      <c r="D102" s="8" t="n"/>
      <c r="E102" s="8" t="n"/>
      <c r="F102" s="8" t="n"/>
      <c r="G102" s="8" t="n"/>
      <c r="H102" s="11" t="n"/>
      <c r="I102" s="14" t="n"/>
    </row>
    <row r="103" hidden="1" ht="37.5" customHeight="1" s="22">
      <c r="A103" s="6" t="n"/>
      <c r="B103" s="8" t="n"/>
      <c r="C103" s="8" t="n"/>
      <c r="D103" s="8" t="n"/>
      <c r="E103" s="8" t="n"/>
      <c r="F103" s="8" t="n"/>
      <c r="G103" s="8" t="n"/>
      <c r="H103" s="11" t="n"/>
      <c r="I103" s="14" t="n"/>
    </row>
    <row r="104" hidden="1" ht="37.5" customHeight="1" s="22">
      <c r="A104" s="6" t="n"/>
      <c r="B104" s="8" t="n"/>
      <c r="C104" s="8" t="n"/>
      <c r="D104" s="8" t="n"/>
      <c r="E104" s="8" t="n"/>
      <c r="F104" s="8" t="n"/>
      <c r="G104" s="8" t="n"/>
      <c r="H104" s="11" t="n"/>
      <c r="I104" s="14" t="n"/>
    </row>
    <row r="105" hidden="1" ht="37.5" customHeight="1" s="22">
      <c r="A105" s="6" t="n"/>
      <c r="B105" s="8" t="n"/>
      <c r="C105" s="8" t="n"/>
      <c r="D105" s="8" t="n"/>
      <c r="E105" s="8" t="n"/>
      <c r="F105" s="8" t="n"/>
      <c r="G105" s="8" t="n"/>
      <c r="H105" s="11" t="n"/>
      <c r="I105" s="14" t="n"/>
    </row>
    <row r="106" hidden="1" ht="37.5" customHeight="1" s="22">
      <c r="A106" s="6" t="n"/>
      <c r="B106" s="8" t="n"/>
      <c r="C106" s="8" t="n"/>
      <c r="D106" s="8" t="n"/>
      <c r="E106" s="8" t="n"/>
      <c r="F106" s="8" t="n"/>
      <c r="G106" s="8" t="n"/>
      <c r="H106" s="11" t="n"/>
      <c r="I106" s="14" t="n"/>
    </row>
    <row r="107" hidden="1" ht="37.5" customHeight="1" s="22">
      <c r="A107" s="6" t="n"/>
      <c r="B107" s="8" t="n"/>
      <c r="C107" s="8" t="n"/>
      <c r="D107" s="8" t="n"/>
      <c r="E107" s="8" t="n"/>
      <c r="F107" s="8" t="n"/>
      <c r="G107" s="8" t="n"/>
      <c r="H107" s="11" t="n"/>
      <c r="I107" s="14" t="n"/>
    </row>
    <row r="108" hidden="1" ht="37.5" customHeight="1" s="22">
      <c r="A108" s="6" t="n"/>
      <c r="B108" s="8" t="n"/>
      <c r="C108" s="8" t="n"/>
      <c r="D108" s="8" t="n"/>
      <c r="E108" s="8" t="n"/>
      <c r="F108" s="8" t="n"/>
      <c r="G108" s="8" t="n"/>
      <c r="H108" s="11" t="n"/>
      <c r="I108" s="14" t="n"/>
    </row>
    <row r="109" hidden="1" ht="37.5" customHeight="1" s="22">
      <c r="A109" s="6" t="n"/>
      <c r="B109" s="8" t="n"/>
      <c r="C109" s="8" t="n"/>
      <c r="D109" s="8" t="n"/>
      <c r="E109" s="8" t="n"/>
      <c r="F109" s="8" t="n"/>
      <c r="G109" s="8" t="n"/>
      <c r="H109" s="11" t="n"/>
      <c r="I109" s="14" t="n"/>
    </row>
    <row r="110" hidden="1" ht="37.5" customHeight="1" s="22">
      <c r="A110" s="6" t="n"/>
      <c r="B110" s="8" t="n"/>
      <c r="C110" s="8" t="n"/>
      <c r="D110" s="8" t="n"/>
      <c r="E110" s="8" t="n"/>
      <c r="F110" s="8" t="n"/>
      <c r="G110" s="8" t="n"/>
      <c r="H110" s="11" t="n"/>
      <c r="I110" s="14" t="n"/>
    </row>
    <row r="111" hidden="1" ht="37.5" customHeight="1" s="22">
      <c r="A111" s="6" t="n"/>
      <c r="B111" s="8" t="n"/>
      <c r="C111" s="8" t="n"/>
      <c r="D111" s="8" t="n"/>
      <c r="E111" s="8" t="n"/>
      <c r="F111" s="8" t="n"/>
      <c r="G111" s="8" t="n"/>
      <c r="H111" s="11" t="n"/>
      <c r="I111" s="14" t="n"/>
    </row>
    <row r="112" hidden="1" ht="37.5" customHeight="1" s="22">
      <c r="A112" s="6" t="n"/>
      <c r="B112" s="8" t="n"/>
      <c r="C112" s="8" t="n"/>
      <c r="D112" s="8" t="n"/>
      <c r="E112" s="8" t="n"/>
      <c r="F112" s="8" t="n"/>
      <c r="G112" s="8" t="n"/>
      <c r="H112" s="11" t="n"/>
      <c r="I112" s="14" t="n"/>
    </row>
    <row r="113" hidden="1" ht="37.5" customHeight="1" s="22">
      <c r="A113" s="6" t="n"/>
      <c r="B113" s="8" t="n"/>
      <c r="C113" s="8" t="n"/>
      <c r="D113" s="8" t="n"/>
      <c r="E113" s="8" t="n"/>
      <c r="F113" s="8" t="n"/>
      <c r="G113" s="8" t="n"/>
      <c r="H113" s="11" t="n"/>
      <c r="I113" s="14" t="n"/>
    </row>
  </sheetData>
  <mergeCells count="1">
    <mergeCell ref="A1:B1"/>
  </mergeCells>
  <conditionalFormatting sqref="S1 S3:S1048576">
    <cfRule type="duplicateValues" priority="2" dxfId="0"/>
  </conditionalFormatting>
  <conditionalFormatting sqref="Y1:Y1048576">
    <cfRule type="cellIs" priority="1" operator="equal" dxfId="0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zoomScale="55" zoomScaleNormal="55" workbookViewId="0">
      <selection activeCell="D16" sqref="D16"/>
    </sheetView>
  </sheetViews>
  <sheetFormatPr baseColWidth="8" defaultColWidth="9.140625" defaultRowHeight="15"/>
  <cols>
    <col width="18.28515625" bestFit="1" customWidth="1" style="4" min="1" max="1"/>
    <col width="13.28515625" customWidth="1" style="4" min="2" max="2"/>
    <col width="14.85546875" customWidth="1" style="4" min="3" max="3"/>
    <col width="67" customWidth="1" style="4" min="4" max="4"/>
    <col width="16.85546875" customWidth="1" style="17" min="5" max="5"/>
    <col width="9.140625" customWidth="1" style="4" min="6" max="7"/>
    <col width="8.28515625" bestFit="1" customWidth="1" style="17" min="8" max="8"/>
    <col width="10.85546875" customWidth="1" style="4" min="9" max="10"/>
    <col width="12.42578125" bestFit="1" customWidth="1" style="4" min="11" max="11"/>
    <col width="15.28515625" customWidth="1" style="17" min="12" max="12"/>
    <col width="9.140625" customWidth="1" style="4" min="13" max="16384"/>
  </cols>
  <sheetData>
    <row r="1" ht="55.5" customHeight="1" s="22">
      <c r="A1" s="17" t="inlineStr">
        <is>
          <t>Mã hàng (A)</t>
        </is>
      </c>
      <c r="D1" s="17" t="inlineStr">
        <is>
          <t>Tên hàng (D)</t>
        </is>
      </c>
      <c r="E1" s="17" t="inlineStr">
        <is>
          <t>Số lượng 1</t>
        </is>
      </c>
      <c r="H1" s="17" t="inlineStr">
        <is>
          <t xml:space="preserve">Đơn giá </t>
        </is>
      </c>
      <c r="I1" s="18">
        <f>+SUM(I2:I379)</f>
        <v/>
      </c>
      <c r="J1" s="18">
        <f>+SUM(J2:J379)</f>
        <v/>
      </c>
      <c r="K1" s="18">
        <f>+SUM(K2:K379)</f>
        <v/>
      </c>
      <c r="L1" s="17" t="inlineStr">
        <is>
          <t>Xuất xứ</t>
        </is>
      </c>
    </row>
    <row r="2" ht="55.5" customHeight="1" s="22">
      <c r="A2" s="4">
        <f>+IF(Sheet2!A2="","",Sheet2!A2)</f>
        <v/>
      </c>
      <c r="B2" s="4">
        <f>+IF(Sheet2!B2="","",Sheet2!B2)</f>
        <v/>
      </c>
      <c r="C2" s="4">
        <f>+IF(Sheet2!C2="","",Sheet2!C2)</f>
        <v/>
      </c>
      <c r="D2" s="4">
        <f>+IF(Sheet2!J2="","",Sheet2!J2)</f>
        <v/>
      </c>
      <c r="E2" s="19">
        <f>Sheet2!D2</f>
        <v/>
      </c>
      <c r="H2" s="17">
        <f>Sheet2!H2</f>
        <v/>
      </c>
      <c r="I2" s="18">
        <f>+E2*F2</f>
        <v/>
      </c>
      <c r="J2" s="18">
        <f>+E2*G2</f>
        <v/>
      </c>
      <c r="K2" s="18">
        <f>+E2*H2</f>
        <v/>
      </c>
      <c r="L2" s="17" t="inlineStr">
        <is>
          <t>VIETNAM</t>
        </is>
      </c>
    </row>
    <row r="3" ht="55.5" customHeight="1" s="22">
      <c r="A3" s="4">
        <f>+IF(Sheet2!A3="","",Sheet2!A3)</f>
        <v/>
      </c>
      <c r="B3" s="4">
        <f>+IF(Sheet2!B3="","",Sheet2!B3)</f>
        <v/>
      </c>
      <c r="C3" s="4">
        <f>+IF(Sheet2!C3="","",Sheet2!C3)</f>
        <v/>
      </c>
      <c r="D3" s="4">
        <f>+IF(Sheet2!J3="","",Sheet2!J3)</f>
        <v/>
      </c>
      <c r="E3" s="19">
        <f>Sheet2!D3</f>
        <v/>
      </c>
      <c r="H3" s="17">
        <f>Sheet2!H3</f>
        <v/>
      </c>
      <c r="I3" s="18">
        <f>+E3*F3</f>
        <v/>
      </c>
      <c r="J3" s="18">
        <f>+E3*G3</f>
        <v/>
      </c>
      <c r="K3" s="18">
        <f>+E3*H3</f>
        <v/>
      </c>
      <c r="L3" s="17" t="inlineStr">
        <is>
          <t>VIETNAM</t>
        </is>
      </c>
    </row>
    <row r="4" hidden="1" ht="55.5" customHeight="1" s="22">
      <c r="A4" s="4">
        <f>+IF(Sheet2!A4="","",Sheet2!A4)</f>
        <v/>
      </c>
      <c r="B4" s="4">
        <f>+IF(Sheet2!B4="","",Sheet2!B4)</f>
        <v/>
      </c>
      <c r="C4" s="4">
        <f>+IF(Sheet2!C4="","",Sheet2!C4)</f>
        <v/>
      </c>
      <c r="D4" s="4">
        <f>+IF(Sheet2!J4="","",Sheet2!J4)</f>
        <v/>
      </c>
      <c r="E4" s="19">
        <f>Sheet2!D4</f>
        <v/>
      </c>
      <c r="H4" s="17">
        <f>Sheet2!H4</f>
        <v/>
      </c>
      <c r="I4" s="18">
        <f>+E4*F4</f>
        <v/>
      </c>
      <c r="J4" s="18">
        <f>+E4*G4</f>
        <v/>
      </c>
      <c r="K4" s="18">
        <f>+E4*H4</f>
        <v/>
      </c>
      <c r="L4" s="17" t="inlineStr">
        <is>
          <t>VIETNAM</t>
        </is>
      </c>
    </row>
    <row r="5" hidden="1" ht="55.5" customHeight="1" s="22">
      <c r="A5" s="4">
        <f>+IF(Sheet2!A5="","",Sheet2!A5)</f>
        <v/>
      </c>
      <c r="B5" s="4">
        <f>+IF(Sheet2!B5="","",Sheet2!B5)</f>
        <v/>
      </c>
      <c r="C5" s="4">
        <f>+IF(Sheet2!C5="","",Sheet2!C5)</f>
        <v/>
      </c>
      <c r="D5" s="4">
        <f>+IF(Sheet2!J5="","",Sheet2!J5)</f>
        <v/>
      </c>
      <c r="E5" s="19">
        <f>Sheet2!D5</f>
        <v/>
      </c>
      <c r="H5" s="17">
        <f>Sheet2!H5</f>
        <v/>
      </c>
      <c r="I5" s="18">
        <f>+E5*F5</f>
        <v/>
      </c>
      <c r="J5" s="18">
        <f>+E5*G5</f>
        <v/>
      </c>
      <c r="K5" s="18">
        <f>+E5*H5</f>
        <v/>
      </c>
      <c r="L5" s="17" t="inlineStr">
        <is>
          <t>VIETNAM</t>
        </is>
      </c>
    </row>
    <row r="6" hidden="1" ht="55.5" customHeight="1" s="22">
      <c r="A6" s="4">
        <f>+IF(Sheet2!A6="","",Sheet2!A6)</f>
        <v/>
      </c>
      <c r="B6" s="4">
        <f>+IF(Sheet2!B6="","",Sheet2!B6)</f>
        <v/>
      </c>
      <c r="C6" s="4">
        <f>+IF(Sheet2!C6="","",Sheet2!C6)</f>
        <v/>
      </c>
      <c r="D6" s="4">
        <f>+IF(Sheet2!J6="","",Sheet2!J6)</f>
        <v/>
      </c>
      <c r="E6" s="19">
        <f>Sheet2!D6</f>
        <v/>
      </c>
      <c r="H6" s="17">
        <f>Sheet2!H6</f>
        <v/>
      </c>
      <c r="I6" s="18">
        <f>+E6*F6</f>
        <v/>
      </c>
      <c r="J6" s="18">
        <f>+E6*G6</f>
        <v/>
      </c>
      <c r="K6" s="18">
        <f>+E6*H6</f>
        <v/>
      </c>
      <c r="L6" s="17" t="inlineStr">
        <is>
          <t>VIETNAM</t>
        </is>
      </c>
    </row>
    <row r="7" hidden="1" ht="55.5" customHeight="1" s="22">
      <c r="A7" s="4">
        <f>+IF(Sheet2!A7="","",Sheet2!A7)</f>
        <v/>
      </c>
      <c r="B7" s="4">
        <f>+IF(Sheet2!B7="","",Sheet2!B7)</f>
        <v/>
      </c>
      <c r="C7" s="4">
        <f>+IF(Sheet2!C7="","",Sheet2!C7)</f>
        <v/>
      </c>
      <c r="D7" s="4">
        <f>+IF(Sheet2!J7="","",Sheet2!J7)</f>
        <v/>
      </c>
      <c r="E7" s="19">
        <f>Sheet2!D7</f>
        <v/>
      </c>
      <c r="H7" s="17">
        <f>Sheet2!H7</f>
        <v/>
      </c>
      <c r="I7" s="18">
        <f>+E7*F7</f>
        <v/>
      </c>
      <c r="J7" s="18">
        <f>+E7*G7</f>
        <v/>
      </c>
      <c r="K7" s="18">
        <f>+E7*H7</f>
        <v/>
      </c>
      <c r="L7" s="17" t="inlineStr">
        <is>
          <t>VIETNAM</t>
        </is>
      </c>
    </row>
    <row r="8" hidden="1" ht="55.5" customHeight="1" s="22">
      <c r="A8" s="4">
        <f>+IF(Sheet2!A8="","",Sheet2!A8)</f>
        <v/>
      </c>
      <c r="B8" s="4">
        <f>+IF(Sheet2!B8="","",Sheet2!B8)</f>
        <v/>
      </c>
      <c r="C8" s="4">
        <f>+IF(Sheet2!C8="","",Sheet2!C8)</f>
        <v/>
      </c>
      <c r="D8" s="4">
        <f>+IF(Sheet2!J8="","",Sheet2!J8)</f>
        <v/>
      </c>
      <c r="E8" s="19">
        <f>Sheet2!D8</f>
        <v/>
      </c>
      <c r="H8" s="17">
        <f>Sheet2!H8</f>
        <v/>
      </c>
      <c r="I8" s="18">
        <f>+E8*F8</f>
        <v/>
      </c>
      <c r="J8" s="18">
        <f>+E8*G8</f>
        <v/>
      </c>
      <c r="K8" s="18">
        <f>+E8*H8</f>
        <v/>
      </c>
      <c r="L8" s="17" t="inlineStr">
        <is>
          <t>VIETNAM</t>
        </is>
      </c>
    </row>
    <row r="9" hidden="1" ht="55.5" customHeight="1" s="22">
      <c r="A9" s="4">
        <f>+IF(Sheet2!A9="","",Sheet2!A9)</f>
        <v/>
      </c>
      <c r="B9" s="4">
        <f>+IF(Sheet2!B9="","",Sheet2!B9)</f>
        <v/>
      </c>
      <c r="C9" s="4">
        <f>+IF(Sheet2!C9="","",Sheet2!C9)</f>
        <v/>
      </c>
      <c r="D9" s="4">
        <f>+IF(Sheet2!J9="","",Sheet2!J9)</f>
        <v/>
      </c>
      <c r="E9" s="19">
        <f>Sheet2!D9</f>
        <v/>
      </c>
      <c r="H9" s="17">
        <f>Sheet2!H9</f>
        <v/>
      </c>
      <c r="I9" s="18">
        <f>+E9*F9</f>
        <v/>
      </c>
      <c r="J9" s="18">
        <f>+E9*G9</f>
        <v/>
      </c>
      <c r="K9" s="18">
        <f>+E9*H9</f>
        <v/>
      </c>
      <c r="L9" s="17" t="inlineStr">
        <is>
          <t>VIETNAM</t>
        </is>
      </c>
    </row>
    <row r="10" hidden="1" ht="55.5" customHeight="1" s="22">
      <c r="A10" s="4">
        <f>+IF(Sheet2!A10="","",Sheet2!A10)</f>
        <v/>
      </c>
      <c r="B10" s="4">
        <f>+IF(Sheet2!B10="","",Sheet2!B10)</f>
        <v/>
      </c>
      <c r="C10" s="4">
        <f>+IF(Sheet2!C10="","",Sheet2!C10)</f>
        <v/>
      </c>
      <c r="D10" s="4">
        <f>+IF(Sheet2!J10="","",Sheet2!J10)</f>
        <v/>
      </c>
      <c r="E10" s="19">
        <f>Sheet2!D10</f>
        <v/>
      </c>
      <c r="H10" s="17">
        <f>Sheet2!H10</f>
        <v/>
      </c>
      <c r="I10" s="18">
        <f>+E10*F10</f>
        <v/>
      </c>
      <c r="J10" s="18">
        <f>+E10*G10</f>
        <v/>
      </c>
      <c r="K10" s="18">
        <f>+E10*H10</f>
        <v/>
      </c>
      <c r="L10" s="17" t="inlineStr">
        <is>
          <t>VIETNAM</t>
        </is>
      </c>
    </row>
    <row r="11" hidden="1" ht="55.5" customHeight="1" s="22">
      <c r="A11" s="4">
        <f>+IF(Sheet2!A11="","",Sheet2!A11)</f>
        <v/>
      </c>
      <c r="B11" s="4">
        <f>+IF(Sheet2!B11="","",Sheet2!B11)</f>
        <v/>
      </c>
      <c r="C11" s="4">
        <f>+IF(Sheet2!C11="","",Sheet2!C11)</f>
        <v/>
      </c>
      <c r="D11" s="4">
        <f>+IF(Sheet2!J11="","",Sheet2!J11)</f>
        <v/>
      </c>
      <c r="E11" s="19">
        <f>Sheet2!D11</f>
        <v/>
      </c>
      <c r="H11" s="17">
        <f>Sheet2!H11</f>
        <v/>
      </c>
      <c r="I11" s="18">
        <f>+E11*F11</f>
        <v/>
      </c>
      <c r="J11" s="18">
        <f>+E11*G11</f>
        <v/>
      </c>
      <c r="K11" s="18">
        <f>+E11*H11</f>
        <v/>
      </c>
      <c r="L11" s="17" t="inlineStr">
        <is>
          <t>VIETNAM</t>
        </is>
      </c>
    </row>
    <row r="12" hidden="1" ht="55.5" customHeight="1" s="22">
      <c r="A12" s="4">
        <f>+IF(Sheet2!A12="","",Sheet2!A12)</f>
        <v/>
      </c>
      <c r="B12" s="4">
        <f>+IF(Sheet2!B12="","",Sheet2!B12)</f>
        <v/>
      </c>
      <c r="C12" s="4">
        <f>+IF(Sheet2!C12="","",Sheet2!C12)</f>
        <v/>
      </c>
      <c r="D12" s="4">
        <f>+IF(Sheet2!J12="","",Sheet2!J12)</f>
        <v/>
      </c>
      <c r="E12" s="19">
        <f>Sheet2!D12</f>
        <v/>
      </c>
      <c r="H12" s="17">
        <f>Sheet2!H12</f>
        <v/>
      </c>
      <c r="I12" s="18">
        <f>+E12*F12</f>
        <v/>
      </c>
      <c r="J12" s="18">
        <f>+E12*G12</f>
        <v/>
      </c>
      <c r="K12" s="18">
        <f>+E12*H12</f>
        <v/>
      </c>
      <c r="L12" s="17" t="inlineStr">
        <is>
          <t>VIETNAM</t>
        </is>
      </c>
    </row>
    <row r="13" hidden="1" ht="55.5" customHeight="1" s="22">
      <c r="A13" s="4">
        <f>+IF(Sheet2!A13="","",Sheet2!A13)</f>
        <v/>
      </c>
      <c r="B13" s="4">
        <f>+IF(Sheet2!B13="","",Sheet2!B13)</f>
        <v/>
      </c>
      <c r="C13" s="4">
        <f>+IF(Sheet2!C13="","",Sheet2!C13)</f>
        <v/>
      </c>
      <c r="D13" s="4">
        <f>+IF(Sheet2!J13="","",Sheet2!J13)</f>
        <v/>
      </c>
      <c r="E13" s="19">
        <f>Sheet2!D13</f>
        <v/>
      </c>
      <c r="H13" s="17">
        <f>Sheet2!H13</f>
        <v/>
      </c>
      <c r="I13" s="18">
        <f>+E13*F13</f>
        <v/>
      </c>
      <c r="J13" s="18">
        <f>+E13*G13</f>
        <v/>
      </c>
      <c r="K13" s="18">
        <f>+E13*H13</f>
        <v/>
      </c>
      <c r="L13" s="17" t="inlineStr">
        <is>
          <t>VIETNAM</t>
        </is>
      </c>
    </row>
    <row r="14" hidden="1" ht="55.5" customHeight="1" s="22">
      <c r="A14" s="4">
        <f>+IF(Sheet2!A14="","",Sheet2!A14)</f>
        <v/>
      </c>
      <c r="B14" s="4">
        <f>+IF(Sheet2!B14="","",Sheet2!B14)</f>
        <v/>
      </c>
      <c r="C14" s="4">
        <f>+IF(Sheet2!C14="","",Sheet2!C14)</f>
        <v/>
      </c>
      <c r="D14" s="4">
        <f>+IF(Sheet2!J14="","",Sheet2!J14)</f>
        <v/>
      </c>
      <c r="E14" s="19">
        <f>Sheet2!D14</f>
        <v/>
      </c>
      <c r="H14" s="17">
        <f>Sheet2!H14</f>
        <v/>
      </c>
      <c r="I14" s="18">
        <f>+E14*F14</f>
        <v/>
      </c>
      <c r="J14" s="18">
        <f>+E14*G14</f>
        <v/>
      </c>
      <c r="K14" s="18">
        <f>+E14*H14</f>
        <v/>
      </c>
      <c r="L14" s="17" t="inlineStr">
        <is>
          <t>VIETNAM</t>
        </is>
      </c>
    </row>
    <row r="15" hidden="1" ht="55.5" customHeight="1" s="22">
      <c r="A15" s="4">
        <f>+IF(Sheet2!A15="","",Sheet2!A15)</f>
        <v/>
      </c>
      <c r="B15" s="4">
        <f>+IF(Sheet2!B15="","",Sheet2!B15)</f>
        <v/>
      </c>
      <c r="C15" s="4">
        <f>+IF(Sheet2!C15="","",Sheet2!C15)</f>
        <v/>
      </c>
      <c r="D15" s="4">
        <f>+IF(Sheet2!J15="","",Sheet2!J15)</f>
        <v/>
      </c>
      <c r="E15" s="19">
        <f>Sheet2!D15</f>
        <v/>
      </c>
      <c r="H15" s="17">
        <f>Sheet2!H15</f>
        <v/>
      </c>
      <c r="I15" s="18">
        <f>+E15*F15</f>
        <v/>
      </c>
      <c r="J15" s="18">
        <f>+E15*G15</f>
        <v/>
      </c>
      <c r="K15" s="18">
        <f>+E15*H15</f>
        <v/>
      </c>
      <c r="L15" s="17" t="inlineStr">
        <is>
          <t>VIETNAM</t>
        </is>
      </c>
    </row>
    <row r="16" hidden="1" ht="55.5" customHeight="1" s="22">
      <c r="A16" s="4">
        <f>+IF(Sheet2!A16="","",Sheet2!A16)</f>
        <v/>
      </c>
      <c r="B16" s="4">
        <f>+IF(Sheet2!B16="","",Sheet2!B16)</f>
        <v/>
      </c>
      <c r="C16" s="4">
        <f>+IF(Sheet2!C16="","",Sheet2!C16)</f>
        <v/>
      </c>
      <c r="D16" s="4">
        <f>+IF(Sheet2!J16="","",Sheet2!J16)</f>
        <v/>
      </c>
      <c r="E16" s="19">
        <f>Sheet2!D16</f>
        <v/>
      </c>
      <c r="H16" s="17">
        <f>Sheet2!H16</f>
        <v/>
      </c>
      <c r="I16" s="18">
        <f>+E16*F16</f>
        <v/>
      </c>
      <c r="J16" s="18">
        <f>+E16*G16</f>
        <v/>
      </c>
      <c r="K16" s="18">
        <f>+E16*H16</f>
        <v/>
      </c>
      <c r="L16" s="17" t="inlineStr">
        <is>
          <t>VIETNAM</t>
        </is>
      </c>
    </row>
    <row r="17" hidden="1" ht="55.5" customHeight="1" s="22">
      <c r="A17" s="4">
        <f>+IF(Sheet2!A17="","",Sheet2!A17)</f>
        <v/>
      </c>
      <c r="B17" s="4">
        <f>+IF(Sheet2!B17="","",Sheet2!B17)</f>
        <v/>
      </c>
      <c r="C17" s="4">
        <f>+IF(Sheet2!C17="","",Sheet2!C17)</f>
        <v/>
      </c>
      <c r="D17" s="4">
        <f>+IF(Sheet2!J17="","",Sheet2!J17)</f>
        <v/>
      </c>
      <c r="E17" s="19">
        <f>Sheet2!D17</f>
        <v/>
      </c>
      <c r="H17" s="17">
        <f>Sheet2!H17</f>
        <v/>
      </c>
      <c r="I17" s="18">
        <f>+E17*F17</f>
        <v/>
      </c>
      <c r="J17" s="18">
        <f>+E17*G17</f>
        <v/>
      </c>
      <c r="K17" s="18">
        <f>+E17*H17</f>
        <v/>
      </c>
      <c r="L17" s="17" t="inlineStr">
        <is>
          <t>VIETNAM</t>
        </is>
      </c>
    </row>
    <row r="18" hidden="1" ht="55.5" customHeight="1" s="22">
      <c r="A18" s="4">
        <f>+IF(Sheet2!A18="","",Sheet2!A18)</f>
        <v/>
      </c>
      <c r="B18" s="4">
        <f>+IF(Sheet2!B18="","",Sheet2!B18)</f>
        <v/>
      </c>
      <c r="C18" s="4">
        <f>+IF(Sheet2!C18="","",Sheet2!C18)</f>
        <v/>
      </c>
      <c r="D18" s="4">
        <f>+IF(Sheet2!J18="","",Sheet2!J18)</f>
        <v/>
      </c>
      <c r="E18" s="19">
        <f>Sheet2!D18</f>
        <v/>
      </c>
      <c r="H18" s="17">
        <f>Sheet2!H18</f>
        <v/>
      </c>
      <c r="I18" s="18">
        <f>+E18*F18</f>
        <v/>
      </c>
      <c r="J18" s="18">
        <f>+E18*G18</f>
        <v/>
      </c>
      <c r="K18" s="18">
        <f>+E18*H18</f>
        <v/>
      </c>
      <c r="L18" s="17" t="inlineStr">
        <is>
          <t>VIETNAM</t>
        </is>
      </c>
    </row>
    <row r="19" hidden="1" ht="55.5" customHeight="1" s="22">
      <c r="A19" s="4">
        <f>+IF(Sheet2!A19="","",Sheet2!A19)</f>
        <v/>
      </c>
      <c r="B19" s="4">
        <f>+IF(Sheet2!B19="","",Sheet2!B19)</f>
        <v/>
      </c>
      <c r="C19" s="4">
        <f>+IF(Sheet2!C19="","",Sheet2!C19)</f>
        <v/>
      </c>
      <c r="D19" s="4">
        <f>+IF(Sheet2!J19="","",Sheet2!J19)</f>
        <v/>
      </c>
      <c r="E19" s="19">
        <f>Sheet2!D19</f>
        <v/>
      </c>
      <c r="H19" s="17">
        <f>Sheet2!H19</f>
        <v/>
      </c>
      <c r="I19" s="18">
        <f>+E19*F19</f>
        <v/>
      </c>
      <c r="J19" s="18">
        <f>+E19*G19</f>
        <v/>
      </c>
      <c r="K19" s="18">
        <f>+E19*H19</f>
        <v/>
      </c>
      <c r="L19" s="17" t="inlineStr">
        <is>
          <t>VIETNAM</t>
        </is>
      </c>
    </row>
    <row r="20" hidden="1" ht="55.5" customHeight="1" s="22">
      <c r="A20" s="4">
        <f>+IF(Sheet2!A20="","",Sheet2!A20)</f>
        <v/>
      </c>
      <c r="B20" s="4">
        <f>+IF(Sheet2!B20="","",Sheet2!B20)</f>
        <v/>
      </c>
      <c r="C20" s="4">
        <f>+IF(Sheet2!C20="","",Sheet2!C20)</f>
        <v/>
      </c>
      <c r="D20" s="4">
        <f>+IF(Sheet2!J20="","",Sheet2!J20)</f>
        <v/>
      </c>
      <c r="E20" s="19">
        <f>Sheet2!D20</f>
        <v/>
      </c>
      <c r="H20" s="17">
        <f>Sheet2!H20</f>
        <v/>
      </c>
      <c r="I20" s="18">
        <f>+E20*F20</f>
        <v/>
      </c>
      <c r="J20" s="18">
        <f>+E20*G20</f>
        <v/>
      </c>
      <c r="K20" s="18">
        <f>+E20*H20</f>
        <v/>
      </c>
      <c r="L20" s="17" t="inlineStr">
        <is>
          <t>VIETNAM</t>
        </is>
      </c>
    </row>
    <row r="21" hidden="1" ht="55.5" customHeight="1" s="22">
      <c r="A21" s="4">
        <f>+IF(Sheet2!A21="","",Sheet2!A21)</f>
        <v/>
      </c>
      <c r="B21" s="4">
        <f>+IF(Sheet2!B21="","",Sheet2!B21)</f>
        <v/>
      </c>
      <c r="C21" s="4">
        <f>+IF(Sheet2!C21="","",Sheet2!C21)</f>
        <v/>
      </c>
      <c r="D21" s="4">
        <f>+IF(Sheet2!J21="","",Sheet2!J21)</f>
        <v/>
      </c>
      <c r="E21" s="19">
        <f>Sheet2!D21</f>
        <v/>
      </c>
      <c r="H21" s="17">
        <f>Sheet2!H21</f>
        <v/>
      </c>
      <c r="I21" s="18">
        <f>+E21*F21</f>
        <v/>
      </c>
      <c r="J21" s="18">
        <f>+E21*G21</f>
        <v/>
      </c>
      <c r="K21" s="18">
        <f>+E21*H21</f>
        <v/>
      </c>
      <c r="L21" s="17" t="inlineStr">
        <is>
          <t>VIETNAM</t>
        </is>
      </c>
    </row>
    <row r="22" hidden="1" ht="55.5" customHeight="1" s="22">
      <c r="A22" s="4">
        <f>+IF(Sheet2!A22="","",Sheet2!A22)</f>
        <v/>
      </c>
      <c r="B22" s="4">
        <f>+IF(Sheet2!B22="","",Sheet2!B22)</f>
        <v/>
      </c>
      <c r="C22" s="4">
        <f>+IF(Sheet2!C22="","",Sheet2!C22)</f>
        <v/>
      </c>
      <c r="D22" s="4">
        <f>+IF(Sheet2!J22="","",Sheet2!J22)</f>
        <v/>
      </c>
      <c r="E22" s="19">
        <f>Sheet2!D22</f>
        <v/>
      </c>
      <c r="H22" s="17">
        <f>Sheet2!H22</f>
        <v/>
      </c>
      <c r="I22" s="18">
        <f>+E22*F22</f>
        <v/>
      </c>
      <c r="J22" s="18">
        <f>+E22*G22</f>
        <v/>
      </c>
      <c r="K22" s="18">
        <f>+E22*H22</f>
        <v/>
      </c>
      <c r="L22" s="17" t="inlineStr">
        <is>
          <t>VIETNAM</t>
        </is>
      </c>
    </row>
    <row r="23" hidden="1" ht="55.5" customHeight="1" s="22">
      <c r="A23" s="4">
        <f>+IF(Sheet2!A23="","",Sheet2!A23)</f>
        <v/>
      </c>
      <c r="B23" s="4">
        <f>+IF(Sheet2!B23="","",Sheet2!B23)</f>
        <v/>
      </c>
      <c r="C23" s="4">
        <f>+IF(Sheet2!C23="","",Sheet2!C23)</f>
        <v/>
      </c>
      <c r="D23" s="4">
        <f>+IF(Sheet2!J23="","",Sheet2!J23)</f>
        <v/>
      </c>
      <c r="E23" s="19">
        <f>Sheet2!D23</f>
        <v/>
      </c>
      <c r="H23" s="17">
        <f>Sheet2!H23</f>
        <v/>
      </c>
      <c r="I23" s="18">
        <f>+E23*F23</f>
        <v/>
      </c>
      <c r="J23" s="18">
        <f>+E23*G23</f>
        <v/>
      </c>
      <c r="K23" s="18">
        <f>+E23*H23</f>
        <v/>
      </c>
      <c r="L23" s="17" t="inlineStr">
        <is>
          <t>VIETNAM</t>
        </is>
      </c>
    </row>
    <row r="24" hidden="1" ht="55.5" customHeight="1" s="22">
      <c r="A24" s="4">
        <f>+IF(Sheet2!A24="","",Sheet2!A24)</f>
        <v/>
      </c>
      <c r="B24" s="4">
        <f>+IF(Sheet2!B24="","",Sheet2!B24)</f>
        <v/>
      </c>
      <c r="C24" s="4">
        <f>+IF(Sheet2!C24="","",Sheet2!C24)</f>
        <v/>
      </c>
      <c r="D24" s="4">
        <f>+IF(Sheet2!J24="","",Sheet2!J24)</f>
        <v/>
      </c>
      <c r="E24" s="19">
        <f>Sheet2!D24</f>
        <v/>
      </c>
      <c r="H24" s="17">
        <f>Sheet2!H24</f>
        <v/>
      </c>
      <c r="I24" s="18">
        <f>+E24*F24</f>
        <v/>
      </c>
      <c r="J24" s="18">
        <f>+E24*G24</f>
        <v/>
      </c>
      <c r="K24" s="18">
        <f>+E24*H24</f>
        <v/>
      </c>
      <c r="L24" s="17" t="inlineStr">
        <is>
          <t>VIETNAM</t>
        </is>
      </c>
    </row>
    <row r="25" hidden="1" ht="55.5" customHeight="1" s="22">
      <c r="A25" s="4">
        <f>+IF(Sheet2!A25="","",Sheet2!A25)</f>
        <v/>
      </c>
      <c r="B25" s="4">
        <f>+IF(Sheet2!B25="","",Sheet2!B25)</f>
        <v/>
      </c>
      <c r="C25" s="4">
        <f>+IF(Sheet2!C25="","",Sheet2!C25)</f>
        <v/>
      </c>
      <c r="D25" s="4">
        <f>+IF(Sheet2!J25="","",Sheet2!J25)</f>
        <v/>
      </c>
      <c r="E25" s="19">
        <f>Sheet2!D25</f>
        <v/>
      </c>
      <c r="H25" s="17">
        <f>Sheet2!H25</f>
        <v/>
      </c>
      <c r="I25" s="18">
        <f>+E25*F25</f>
        <v/>
      </c>
      <c r="J25" s="18">
        <f>+E25*G25</f>
        <v/>
      </c>
      <c r="K25" s="18">
        <f>+E25*H25</f>
        <v/>
      </c>
      <c r="L25" s="17" t="inlineStr">
        <is>
          <t>VIETNAM</t>
        </is>
      </c>
    </row>
    <row r="26" hidden="1" ht="55.5" customHeight="1" s="22">
      <c r="A26" s="4">
        <f>+IF(Sheet2!A26="","",Sheet2!A26)</f>
        <v/>
      </c>
      <c r="B26" s="4">
        <f>+IF(Sheet2!B26="","",Sheet2!B26)</f>
        <v/>
      </c>
      <c r="C26" s="4">
        <f>+IF(Sheet2!C26="","",Sheet2!C26)</f>
        <v/>
      </c>
      <c r="D26" s="4">
        <f>+IF(Sheet2!J26="","",Sheet2!J26)</f>
        <v/>
      </c>
      <c r="E26" s="19">
        <f>Sheet2!D26</f>
        <v/>
      </c>
      <c r="H26" s="17">
        <f>Sheet2!H26</f>
        <v/>
      </c>
      <c r="I26" s="18">
        <f>+E26*F26</f>
        <v/>
      </c>
      <c r="J26" s="18">
        <f>+E26*G26</f>
        <v/>
      </c>
      <c r="K26" s="18">
        <f>+E26*H26</f>
        <v/>
      </c>
      <c r="L26" s="17" t="inlineStr">
        <is>
          <t>VIETNAM</t>
        </is>
      </c>
    </row>
    <row r="27" hidden="1" ht="55.5" customHeight="1" s="22">
      <c r="A27" s="4">
        <f>+IF(Sheet2!A27="","",Sheet2!A27)</f>
        <v/>
      </c>
      <c r="B27" s="4">
        <f>+IF(Sheet2!B27="","",Sheet2!B27)</f>
        <v/>
      </c>
      <c r="C27" s="4">
        <f>+IF(Sheet2!C27="","",Sheet2!C27)</f>
        <v/>
      </c>
      <c r="D27" s="4">
        <f>+IF(Sheet2!J27="","",Sheet2!J27)</f>
        <v/>
      </c>
      <c r="E27" s="19">
        <f>Sheet2!D27</f>
        <v/>
      </c>
      <c r="H27" s="17">
        <f>Sheet2!H27</f>
        <v/>
      </c>
      <c r="I27" s="18">
        <f>+E27*F27</f>
        <v/>
      </c>
      <c r="J27" s="18">
        <f>+E27*G27</f>
        <v/>
      </c>
      <c r="K27" s="18">
        <f>+E27*H27</f>
        <v/>
      </c>
      <c r="L27" s="17" t="inlineStr">
        <is>
          <t>VIETNAM</t>
        </is>
      </c>
    </row>
    <row r="28" hidden="1" ht="55.5" customHeight="1" s="22">
      <c r="A28" s="4">
        <f>+IF(Sheet2!A28="","",Sheet2!A28)</f>
        <v/>
      </c>
      <c r="B28" s="4">
        <f>+IF(Sheet2!B28="","",Sheet2!B28)</f>
        <v/>
      </c>
      <c r="C28" s="4">
        <f>+IF(Sheet2!C28="","",Sheet2!C28)</f>
        <v/>
      </c>
      <c r="D28" s="4">
        <f>+IF(Sheet2!J28="","",Sheet2!J28)</f>
        <v/>
      </c>
      <c r="E28" s="19">
        <f>Sheet2!D28</f>
        <v/>
      </c>
      <c r="H28" s="17">
        <f>Sheet2!H28</f>
        <v/>
      </c>
      <c r="I28" s="18">
        <f>+E28*F28</f>
        <v/>
      </c>
      <c r="J28" s="18">
        <f>+E28*G28</f>
        <v/>
      </c>
      <c r="K28" s="18">
        <f>+E28*H28</f>
        <v/>
      </c>
      <c r="L28" s="17" t="inlineStr">
        <is>
          <t>VIETNAM</t>
        </is>
      </c>
    </row>
    <row r="29" hidden="1" ht="55.5" customHeight="1" s="22">
      <c r="A29" s="4">
        <f>+IF(Sheet2!A29="","",Sheet2!A29)</f>
        <v/>
      </c>
      <c r="B29" s="4">
        <f>+IF(Sheet2!B29="","",Sheet2!B29)</f>
        <v/>
      </c>
      <c r="C29" s="4">
        <f>+IF(Sheet2!C29="","",Sheet2!C29)</f>
        <v/>
      </c>
      <c r="D29" s="4">
        <f>+IF(Sheet2!J29="","",Sheet2!J29)</f>
        <v/>
      </c>
      <c r="E29" s="19">
        <f>Sheet2!D29</f>
        <v/>
      </c>
      <c r="H29" s="17">
        <f>Sheet2!H29</f>
        <v/>
      </c>
      <c r="I29" s="18">
        <f>+E29*F29</f>
        <v/>
      </c>
      <c r="J29" s="18">
        <f>+E29*G29</f>
        <v/>
      </c>
      <c r="K29" s="18">
        <f>+E29*H29</f>
        <v/>
      </c>
      <c r="L29" s="17" t="inlineStr">
        <is>
          <t>VIETNAM</t>
        </is>
      </c>
    </row>
    <row r="30" hidden="1" ht="55.5" customHeight="1" s="22">
      <c r="A30" s="4">
        <f>+IF(Sheet2!A30="","",Sheet2!A30)</f>
        <v/>
      </c>
      <c r="B30" s="4">
        <f>+IF(Sheet2!B30="","",Sheet2!B30)</f>
        <v/>
      </c>
      <c r="C30" s="4">
        <f>+IF(Sheet2!C30="","",Sheet2!C30)</f>
        <v/>
      </c>
      <c r="D30" s="4">
        <f>+IF(Sheet2!J30="","",Sheet2!J30)</f>
        <v/>
      </c>
      <c r="E30" s="19">
        <f>Sheet2!D30</f>
        <v/>
      </c>
      <c r="H30" s="17">
        <f>Sheet2!H30</f>
        <v/>
      </c>
      <c r="I30" s="18">
        <f>+E30*F30</f>
        <v/>
      </c>
      <c r="J30" s="18">
        <f>+E30*G30</f>
        <v/>
      </c>
      <c r="K30" s="18">
        <f>+E30*H30</f>
        <v/>
      </c>
      <c r="L30" s="17" t="inlineStr">
        <is>
          <t>VIETNAM</t>
        </is>
      </c>
    </row>
    <row r="31" hidden="1" ht="55.5" customHeight="1" s="22">
      <c r="A31" s="4">
        <f>+IF(Sheet2!A31="","",Sheet2!A31)</f>
        <v/>
      </c>
      <c r="B31" s="4">
        <f>+IF(Sheet2!B31="","",Sheet2!B31)</f>
        <v/>
      </c>
      <c r="C31" s="4">
        <f>+IF(Sheet2!C31="","",Sheet2!C31)</f>
        <v/>
      </c>
      <c r="D31" s="4">
        <f>+IF(Sheet2!J31="","",Sheet2!J31)</f>
        <v/>
      </c>
      <c r="E31" s="19">
        <f>Sheet2!D31</f>
        <v/>
      </c>
      <c r="H31" s="17">
        <f>Sheet2!H31</f>
        <v/>
      </c>
      <c r="I31" s="18">
        <f>+E31*F31</f>
        <v/>
      </c>
      <c r="J31" s="18">
        <f>+E31*G31</f>
        <v/>
      </c>
      <c r="K31" s="18">
        <f>+E31*H31</f>
        <v/>
      </c>
      <c r="L31" s="17" t="inlineStr">
        <is>
          <t>VIETNAM</t>
        </is>
      </c>
    </row>
    <row r="32" hidden="1" ht="55.5" customHeight="1" s="22">
      <c r="A32" s="4">
        <f>+IF(Sheet2!A32="","",Sheet2!A32)</f>
        <v/>
      </c>
      <c r="B32" s="4">
        <f>+IF(Sheet2!B32="","",Sheet2!B32)</f>
        <v/>
      </c>
      <c r="C32" s="4">
        <f>+IF(Sheet2!C32="","",Sheet2!C32)</f>
        <v/>
      </c>
      <c r="D32" s="4">
        <f>+IF(Sheet2!J32="","",Sheet2!J32)</f>
        <v/>
      </c>
      <c r="E32" s="19">
        <f>Sheet2!D32</f>
        <v/>
      </c>
      <c r="H32" s="17">
        <f>Sheet2!H32</f>
        <v/>
      </c>
      <c r="I32" s="18">
        <f>+E32*F32</f>
        <v/>
      </c>
      <c r="J32" s="18">
        <f>+E32*G32</f>
        <v/>
      </c>
      <c r="K32" s="18">
        <f>+E32*H32</f>
        <v/>
      </c>
      <c r="L32" s="17" t="inlineStr">
        <is>
          <t>VIETNAM</t>
        </is>
      </c>
    </row>
    <row r="33" hidden="1" ht="55.5" customHeight="1" s="22">
      <c r="A33" s="4">
        <f>+IF(Sheet2!A33="","",Sheet2!A33)</f>
        <v/>
      </c>
      <c r="B33" s="4">
        <f>+IF(Sheet2!B33="","",Sheet2!B33)</f>
        <v/>
      </c>
      <c r="C33" s="4">
        <f>+IF(Sheet2!C33="","",Sheet2!C33)</f>
        <v/>
      </c>
      <c r="D33" s="4">
        <f>+IF(Sheet2!J33="","",Sheet2!J33)</f>
        <v/>
      </c>
      <c r="E33" s="19">
        <f>Sheet2!D33</f>
        <v/>
      </c>
      <c r="H33" s="17">
        <f>Sheet2!H33</f>
        <v/>
      </c>
      <c r="I33" s="18">
        <f>+E33*F33</f>
        <v/>
      </c>
      <c r="J33" s="18">
        <f>+E33*G33</f>
        <v/>
      </c>
      <c r="K33" s="18">
        <f>+E33*H33</f>
        <v/>
      </c>
      <c r="L33" s="17" t="inlineStr">
        <is>
          <t>VIETNAM</t>
        </is>
      </c>
    </row>
    <row r="34" hidden="1" ht="55.5" customHeight="1" s="22">
      <c r="A34" s="4">
        <f>+IF(Sheet2!A34="","",Sheet2!A34)</f>
        <v/>
      </c>
      <c r="B34" s="4">
        <f>+IF(Sheet2!B34="","",Sheet2!B34)</f>
        <v/>
      </c>
      <c r="C34" s="4">
        <f>+IF(Sheet2!C34="","",Sheet2!C34)</f>
        <v/>
      </c>
      <c r="D34" s="4">
        <f>+IF(Sheet2!J34="","",Sheet2!J34)</f>
        <v/>
      </c>
      <c r="E34" s="19">
        <f>Sheet2!D34</f>
        <v/>
      </c>
      <c r="H34" s="17">
        <f>Sheet2!H34</f>
        <v/>
      </c>
      <c r="I34" s="18">
        <f>+E34*F34</f>
        <v/>
      </c>
      <c r="J34" s="18">
        <f>+E34*G34</f>
        <v/>
      </c>
      <c r="K34" s="18">
        <f>+E34*H34</f>
        <v/>
      </c>
      <c r="L34" s="17" t="inlineStr">
        <is>
          <t>VIETNAM</t>
        </is>
      </c>
    </row>
    <row r="35" hidden="1" ht="55.5" customHeight="1" s="22">
      <c r="A35" s="4">
        <f>+IF(Sheet2!A35="","",Sheet2!A35)</f>
        <v/>
      </c>
      <c r="B35" s="4">
        <f>+IF(Sheet2!B35="","",Sheet2!B35)</f>
        <v/>
      </c>
      <c r="C35" s="4">
        <f>+IF(Sheet2!C35="","",Sheet2!C35)</f>
        <v/>
      </c>
      <c r="D35" s="4">
        <f>+IF(Sheet2!J35="","",Sheet2!J35)</f>
        <v/>
      </c>
      <c r="E35" s="19">
        <f>Sheet2!D35</f>
        <v/>
      </c>
      <c r="H35" s="17">
        <f>Sheet2!H35</f>
        <v/>
      </c>
      <c r="I35" s="18">
        <f>+E35*F35</f>
        <v/>
      </c>
      <c r="J35" s="18">
        <f>+E35*G35</f>
        <v/>
      </c>
      <c r="K35" s="18">
        <f>+E35*H35</f>
        <v/>
      </c>
      <c r="L35" s="17" t="inlineStr">
        <is>
          <t>VIETNAM</t>
        </is>
      </c>
    </row>
    <row r="36" hidden="1" ht="55.5" customHeight="1" s="22">
      <c r="A36" s="4">
        <f>+IF(Sheet2!A36="","",Sheet2!A36)</f>
        <v/>
      </c>
      <c r="B36" s="4">
        <f>+IF(Sheet2!B36="","",Sheet2!B36)</f>
        <v/>
      </c>
      <c r="C36" s="4">
        <f>+IF(Sheet2!C36="","",Sheet2!C36)</f>
        <v/>
      </c>
      <c r="D36" s="4">
        <f>+IF(Sheet2!J36="","",Sheet2!J36)</f>
        <v/>
      </c>
      <c r="E36" s="19">
        <f>Sheet2!D36</f>
        <v/>
      </c>
      <c r="H36" s="17">
        <f>Sheet2!H36</f>
        <v/>
      </c>
      <c r="I36" s="18">
        <f>+E36*F36</f>
        <v/>
      </c>
      <c r="J36" s="18">
        <f>+E36*G36</f>
        <v/>
      </c>
      <c r="K36" s="18">
        <f>+E36*H36</f>
        <v/>
      </c>
      <c r="L36" s="17" t="inlineStr">
        <is>
          <t>VIETNAM</t>
        </is>
      </c>
    </row>
    <row r="37" hidden="1" ht="55.5" customHeight="1" s="22">
      <c r="A37" s="4">
        <f>+IF(Sheet2!A37="","",Sheet2!A37)</f>
        <v/>
      </c>
      <c r="B37" s="4">
        <f>+IF(Sheet2!B37="","",Sheet2!B37)</f>
        <v/>
      </c>
      <c r="C37" s="4">
        <f>+IF(Sheet2!C37="","",Sheet2!C37)</f>
        <v/>
      </c>
      <c r="D37" s="4">
        <f>+IF(Sheet2!J37="","",Sheet2!J37)</f>
        <v/>
      </c>
      <c r="E37" s="19">
        <f>Sheet2!D37</f>
        <v/>
      </c>
      <c r="H37" s="17">
        <f>Sheet2!H37</f>
        <v/>
      </c>
      <c r="I37" s="18">
        <f>+E37*F37</f>
        <v/>
      </c>
      <c r="J37" s="18">
        <f>+E37*G37</f>
        <v/>
      </c>
      <c r="K37" s="18">
        <f>+E37*H37</f>
        <v/>
      </c>
      <c r="L37" s="17" t="inlineStr">
        <is>
          <t>VIETNAM</t>
        </is>
      </c>
    </row>
    <row r="38" hidden="1" ht="55.5" customHeight="1" s="22">
      <c r="A38" s="4">
        <f>+IF(Sheet2!A38="","",Sheet2!A38)</f>
        <v/>
      </c>
      <c r="B38" s="4">
        <f>+IF(Sheet2!B38="","",Sheet2!B38)</f>
        <v/>
      </c>
      <c r="C38" s="4">
        <f>+IF(Sheet2!C38="","",Sheet2!C38)</f>
        <v/>
      </c>
      <c r="D38" s="4">
        <f>+IF(Sheet2!J38="","",Sheet2!J38)</f>
        <v/>
      </c>
      <c r="E38" s="19">
        <f>Sheet2!D38</f>
        <v/>
      </c>
      <c r="H38" s="17">
        <f>Sheet2!H38</f>
        <v/>
      </c>
      <c r="I38" s="18">
        <f>+E38*F38</f>
        <v/>
      </c>
      <c r="J38" s="18">
        <f>+E38*G38</f>
        <v/>
      </c>
      <c r="K38" s="18">
        <f>+E38*H38</f>
        <v/>
      </c>
      <c r="L38" s="17" t="inlineStr">
        <is>
          <t>VIETNAM</t>
        </is>
      </c>
    </row>
    <row r="39" hidden="1" ht="55.5" customHeight="1" s="22">
      <c r="A39" s="4">
        <f>+IF(Sheet2!A39="","",Sheet2!A39)</f>
        <v/>
      </c>
      <c r="B39" s="4">
        <f>+IF(Sheet2!B39="","",Sheet2!B39)</f>
        <v/>
      </c>
      <c r="C39" s="4">
        <f>+IF(Sheet2!C39="","",Sheet2!C39)</f>
        <v/>
      </c>
      <c r="D39" s="4">
        <f>+IF(Sheet2!J39="","",Sheet2!J39)</f>
        <v/>
      </c>
      <c r="E39" s="19">
        <f>Sheet2!D39</f>
        <v/>
      </c>
      <c r="H39" s="17">
        <f>Sheet2!H39</f>
        <v/>
      </c>
      <c r="I39" s="18">
        <f>+E39*F39</f>
        <v/>
      </c>
      <c r="J39" s="18">
        <f>+E39*G39</f>
        <v/>
      </c>
      <c r="K39" s="18">
        <f>+E39*H39</f>
        <v/>
      </c>
      <c r="L39" s="17" t="inlineStr">
        <is>
          <t>VIETNAM</t>
        </is>
      </c>
    </row>
    <row r="40" hidden="1" ht="55.5" customHeight="1" s="22">
      <c r="A40" s="4">
        <f>+IF(Sheet2!A40="","",Sheet2!A40)</f>
        <v/>
      </c>
      <c r="B40" s="4">
        <f>+IF(Sheet2!B40="","",Sheet2!B40)</f>
        <v/>
      </c>
      <c r="C40" s="4">
        <f>+IF(Sheet2!C40="","",Sheet2!C40)</f>
        <v/>
      </c>
      <c r="D40" s="4">
        <f>+IF(Sheet2!J40="","",Sheet2!J40)</f>
        <v/>
      </c>
      <c r="E40" s="19">
        <f>Sheet2!D40</f>
        <v/>
      </c>
      <c r="H40" s="17">
        <f>Sheet2!H40</f>
        <v/>
      </c>
      <c r="I40" s="18">
        <f>+E40*F40</f>
        <v/>
      </c>
      <c r="J40" s="18">
        <f>+E40*G40</f>
        <v/>
      </c>
      <c r="K40" s="18">
        <f>+E40*H40</f>
        <v/>
      </c>
      <c r="L40" s="17" t="inlineStr">
        <is>
          <t>VIETNAM</t>
        </is>
      </c>
    </row>
    <row r="41" hidden="1" ht="55.5" customHeight="1" s="22">
      <c r="A41" s="4">
        <f>+IF(Sheet2!A41="","",Sheet2!A41)</f>
        <v/>
      </c>
      <c r="B41" s="4">
        <f>+IF(Sheet2!B41="","",Sheet2!B41)</f>
        <v/>
      </c>
      <c r="C41" s="4">
        <f>+IF(Sheet2!C41="","",Sheet2!C41)</f>
        <v/>
      </c>
      <c r="D41" s="4">
        <f>+IF(Sheet2!J41="","",Sheet2!J41)</f>
        <v/>
      </c>
      <c r="E41" s="19">
        <f>Sheet2!D41</f>
        <v/>
      </c>
      <c r="H41" s="17">
        <f>Sheet2!H41</f>
        <v/>
      </c>
      <c r="I41" s="18">
        <f>+E41*F41</f>
        <v/>
      </c>
      <c r="J41" s="18">
        <f>+E41*G41</f>
        <v/>
      </c>
      <c r="K41" s="18">
        <f>+E41*H41</f>
        <v/>
      </c>
      <c r="L41" s="17" t="inlineStr">
        <is>
          <t>VIETNAM</t>
        </is>
      </c>
    </row>
    <row r="42" hidden="1" ht="55.5" customHeight="1" s="22">
      <c r="A42" s="4">
        <f>+IF(Sheet2!A42="","",Sheet2!A42)</f>
        <v/>
      </c>
      <c r="B42" s="4">
        <f>+IF(Sheet2!B42="","",Sheet2!B42)</f>
        <v/>
      </c>
      <c r="C42" s="4">
        <f>+IF(Sheet2!C42="","",Sheet2!C42)</f>
        <v/>
      </c>
      <c r="D42" s="4">
        <f>+IF(Sheet2!J42="","",Sheet2!J42)</f>
        <v/>
      </c>
      <c r="E42" s="19">
        <f>Sheet2!D42</f>
        <v/>
      </c>
      <c r="H42" s="17">
        <f>Sheet2!H42</f>
        <v/>
      </c>
      <c r="I42" s="18">
        <f>+E42*F42</f>
        <v/>
      </c>
      <c r="J42" s="18">
        <f>+E42*G42</f>
        <v/>
      </c>
      <c r="K42" s="18">
        <f>+E42*H42</f>
        <v/>
      </c>
      <c r="L42" s="17" t="inlineStr">
        <is>
          <t>VIETNAM</t>
        </is>
      </c>
    </row>
    <row r="43" hidden="1" ht="55.5" customHeight="1" s="22">
      <c r="A43" s="4">
        <f>+IF(Sheet2!A43="","",Sheet2!A43)</f>
        <v/>
      </c>
      <c r="B43" s="4">
        <f>+IF(Sheet2!B43="","",Sheet2!B43)</f>
        <v/>
      </c>
      <c r="C43" s="4">
        <f>+IF(Sheet2!C43="","",Sheet2!C43)</f>
        <v/>
      </c>
      <c r="D43" s="4">
        <f>+IF(Sheet2!J43="","",Sheet2!J43)</f>
        <v/>
      </c>
      <c r="E43" s="19">
        <f>Sheet2!D43</f>
        <v/>
      </c>
      <c r="H43" s="17">
        <f>Sheet2!H43</f>
        <v/>
      </c>
      <c r="I43" s="18">
        <f>+E43*F43</f>
        <v/>
      </c>
      <c r="J43" s="18">
        <f>+E43*G43</f>
        <v/>
      </c>
      <c r="K43" s="18">
        <f>+E43*H43</f>
        <v/>
      </c>
      <c r="L43" s="17" t="inlineStr">
        <is>
          <t>VIETNAM</t>
        </is>
      </c>
    </row>
    <row r="44" hidden="1" ht="55.5" customHeight="1" s="22">
      <c r="A44" s="4">
        <f>+IF(Sheet2!A44="","",Sheet2!A44)</f>
        <v/>
      </c>
      <c r="B44" s="4">
        <f>+IF(Sheet2!B44="","",Sheet2!B44)</f>
        <v/>
      </c>
      <c r="C44" s="4">
        <f>+IF(Sheet2!C44="","",Sheet2!C44)</f>
        <v/>
      </c>
      <c r="D44" s="4">
        <f>+IF(Sheet2!J44="","",Sheet2!J44)</f>
        <v/>
      </c>
      <c r="E44" s="19">
        <f>Sheet2!D44</f>
        <v/>
      </c>
      <c r="H44" s="17">
        <f>Sheet2!H44</f>
        <v/>
      </c>
      <c r="I44" s="18">
        <f>+E44*F44</f>
        <v/>
      </c>
      <c r="J44" s="18">
        <f>+E44*G44</f>
        <v/>
      </c>
      <c r="K44" s="18">
        <f>+E44*H44</f>
        <v/>
      </c>
      <c r="L44" s="17" t="inlineStr">
        <is>
          <t>VIETNAM</t>
        </is>
      </c>
    </row>
    <row r="45" hidden="1" ht="55.5" customHeight="1" s="22">
      <c r="A45" s="4">
        <f>+IF(Sheet2!A45="","",Sheet2!A45)</f>
        <v/>
      </c>
      <c r="B45" s="4">
        <f>+IF(Sheet2!B45="","",Sheet2!B45)</f>
        <v/>
      </c>
      <c r="C45" s="4">
        <f>+IF(Sheet2!C45="","",Sheet2!C45)</f>
        <v/>
      </c>
      <c r="D45" s="4">
        <f>+IF(Sheet2!J45="","",Sheet2!J45)</f>
        <v/>
      </c>
      <c r="E45" s="19">
        <f>Sheet2!D45</f>
        <v/>
      </c>
      <c r="H45" s="17">
        <f>Sheet2!H45</f>
        <v/>
      </c>
      <c r="I45" s="18">
        <f>+E45*F45</f>
        <v/>
      </c>
      <c r="J45" s="18">
        <f>+E45*G45</f>
        <v/>
      </c>
      <c r="K45" s="18">
        <f>+E45*H45</f>
        <v/>
      </c>
      <c r="L45" s="17" t="inlineStr">
        <is>
          <t>VIETNAM</t>
        </is>
      </c>
    </row>
    <row r="46" hidden="1" ht="55.5" customHeight="1" s="22">
      <c r="A46" s="4">
        <f>+IF(Sheet2!A46="","",Sheet2!A46)</f>
        <v/>
      </c>
      <c r="B46" s="4">
        <f>+IF(Sheet2!B46="","",Sheet2!B46)</f>
        <v/>
      </c>
      <c r="C46" s="4">
        <f>+IF(Sheet2!C46="","",Sheet2!C46)</f>
        <v/>
      </c>
      <c r="D46" s="4">
        <f>+IF(Sheet2!J46="","",Sheet2!J46)</f>
        <v/>
      </c>
      <c r="E46" s="19">
        <f>Sheet2!D46</f>
        <v/>
      </c>
      <c r="H46" s="17">
        <f>Sheet2!H46</f>
        <v/>
      </c>
      <c r="I46" s="18">
        <f>+E46*F46</f>
        <v/>
      </c>
      <c r="J46" s="18">
        <f>+E46*G46</f>
        <v/>
      </c>
      <c r="K46" s="18">
        <f>+E46*H46</f>
        <v/>
      </c>
      <c r="L46" s="17" t="inlineStr">
        <is>
          <t>VIETNAM</t>
        </is>
      </c>
    </row>
    <row r="47" hidden="1" ht="55.5" customHeight="1" s="22">
      <c r="A47" s="4">
        <f>+IF(Sheet2!A47="","",Sheet2!A47)</f>
        <v/>
      </c>
      <c r="B47" s="4">
        <f>+IF(Sheet2!B47="","",Sheet2!B47)</f>
        <v/>
      </c>
      <c r="C47" s="4">
        <f>+IF(Sheet2!C47="","",Sheet2!C47)</f>
        <v/>
      </c>
      <c r="D47" s="4">
        <f>+IF(Sheet2!J47="","",Sheet2!J47)</f>
        <v/>
      </c>
      <c r="E47" s="19">
        <f>Sheet2!D47</f>
        <v/>
      </c>
      <c r="H47" s="17">
        <f>Sheet2!H47</f>
        <v/>
      </c>
      <c r="I47" s="18">
        <f>+E47*F47</f>
        <v/>
      </c>
      <c r="J47" s="18">
        <f>+E47*G47</f>
        <v/>
      </c>
      <c r="K47" s="18">
        <f>+E47*H47</f>
        <v/>
      </c>
      <c r="L47" s="17" t="inlineStr">
        <is>
          <t>VIETNAM</t>
        </is>
      </c>
    </row>
    <row r="48" hidden="1" ht="55.5" customHeight="1" s="22">
      <c r="A48" s="4">
        <f>+IF(Sheet2!A48="","",Sheet2!A48)</f>
        <v/>
      </c>
      <c r="B48" s="4">
        <f>+IF(Sheet2!B48="","",Sheet2!B48)</f>
        <v/>
      </c>
      <c r="C48" s="4">
        <f>+IF(Sheet2!C48="","",Sheet2!C48)</f>
        <v/>
      </c>
      <c r="D48" s="4">
        <f>+IF(Sheet2!J48="","",Sheet2!J48)</f>
        <v/>
      </c>
      <c r="E48" s="19">
        <f>Sheet2!D48</f>
        <v/>
      </c>
      <c r="H48" s="17">
        <f>Sheet2!H48</f>
        <v/>
      </c>
      <c r="I48" s="18">
        <f>+E48*F48</f>
        <v/>
      </c>
      <c r="J48" s="18">
        <f>+E48*G48</f>
        <v/>
      </c>
      <c r="K48" s="18">
        <f>+E48*H48</f>
        <v/>
      </c>
      <c r="L48" s="17" t="inlineStr">
        <is>
          <t>VIETNAM</t>
        </is>
      </c>
    </row>
    <row r="49" hidden="1" ht="55.5" customHeight="1" s="22">
      <c r="A49" s="4">
        <f>+IF(Sheet2!A49="","",Sheet2!A49)</f>
        <v/>
      </c>
      <c r="B49" s="4">
        <f>+IF(Sheet2!B49="","",Sheet2!B49)</f>
        <v/>
      </c>
      <c r="C49" s="4">
        <f>+IF(Sheet2!C49="","",Sheet2!C49)</f>
        <v/>
      </c>
      <c r="D49" s="4">
        <f>+IF(Sheet2!J49="","",Sheet2!J49)</f>
        <v/>
      </c>
      <c r="E49" s="19">
        <f>Sheet2!D49</f>
        <v/>
      </c>
      <c r="H49" s="17">
        <f>Sheet2!H49</f>
        <v/>
      </c>
      <c r="I49" s="18">
        <f>+E49*F49</f>
        <v/>
      </c>
      <c r="J49" s="18">
        <f>+E49*G49</f>
        <v/>
      </c>
      <c r="K49" s="18">
        <f>+E49*H49</f>
        <v/>
      </c>
      <c r="L49" s="17" t="inlineStr">
        <is>
          <t>VIETNAM</t>
        </is>
      </c>
    </row>
    <row r="50" hidden="1" ht="55.5" customHeight="1" s="22">
      <c r="A50" s="4">
        <f>+IF(Sheet2!A50="","",Sheet2!A50)</f>
        <v/>
      </c>
      <c r="B50" s="4">
        <f>+IF(Sheet2!B50="","",Sheet2!B50)</f>
        <v/>
      </c>
      <c r="C50" s="4">
        <f>+IF(Sheet2!C50="","",Sheet2!C50)</f>
        <v/>
      </c>
      <c r="D50" s="4">
        <f>+IF(Sheet2!J50="","",Sheet2!J50)</f>
        <v/>
      </c>
      <c r="E50" s="19">
        <f>Sheet2!D50</f>
        <v/>
      </c>
      <c r="H50" s="17">
        <f>Sheet2!H50</f>
        <v/>
      </c>
      <c r="I50" s="18">
        <f>+E50*F50</f>
        <v/>
      </c>
      <c r="J50" s="18">
        <f>+E50*G50</f>
        <v/>
      </c>
      <c r="K50" s="18">
        <f>+E50*H50</f>
        <v/>
      </c>
      <c r="L50" s="17" t="inlineStr">
        <is>
          <t>VIETNAM</t>
        </is>
      </c>
    </row>
    <row r="51" hidden="1" ht="55.5" customHeight="1" s="22">
      <c r="A51" s="4">
        <f>+IF(Sheet2!A51="","",Sheet2!A51)</f>
        <v/>
      </c>
      <c r="B51" s="4">
        <f>+IF(Sheet2!B51="","",Sheet2!B51)</f>
        <v/>
      </c>
      <c r="C51" s="4">
        <f>+IF(Sheet2!C51="","",Sheet2!C51)</f>
        <v/>
      </c>
      <c r="D51" s="4">
        <f>+IF(Sheet2!J51="","",Sheet2!J51)</f>
        <v/>
      </c>
      <c r="E51" s="19">
        <f>Sheet2!D51</f>
        <v/>
      </c>
      <c r="H51" s="17">
        <f>Sheet2!H51</f>
        <v/>
      </c>
      <c r="I51" s="18">
        <f>+E51*F51</f>
        <v/>
      </c>
      <c r="J51" s="18">
        <f>+E51*G51</f>
        <v/>
      </c>
      <c r="K51" s="18">
        <f>+E51*H51</f>
        <v/>
      </c>
      <c r="L51" s="17" t="inlineStr">
        <is>
          <t>VIETNAM</t>
        </is>
      </c>
    </row>
    <row r="52" hidden="1" ht="55.5" customHeight="1" s="22">
      <c r="A52" s="4">
        <f>+IF(Sheet2!A52="","",Sheet2!A52)</f>
        <v/>
      </c>
      <c r="B52" s="4">
        <f>+IF(Sheet2!B52="","",Sheet2!B52)</f>
        <v/>
      </c>
      <c r="C52" s="4">
        <f>+IF(Sheet2!C52="","",Sheet2!C52)</f>
        <v/>
      </c>
      <c r="D52" s="4">
        <f>+IF(Sheet2!J52="","",Sheet2!J52)</f>
        <v/>
      </c>
      <c r="E52" s="19">
        <f>Sheet2!D52</f>
        <v/>
      </c>
      <c r="H52" s="17">
        <f>Sheet2!H52</f>
        <v/>
      </c>
      <c r="I52" s="18">
        <f>+E52*F52</f>
        <v/>
      </c>
      <c r="J52" s="18">
        <f>+E52*G52</f>
        <v/>
      </c>
      <c r="K52" s="18">
        <f>+E52*H52</f>
        <v/>
      </c>
      <c r="L52" s="17" t="inlineStr">
        <is>
          <t>VIETNAM</t>
        </is>
      </c>
    </row>
    <row r="53" hidden="1" ht="55.5" customHeight="1" s="22">
      <c r="A53" s="4">
        <f>+IF(Sheet2!A53="","",Sheet2!A53)</f>
        <v/>
      </c>
      <c r="B53" s="4">
        <f>+IF(Sheet2!B53="","",Sheet2!B53)</f>
        <v/>
      </c>
      <c r="C53" s="4">
        <f>+IF(Sheet2!C53="","",Sheet2!C53)</f>
        <v/>
      </c>
      <c r="D53" s="4">
        <f>+IF(Sheet2!J53="","",Sheet2!J53)</f>
        <v/>
      </c>
      <c r="E53" s="19">
        <f>Sheet2!D53</f>
        <v/>
      </c>
      <c r="H53" s="17">
        <f>Sheet2!H53</f>
        <v/>
      </c>
      <c r="I53" s="18">
        <f>+E53*F53</f>
        <v/>
      </c>
      <c r="J53" s="18">
        <f>+E53*G53</f>
        <v/>
      </c>
      <c r="K53" s="18">
        <f>+E53*H53</f>
        <v/>
      </c>
      <c r="L53" s="17" t="inlineStr">
        <is>
          <t>VIETNAM</t>
        </is>
      </c>
    </row>
    <row r="54" hidden="1" ht="55.5" customHeight="1" s="22">
      <c r="A54" s="4">
        <f>+IF(Sheet2!A54="","",Sheet2!A54)</f>
        <v/>
      </c>
      <c r="B54" s="4">
        <f>+IF(Sheet2!B54="","",Sheet2!B54)</f>
        <v/>
      </c>
      <c r="C54" s="4">
        <f>+IF(Sheet2!C54="","",Sheet2!C54)</f>
        <v/>
      </c>
      <c r="D54" s="4">
        <f>+IF(Sheet2!J54="","",Sheet2!J54)</f>
        <v/>
      </c>
      <c r="E54" s="19">
        <f>Sheet2!D54</f>
        <v/>
      </c>
      <c r="H54" s="17">
        <f>Sheet2!H54</f>
        <v/>
      </c>
      <c r="I54" s="18">
        <f>+E54*F54</f>
        <v/>
      </c>
      <c r="J54" s="18">
        <f>+E54*G54</f>
        <v/>
      </c>
      <c r="K54" s="18">
        <f>+E54*H54</f>
        <v/>
      </c>
      <c r="L54" s="17" t="inlineStr">
        <is>
          <t>VIETNAM</t>
        </is>
      </c>
    </row>
    <row r="55" hidden="1" ht="55.5" customHeight="1" s="22">
      <c r="A55" s="4">
        <f>+IF(Sheet2!A55="","",Sheet2!A55)</f>
        <v/>
      </c>
      <c r="B55" s="4">
        <f>+IF(Sheet2!B55="","",Sheet2!B55)</f>
        <v/>
      </c>
      <c r="C55" s="4">
        <f>+IF(Sheet2!C55="","",Sheet2!C55)</f>
        <v/>
      </c>
      <c r="D55" s="4">
        <f>+IF(Sheet2!J55="","",Sheet2!J55)</f>
        <v/>
      </c>
      <c r="E55" s="19">
        <f>Sheet2!D55</f>
        <v/>
      </c>
      <c r="H55" s="17">
        <f>Sheet2!H55</f>
        <v/>
      </c>
      <c r="I55" s="18">
        <f>+E55*F55</f>
        <v/>
      </c>
      <c r="J55" s="18">
        <f>+E55*G55</f>
        <v/>
      </c>
      <c r="K55" s="18">
        <f>+E55*H55</f>
        <v/>
      </c>
      <c r="L55" s="17" t="inlineStr">
        <is>
          <t>VIETNAM</t>
        </is>
      </c>
    </row>
    <row r="56" hidden="1" ht="55.5" customHeight="1" s="22">
      <c r="A56" s="4">
        <f>+IF(Sheet2!A56="","",Sheet2!A56)</f>
        <v/>
      </c>
      <c r="B56" s="4">
        <f>+IF(Sheet2!B56="","",Sheet2!B56)</f>
        <v/>
      </c>
      <c r="C56" s="4">
        <f>+IF(Sheet2!C56="","",Sheet2!C56)</f>
        <v/>
      </c>
      <c r="D56" s="4">
        <f>+IF(Sheet2!J56="","",Sheet2!J56)</f>
        <v/>
      </c>
      <c r="E56" s="19">
        <f>Sheet2!D56</f>
        <v/>
      </c>
      <c r="H56" s="17">
        <f>Sheet2!H56</f>
        <v/>
      </c>
      <c r="I56" s="18">
        <f>+E56*F56</f>
        <v/>
      </c>
      <c r="J56" s="18">
        <f>+E56*G56</f>
        <v/>
      </c>
      <c r="K56" s="18">
        <f>+E56*H56</f>
        <v/>
      </c>
      <c r="L56" s="17" t="inlineStr">
        <is>
          <t>VIETNAM</t>
        </is>
      </c>
    </row>
    <row r="57" hidden="1" ht="55.5" customHeight="1" s="22">
      <c r="A57" s="4">
        <f>+IF(Sheet2!A57="","",Sheet2!A57)</f>
        <v/>
      </c>
      <c r="B57" s="4">
        <f>+IF(Sheet2!B57="","",Sheet2!B57)</f>
        <v/>
      </c>
      <c r="C57" s="4">
        <f>+IF(Sheet2!C57="","",Sheet2!C57)</f>
        <v/>
      </c>
      <c r="D57" s="4">
        <f>+IF(Sheet2!J57="","",Sheet2!J57)</f>
        <v/>
      </c>
      <c r="E57" s="19">
        <f>Sheet2!D57</f>
        <v/>
      </c>
      <c r="H57" s="17">
        <f>Sheet2!H57</f>
        <v/>
      </c>
      <c r="I57" s="18">
        <f>+E57*F57</f>
        <v/>
      </c>
      <c r="J57" s="18">
        <f>+E57*G57</f>
        <v/>
      </c>
      <c r="K57" s="18">
        <f>+E57*H57</f>
        <v/>
      </c>
      <c r="L57" s="17" t="inlineStr">
        <is>
          <t>VIETNAM</t>
        </is>
      </c>
    </row>
    <row r="58" hidden="1" ht="55.5" customHeight="1" s="22">
      <c r="A58" s="4">
        <f>+IF(Sheet2!A58="","",Sheet2!A58)</f>
        <v/>
      </c>
      <c r="B58" s="4">
        <f>+IF(Sheet2!B58="","",Sheet2!B58)</f>
        <v/>
      </c>
      <c r="C58" s="4">
        <f>+IF(Sheet2!C58="","",Sheet2!C58)</f>
        <v/>
      </c>
      <c r="D58" s="4">
        <f>+IF(Sheet2!J58="","",Sheet2!J58)</f>
        <v/>
      </c>
      <c r="E58" s="19">
        <f>Sheet2!D58</f>
        <v/>
      </c>
      <c r="H58" s="17">
        <f>Sheet2!H58</f>
        <v/>
      </c>
      <c r="I58" s="18">
        <f>+E58*F58</f>
        <v/>
      </c>
      <c r="J58" s="18">
        <f>+E58*G58</f>
        <v/>
      </c>
      <c r="K58" s="18">
        <f>+E58*H58</f>
        <v/>
      </c>
      <c r="L58" s="17" t="inlineStr">
        <is>
          <t>VIETNAM</t>
        </is>
      </c>
    </row>
    <row r="59" hidden="1" ht="55.5" customHeight="1" s="22">
      <c r="A59" s="4">
        <f>+IF(Sheet2!A59="","",Sheet2!A59)</f>
        <v/>
      </c>
      <c r="B59" s="4">
        <f>+IF(Sheet2!B59="","",Sheet2!B59)</f>
        <v/>
      </c>
      <c r="C59" s="4">
        <f>+IF(Sheet2!C59="","",Sheet2!C59)</f>
        <v/>
      </c>
      <c r="D59" s="4">
        <f>+IF(Sheet2!J59="","",Sheet2!J59)</f>
        <v/>
      </c>
      <c r="E59" s="19">
        <f>Sheet2!D59</f>
        <v/>
      </c>
      <c r="H59" s="17">
        <f>Sheet2!H59</f>
        <v/>
      </c>
      <c r="I59" s="18">
        <f>+E59*F59</f>
        <v/>
      </c>
      <c r="J59" s="18">
        <f>+E59*G59</f>
        <v/>
      </c>
      <c r="K59" s="18">
        <f>+E59*H59</f>
        <v/>
      </c>
      <c r="L59" s="17" t="inlineStr">
        <is>
          <t>VIETNAM</t>
        </is>
      </c>
    </row>
    <row r="60" hidden="1" ht="55.5" customHeight="1" s="22">
      <c r="A60" s="4">
        <f>+IF(Sheet2!A60="","",Sheet2!A60)</f>
        <v/>
      </c>
      <c r="B60" s="4">
        <f>+IF(Sheet2!B60="","",Sheet2!B60)</f>
        <v/>
      </c>
      <c r="C60" s="4">
        <f>+IF(Sheet2!C60="","",Sheet2!C60)</f>
        <v/>
      </c>
      <c r="D60" s="4">
        <f>+IF(Sheet2!J60="","",Sheet2!J60)</f>
        <v/>
      </c>
      <c r="E60" s="19">
        <f>Sheet2!D60</f>
        <v/>
      </c>
      <c r="H60" s="17">
        <f>Sheet2!H60</f>
        <v/>
      </c>
      <c r="I60" s="18">
        <f>+E60*F60</f>
        <v/>
      </c>
      <c r="J60" s="18">
        <f>+E60*G60</f>
        <v/>
      </c>
      <c r="K60" s="18">
        <f>+E60*H60</f>
        <v/>
      </c>
      <c r="L60" s="17" t="inlineStr">
        <is>
          <t>VIETNAM</t>
        </is>
      </c>
    </row>
    <row r="61" hidden="1" ht="55.5" customHeight="1" s="22">
      <c r="A61" s="4">
        <f>+IF(Sheet2!A61="","",Sheet2!A61)</f>
        <v/>
      </c>
      <c r="B61" s="4">
        <f>+IF(Sheet2!B61="","",Sheet2!B61)</f>
        <v/>
      </c>
      <c r="C61" s="4">
        <f>+IF(Sheet2!C61="","",Sheet2!C61)</f>
        <v/>
      </c>
      <c r="D61" s="4">
        <f>+IF(Sheet2!J61="","",Sheet2!J61)</f>
        <v/>
      </c>
      <c r="E61" s="19">
        <f>Sheet2!D61</f>
        <v/>
      </c>
      <c r="H61" s="17">
        <f>Sheet2!H61</f>
        <v/>
      </c>
      <c r="I61" s="18">
        <f>+E61*F61</f>
        <v/>
      </c>
      <c r="J61" s="18">
        <f>+E61*G61</f>
        <v/>
      </c>
      <c r="K61" s="18">
        <f>+E61*H61</f>
        <v/>
      </c>
      <c r="L61" s="17" t="inlineStr">
        <is>
          <t>VIETNAM</t>
        </is>
      </c>
    </row>
    <row r="62" hidden="1" ht="55.5" customHeight="1" s="22">
      <c r="A62" s="4">
        <f>+IF(Sheet2!A62="","",Sheet2!A62)</f>
        <v/>
      </c>
      <c r="B62" s="4">
        <f>+IF(Sheet2!B62="","",Sheet2!B62)</f>
        <v/>
      </c>
      <c r="C62" s="4">
        <f>+IF(Sheet2!C62="","",Sheet2!C62)</f>
        <v/>
      </c>
      <c r="D62" s="4">
        <f>+IF(Sheet2!J62="","",Sheet2!J62)</f>
        <v/>
      </c>
      <c r="E62" s="19">
        <f>Sheet2!D62</f>
        <v/>
      </c>
      <c r="H62" s="17">
        <f>Sheet2!H62</f>
        <v/>
      </c>
      <c r="I62" s="18">
        <f>+E62*F62</f>
        <v/>
      </c>
      <c r="J62" s="18">
        <f>+E62*G62</f>
        <v/>
      </c>
      <c r="K62" s="18">
        <f>+E62*H62</f>
        <v/>
      </c>
      <c r="L62" s="17" t="inlineStr">
        <is>
          <t>VIETNAM</t>
        </is>
      </c>
    </row>
    <row r="63" hidden="1" ht="55.5" customHeight="1" s="22">
      <c r="A63" s="4">
        <f>+IF(Sheet2!A63="","",Sheet2!A63)</f>
        <v/>
      </c>
      <c r="B63" s="4">
        <f>+IF(Sheet2!B63="","",Sheet2!B63)</f>
        <v/>
      </c>
      <c r="C63" s="4">
        <f>+IF(Sheet2!C63="","",Sheet2!C63)</f>
        <v/>
      </c>
      <c r="D63" s="4">
        <f>+IF(Sheet2!J63="","",Sheet2!J63)</f>
        <v/>
      </c>
      <c r="E63" s="19">
        <f>Sheet2!D63</f>
        <v/>
      </c>
      <c r="H63" s="17">
        <f>Sheet2!H63</f>
        <v/>
      </c>
      <c r="I63" s="18">
        <f>+E63*F63</f>
        <v/>
      </c>
      <c r="J63" s="18">
        <f>+E63*G63</f>
        <v/>
      </c>
      <c r="K63" s="18">
        <f>+E63*H63</f>
        <v/>
      </c>
      <c r="L63" s="17" t="inlineStr">
        <is>
          <t>VIETNAM</t>
        </is>
      </c>
    </row>
    <row r="64" hidden="1" ht="55.5" customHeight="1" s="22">
      <c r="A64" s="4">
        <f>+IF(Sheet2!A64="","",Sheet2!A64)</f>
        <v/>
      </c>
      <c r="B64" s="4">
        <f>+IF(Sheet2!B64="","",Sheet2!B64)</f>
        <v/>
      </c>
      <c r="C64" s="4">
        <f>+IF(Sheet2!C64="","",Sheet2!C64)</f>
        <v/>
      </c>
      <c r="D64" s="4">
        <f>+IF(Sheet2!J64="","",Sheet2!J64)</f>
        <v/>
      </c>
      <c r="E64" s="19">
        <f>Sheet2!D64</f>
        <v/>
      </c>
      <c r="H64" s="17">
        <f>Sheet2!H64</f>
        <v/>
      </c>
      <c r="I64" s="18">
        <f>+E64*F64</f>
        <v/>
      </c>
      <c r="J64" s="18">
        <f>+E64*G64</f>
        <v/>
      </c>
      <c r="K64" s="18">
        <f>+E64*H64</f>
        <v/>
      </c>
      <c r="L64" s="17" t="inlineStr">
        <is>
          <t>VIETNAM</t>
        </is>
      </c>
    </row>
    <row r="65" hidden="1" ht="55.5" customHeight="1" s="22">
      <c r="A65" s="4">
        <f>+IF(Sheet2!A65="","",Sheet2!A65)</f>
        <v/>
      </c>
      <c r="B65" s="4">
        <f>+IF(Sheet2!B65="","",Sheet2!B65)</f>
        <v/>
      </c>
      <c r="C65" s="4">
        <f>+IF(Sheet2!C65="","",Sheet2!C65)</f>
        <v/>
      </c>
      <c r="D65" s="4">
        <f>+IF(Sheet2!J65="","",Sheet2!J65)</f>
        <v/>
      </c>
      <c r="E65" s="19">
        <f>Sheet2!D65</f>
        <v/>
      </c>
      <c r="H65" s="17">
        <f>Sheet2!H65</f>
        <v/>
      </c>
      <c r="I65" s="18">
        <f>+E65*F65</f>
        <v/>
      </c>
      <c r="J65" s="18">
        <f>+E65*G65</f>
        <v/>
      </c>
      <c r="K65" s="18">
        <f>+E65*H65</f>
        <v/>
      </c>
      <c r="L65" s="17" t="inlineStr">
        <is>
          <t>VIETNAM</t>
        </is>
      </c>
    </row>
    <row r="66" hidden="1" ht="55.5" customHeight="1" s="22">
      <c r="A66" s="4">
        <f>+IF(Sheet2!A66="","",Sheet2!A66)</f>
        <v/>
      </c>
      <c r="B66" s="4">
        <f>+IF(Sheet2!B66="","",Sheet2!B66)</f>
        <v/>
      </c>
      <c r="C66" s="4">
        <f>+IF(Sheet2!C66="","",Sheet2!C66)</f>
        <v/>
      </c>
      <c r="D66" s="4">
        <f>+IF(Sheet2!J66="","",Sheet2!J66)</f>
        <v/>
      </c>
      <c r="E66" s="19">
        <f>Sheet2!D66</f>
        <v/>
      </c>
      <c r="H66" s="17">
        <f>Sheet2!H66</f>
        <v/>
      </c>
      <c r="I66" s="18">
        <f>+E66*F66</f>
        <v/>
      </c>
      <c r="J66" s="18">
        <f>+E66*G66</f>
        <v/>
      </c>
      <c r="K66" s="18">
        <f>+E66*H66</f>
        <v/>
      </c>
      <c r="L66" s="17" t="inlineStr">
        <is>
          <t>VIETNAM</t>
        </is>
      </c>
    </row>
    <row r="67" hidden="1" ht="55.5" customHeight="1" s="22">
      <c r="A67" s="4">
        <f>+IF(Sheet2!A67="","",Sheet2!A67)</f>
        <v/>
      </c>
      <c r="B67" s="4">
        <f>+IF(Sheet2!B67="","",Sheet2!B67)</f>
        <v/>
      </c>
      <c r="C67" s="4">
        <f>+IF(Sheet2!C67="","",Sheet2!C67)</f>
        <v/>
      </c>
      <c r="D67" s="4">
        <f>+IF(Sheet2!J67="","",Sheet2!J67)</f>
        <v/>
      </c>
      <c r="E67" s="19">
        <f>Sheet2!D67</f>
        <v/>
      </c>
      <c r="H67" s="17">
        <f>Sheet2!H67</f>
        <v/>
      </c>
      <c r="I67" s="18">
        <f>+E67*F67</f>
        <v/>
      </c>
      <c r="J67" s="18">
        <f>+E67*G67</f>
        <v/>
      </c>
      <c r="K67" s="18">
        <f>+E67*H67</f>
        <v/>
      </c>
      <c r="L67" s="17" t="inlineStr">
        <is>
          <t>VIETNAM</t>
        </is>
      </c>
    </row>
    <row r="68" hidden="1" ht="55.5" customHeight="1" s="22">
      <c r="A68" s="4">
        <f>+IF(Sheet2!A68="","",Sheet2!A68)</f>
        <v/>
      </c>
      <c r="B68" s="4">
        <f>+IF(Sheet2!B68="","",Sheet2!B68)</f>
        <v/>
      </c>
      <c r="C68" s="4">
        <f>+IF(Sheet2!C68="","",Sheet2!C68)</f>
        <v/>
      </c>
      <c r="D68" s="4">
        <f>+IF(Sheet2!J68="","",Sheet2!J68)</f>
        <v/>
      </c>
      <c r="E68" s="19">
        <f>Sheet2!D68</f>
        <v/>
      </c>
      <c r="H68" s="17">
        <f>Sheet2!H68</f>
        <v/>
      </c>
      <c r="I68" s="18">
        <f>+E68*F68</f>
        <v/>
      </c>
      <c r="J68" s="18">
        <f>+E68*G68</f>
        <v/>
      </c>
      <c r="K68" s="18">
        <f>+E68*H68</f>
        <v/>
      </c>
      <c r="L68" s="17" t="inlineStr">
        <is>
          <t>VIETNAM</t>
        </is>
      </c>
    </row>
    <row r="69" hidden="1" ht="55.5" customHeight="1" s="22">
      <c r="A69" s="4">
        <f>+IF(Sheet2!A69="","",Sheet2!A69)</f>
        <v/>
      </c>
      <c r="B69" s="4">
        <f>+IF(Sheet2!B69="","",Sheet2!B69)</f>
        <v/>
      </c>
      <c r="C69" s="4">
        <f>+IF(Sheet2!C69="","",Sheet2!C69)</f>
        <v/>
      </c>
      <c r="D69" s="4">
        <f>+IF(Sheet2!J69="","",Sheet2!J69)</f>
        <v/>
      </c>
      <c r="E69" s="19">
        <f>Sheet2!D69</f>
        <v/>
      </c>
      <c r="H69" s="17">
        <f>Sheet2!H69</f>
        <v/>
      </c>
      <c r="I69" s="18">
        <f>+E69*F69</f>
        <v/>
      </c>
      <c r="J69" s="18">
        <f>+E69*G69</f>
        <v/>
      </c>
      <c r="K69" s="18">
        <f>+E69*H69</f>
        <v/>
      </c>
      <c r="L69" s="17" t="inlineStr">
        <is>
          <t>VIETNAM</t>
        </is>
      </c>
    </row>
    <row r="70" hidden="1" s="22">
      <c r="A70" s="4">
        <f>+IF(Sheet2!A70="","",Sheet2!A70)</f>
        <v/>
      </c>
      <c r="B70" s="4">
        <f>+IF(Sheet2!B70="","",Sheet2!B70)</f>
        <v/>
      </c>
      <c r="C70" s="4">
        <f>+IF(Sheet2!C70="","",Sheet2!C70)</f>
        <v/>
      </c>
      <c r="D70" s="4">
        <f>+IF(Sheet2!J70="","",Sheet2!J70)</f>
        <v/>
      </c>
      <c r="E70" s="19">
        <f>Sheet2!D70</f>
        <v/>
      </c>
      <c r="H70" s="17">
        <f>Sheet2!H70</f>
        <v/>
      </c>
      <c r="I70" s="18">
        <f>+E70*F70</f>
        <v/>
      </c>
      <c r="J70" s="18">
        <f>+E70*G70</f>
        <v/>
      </c>
      <c r="K70" s="18">
        <f>+E70*H70</f>
        <v/>
      </c>
      <c r="L70" s="17" t="inlineStr">
        <is>
          <t>VIETNAM</t>
        </is>
      </c>
    </row>
    <row r="71" hidden="1" s="22">
      <c r="A71" s="4">
        <f>+IF(Sheet2!A71="","",Sheet2!A71)</f>
        <v/>
      </c>
      <c r="B71" s="4">
        <f>+IF(Sheet2!B71="","",Sheet2!B71)</f>
        <v/>
      </c>
      <c r="C71" s="4">
        <f>+IF(Sheet2!C71="","",Sheet2!C71)</f>
        <v/>
      </c>
      <c r="D71" s="4">
        <f>+IF(Sheet2!J71="","",Sheet2!J71)</f>
        <v/>
      </c>
      <c r="E71" s="19">
        <f>Sheet2!D71</f>
        <v/>
      </c>
      <c r="H71" s="17">
        <f>Sheet2!H71</f>
        <v/>
      </c>
      <c r="I71" s="18">
        <f>+E71*F71</f>
        <v/>
      </c>
      <c r="J71" s="18">
        <f>+E71*G71</f>
        <v/>
      </c>
      <c r="K71" s="18">
        <f>+E71*H71</f>
        <v/>
      </c>
      <c r="L71" s="17" t="inlineStr">
        <is>
          <t>VIETNAM</t>
        </is>
      </c>
    </row>
    <row r="72" hidden="1" s="22">
      <c r="A72" s="4">
        <f>+IF(Sheet2!A72="","",Sheet2!A72)</f>
        <v/>
      </c>
      <c r="B72" s="4">
        <f>+IF(Sheet2!B72="","",Sheet2!B72)</f>
        <v/>
      </c>
      <c r="C72" s="4">
        <f>+IF(Sheet2!C72="","",Sheet2!C72)</f>
        <v/>
      </c>
      <c r="D72" s="4">
        <f>+IF(Sheet2!J72="","",Sheet2!J72)</f>
        <v/>
      </c>
      <c r="E72" s="19">
        <f>Sheet2!D72</f>
        <v/>
      </c>
      <c r="H72" s="17">
        <f>Sheet2!H72</f>
        <v/>
      </c>
      <c r="I72" s="18">
        <f>+E72*F72</f>
        <v/>
      </c>
      <c r="J72" s="18">
        <f>+E72*G72</f>
        <v/>
      </c>
      <c r="K72" s="18">
        <f>+E72*H72</f>
        <v/>
      </c>
      <c r="L72" s="17" t="inlineStr">
        <is>
          <t>VIETNAM</t>
        </is>
      </c>
    </row>
    <row r="73" hidden="1" s="22">
      <c r="A73" s="4">
        <f>+IF(Sheet2!A73="","",Sheet2!A73)</f>
        <v/>
      </c>
      <c r="B73" s="4">
        <f>+IF(Sheet2!B73="","",Sheet2!B73)</f>
        <v/>
      </c>
      <c r="C73" s="4">
        <f>+IF(Sheet2!C73="","",Sheet2!C73)</f>
        <v/>
      </c>
      <c r="D73" s="4">
        <f>+IF(Sheet2!J73="","",Sheet2!J73)</f>
        <v/>
      </c>
      <c r="E73" s="19">
        <f>Sheet2!D73</f>
        <v/>
      </c>
      <c r="H73" s="17">
        <f>Sheet2!H73</f>
        <v/>
      </c>
      <c r="I73" s="18">
        <f>+E73*F73</f>
        <v/>
      </c>
      <c r="J73" s="18">
        <f>+E73*G73</f>
        <v/>
      </c>
      <c r="K73" s="18">
        <f>+E73*H73</f>
        <v/>
      </c>
      <c r="L73" s="17" t="inlineStr">
        <is>
          <t>VIETNAM</t>
        </is>
      </c>
    </row>
    <row r="74" hidden="1" s="22">
      <c r="A74" s="4">
        <f>+IF(Sheet2!A74="","",Sheet2!A74)</f>
        <v/>
      </c>
      <c r="B74" s="4">
        <f>+IF(Sheet2!B74="","",Sheet2!B74)</f>
        <v/>
      </c>
      <c r="C74" s="4">
        <f>+IF(Sheet2!C74="","",Sheet2!C74)</f>
        <v/>
      </c>
      <c r="D74" s="4">
        <f>+IF(Sheet2!J74="","",Sheet2!J74)</f>
        <v/>
      </c>
      <c r="E74" s="19">
        <f>Sheet2!D74</f>
        <v/>
      </c>
      <c r="H74" s="17">
        <f>Sheet2!H74</f>
        <v/>
      </c>
      <c r="I74" s="18">
        <f>+E74*F74</f>
        <v/>
      </c>
      <c r="J74" s="18">
        <f>+E74*G74</f>
        <v/>
      </c>
      <c r="K74" s="18">
        <f>+E74*H74</f>
        <v/>
      </c>
      <c r="L74" s="17" t="inlineStr">
        <is>
          <t>VIETNAM</t>
        </is>
      </c>
    </row>
    <row r="75" hidden="1" s="22">
      <c r="A75" s="4">
        <f>+IF(Sheet2!A75="","",Sheet2!A75)</f>
        <v/>
      </c>
      <c r="B75" s="4">
        <f>+IF(Sheet2!B75="","",Sheet2!B75)</f>
        <v/>
      </c>
      <c r="C75" s="4">
        <f>+IF(Sheet2!C75="","",Sheet2!C75)</f>
        <v/>
      </c>
      <c r="D75" s="4">
        <f>+IF(Sheet2!J75="","",Sheet2!J75)</f>
        <v/>
      </c>
      <c r="E75" s="19">
        <f>Sheet2!D75</f>
        <v/>
      </c>
      <c r="H75" s="17">
        <f>Sheet2!H75</f>
        <v/>
      </c>
      <c r="I75" s="18">
        <f>+E75*F75</f>
        <v/>
      </c>
      <c r="J75" s="18">
        <f>+E75*G75</f>
        <v/>
      </c>
      <c r="K75" s="18">
        <f>+E75*H75</f>
        <v/>
      </c>
      <c r="L75" s="17" t="inlineStr">
        <is>
          <t>VIETNAM</t>
        </is>
      </c>
    </row>
    <row r="76" hidden="1" s="22">
      <c r="A76" s="4">
        <f>+IF(Sheet2!A76="","",Sheet2!A76)</f>
        <v/>
      </c>
      <c r="B76" s="4">
        <f>+IF(Sheet2!B76="","",Sheet2!B76)</f>
        <v/>
      </c>
      <c r="C76" s="4">
        <f>+IF(Sheet2!C76="","",Sheet2!C76)</f>
        <v/>
      </c>
      <c r="D76" s="4">
        <f>+IF(Sheet2!J76="","",Sheet2!J76)</f>
        <v/>
      </c>
      <c r="E76" s="19">
        <f>Sheet2!D76</f>
        <v/>
      </c>
      <c r="H76" s="17">
        <f>Sheet2!H76</f>
        <v/>
      </c>
      <c r="I76" s="18">
        <f>+E76*F76</f>
        <v/>
      </c>
      <c r="J76" s="18">
        <f>+E76*G76</f>
        <v/>
      </c>
      <c r="K76" s="18">
        <f>+E76*H76</f>
        <v/>
      </c>
      <c r="L76" s="17" t="inlineStr">
        <is>
          <t>VIETNAM</t>
        </is>
      </c>
    </row>
    <row r="77" hidden="1" s="22">
      <c r="A77" s="4">
        <f>+IF(Sheet2!A77="","",Sheet2!A77)</f>
        <v/>
      </c>
      <c r="B77" s="4">
        <f>+IF(Sheet2!B77="","",Sheet2!B77)</f>
        <v/>
      </c>
      <c r="C77" s="4">
        <f>+IF(Sheet2!C77="","",Sheet2!C77)</f>
        <v/>
      </c>
      <c r="D77" s="4">
        <f>+IF(Sheet2!J77="","",Sheet2!J77)</f>
        <v/>
      </c>
      <c r="E77" s="19">
        <f>Sheet2!D77</f>
        <v/>
      </c>
      <c r="H77" s="17">
        <f>Sheet2!H77</f>
        <v/>
      </c>
      <c r="I77" s="18">
        <f>+E77*F77</f>
        <v/>
      </c>
      <c r="J77" s="18">
        <f>+E77*G77</f>
        <v/>
      </c>
      <c r="K77" s="18">
        <f>+E77*H77</f>
        <v/>
      </c>
      <c r="L77" s="17" t="inlineStr">
        <is>
          <t>VIETNAM</t>
        </is>
      </c>
    </row>
    <row r="78" hidden="1" s="22">
      <c r="A78" s="4">
        <f>+IF(Sheet2!A78="","",Sheet2!A78)</f>
        <v/>
      </c>
      <c r="B78" s="4">
        <f>+IF(Sheet2!B78="","",Sheet2!B78)</f>
        <v/>
      </c>
      <c r="C78" s="4">
        <f>+IF(Sheet2!C78="","",Sheet2!C78)</f>
        <v/>
      </c>
      <c r="D78" s="4">
        <f>+IF(Sheet2!J78="","",Sheet2!J78)</f>
        <v/>
      </c>
      <c r="E78" s="19">
        <f>Sheet2!D78</f>
        <v/>
      </c>
      <c r="H78" s="17">
        <f>Sheet2!H78</f>
        <v/>
      </c>
      <c r="I78" s="18">
        <f>+E78*F78</f>
        <v/>
      </c>
      <c r="J78" s="18">
        <f>+E78*G78</f>
        <v/>
      </c>
      <c r="K78" s="18">
        <f>+E78*H78</f>
        <v/>
      </c>
      <c r="L78" s="17" t="inlineStr">
        <is>
          <t>VIETNAM</t>
        </is>
      </c>
    </row>
    <row r="79" hidden="1" s="22">
      <c r="A79" s="4">
        <f>+IF(Sheet2!A79="","",Sheet2!A79)</f>
        <v/>
      </c>
      <c r="B79" s="4">
        <f>+IF(Sheet2!B79="","",Sheet2!B79)</f>
        <v/>
      </c>
      <c r="C79" s="4">
        <f>+IF(Sheet2!C79="","",Sheet2!C79)</f>
        <v/>
      </c>
      <c r="D79" s="4">
        <f>+IF(Sheet2!J79="","",Sheet2!J79)</f>
        <v/>
      </c>
      <c r="E79" s="19">
        <f>Sheet2!D79</f>
        <v/>
      </c>
      <c r="H79" s="17">
        <f>Sheet2!H79</f>
        <v/>
      </c>
      <c r="I79" s="18">
        <f>+E79*F79</f>
        <v/>
      </c>
      <c r="J79" s="18">
        <f>+E79*G79</f>
        <v/>
      </c>
      <c r="K79" s="18">
        <f>+E79*H79</f>
        <v/>
      </c>
      <c r="L79" s="17" t="inlineStr">
        <is>
          <t>VIETNAM</t>
        </is>
      </c>
    </row>
    <row r="80" hidden="1" s="22">
      <c r="A80" s="4">
        <f>+IF(Sheet2!A80="","",Sheet2!A80)</f>
        <v/>
      </c>
      <c r="B80" s="4">
        <f>+IF(Sheet2!B80="","",Sheet2!B80)</f>
        <v/>
      </c>
      <c r="C80" s="4">
        <f>+IF(Sheet2!C80="","",Sheet2!C80)</f>
        <v/>
      </c>
      <c r="D80" s="4">
        <f>+IF(Sheet2!J80="","",Sheet2!J80)</f>
        <v/>
      </c>
      <c r="E80" s="19">
        <f>Sheet2!D80</f>
        <v/>
      </c>
      <c r="H80" s="17">
        <f>Sheet2!H80</f>
        <v/>
      </c>
      <c r="I80" s="18">
        <f>+E80*F80</f>
        <v/>
      </c>
      <c r="J80" s="18">
        <f>+E80*G80</f>
        <v/>
      </c>
      <c r="K80" s="18">
        <f>+E80*H80</f>
        <v/>
      </c>
      <c r="L80" s="17" t="inlineStr">
        <is>
          <t>VIETNAM</t>
        </is>
      </c>
    </row>
    <row r="81" hidden="1" s="22">
      <c r="A81" s="4">
        <f>+IF(Sheet2!A81="","",Sheet2!A81)</f>
        <v/>
      </c>
      <c r="B81" s="4">
        <f>+IF(Sheet2!B81="","",Sheet2!B81)</f>
        <v/>
      </c>
      <c r="C81" s="4">
        <f>+IF(Sheet2!C81="","",Sheet2!C81)</f>
        <v/>
      </c>
      <c r="D81" s="4">
        <f>+IF(Sheet2!J81="","",Sheet2!J81)</f>
        <v/>
      </c>
      <c r="E81" s="19">
        <f>Sheet2!D81</f>
        <v/>
      </c>
      <c r="H81" s="17">
        <f>Sheet2!H81</f>
        <v/>
      </c>
      <c r="I81" s="18">
        <f>+E81*F81</f>
        <v/>
      </c>
      <c r="J81" s="18">
        <f>+E81*G81</f>
        <v/>
      </c>
      <c r="K81" s="18">
        <f>+E81*H81</f>
        <v/>
      </c>
      <c r="L81" s="17" t="inlineStr">
        <is>
          <t>VIETNAM</t>
        </is>
      </c>
    </row>
    <row r="82" hidden="1" s="22">
      <c r="A82" s="4">
        <f>+IF(Sheet2!A82="","",Sheet2!A82)</f>
        <v/>
      </c>
      <c r="B82" s="4">
        <f>+IF(Sheet2!B82="","",Sheet2!B82)</f>
        <v/>
      </c>
      <c r="C82" s="4">
        <f>+IF(Sheet2!C82="","",Sheet2!C82)</f>
        <v/>
      </c>
      <c r="D82" s="4">
        <f>+IF(Sheet2!J82="","",Sheet2!J82)</f>
        <v/>
      </c>
      <c r="E82" s="19">
        <f>Sheet2!D82</f>
        <v/>
      </c>
      <c r="H82" s="17">
        <f>Sheet2!H82</f>
        <v/>
      </c>
      <c r="I82" s="18">
        <f>+E82*F82</f>
        <v/>
      </c>
      <c r="J82" s="18">
        <f>+E82*G82</f>
        <v/>
      </c>
      <c r="K82" s="18">
        <f>+E82*H82</f>
        <v/>
      </c>
      <c r="L82" s="17" t="inlineStr">
        <is>
          <t>VIETNAM</t>
        </is>
      </c>
    </row>
    <row r="83" hidden="1" s="22">
      <c r="A83" s="4">
        <f>+IF(Sheet2!A83="","",Sheet2!A83)</f>
        <v/>
      </c>
      <c r="B83" s="4">
        <f>+IF(Sheet2!B83="","",Sheet2!B83)</f>
        <v/>
      </c>
      <c r="C83" s="4">
        <f>+IF(Sheet2!C83="","",Sheet2!C83)</f>
        <v/>
      </c>
      <c r="D83" s="4">
        <f>+IF(Sheet2!J83="","",Sheet2!J83)</f>
        <v/>
      </c>
      <c r="E83" s="19">
        <f>Sheet2!D83</f>
        <v/>
      </c>
      <c r="H83" s="17">
        <f>Sheet2!H83</f>
        <v/>
      </c>
      <c r="I83" s="18">
        <f>+E83*F83</f>
        <v/>
      </c>
      <c r="J83" s="18">
        <f>+E83*G83</f>
        <v/>
      </c>
      <c r="K83" s="18">
        <f>+E83*H83</f>
        <v/>
      </c>
      <c r="L83" s="17" t="inlineStr">
        <is>
          <t>VIETNAM</t>
        </is>
      </c>
    </row>
    <row r="84" hidden="1" s="22">
      <c r="A84" s="4">
        <f>+IF(Sheet2!A84="","",Sheet2!A84)</f>
        <v/>
      </c>
      <c r="B84" s="4">
        <f>+IF(Sheet2!B84="","",Sheet2!B84)</f>
        <v/>
      </c>
      <c r="C84" s="4">
        <f>+IF(Sheet2!C84="","",Sheet2!C84)</f>
        <v/>
      </c>
      <c r="D84" s="4">
        <f>+IF(Sheet2!J84="","",Sheet2!J84)</f>
        <v/>
      </c>
      <c r="E84" s="19">
        <f>Sheet2!D84</f>
        <v/>
      </c>
      <c r="H84" s="17">
        <f>Sheet2!H84</f>
        <v/>
      </c>
      <c r="I84" s="18">
        <f>+E84*F84</f>
        <v/>
      </c>
      <c r="J84" s="18">
        <f>+E84*G84</f>
        <v/>
      </c>
      <c r="K84" s="18">
        <f>+E84*H84</f>
        <v/>
      </c>
      <c r="L84" s="17" t="inlineStr">
        <is>
          <t>VIETNAM</t>
        </is>
      </c>
    </row>
    <row r="85" hidden="1" s="22">
      <c r="A85" s="4">
        <f>+IF(Sheet2!A85="","",Sheet2!A85)</f>
        <v/>
      </c>
      <c r="B85" s="4">
        <f>+IF(Sheet2!B85="","",Sheet2!B85)</f>
        <v/>
      </c>
      <c r="C85" s="4">
        <f>+IF(Sheet2!C85="","",Sheet2!C85)</f>
        <v/>
      </c>
      <c r="D85" s="4">
        <f>+IF(Sheet2!J85="","",Sheet2!J85)</f>
        <v/>
      </c>
      <c r="E85" s="19">
        <f>Sheet2!D85</f>
        <v/>
      </c>
      <c r="H85" s="17">
        <f>Sheet2!H85</f>
        <v/>
      </c>
      <c r="I85" s="18">
        <f>+E85*F85</f>
        <v/>
      </c>
      <c r="J85" s="18">
        <f>+E85*G85</f>
        <v/>
      </c>
      <c r="K85" s="18">
        <f>+E85*H85</f>
        <v/>
      </c>
      <c r="L85" s="17" t="inlineStr">
        <is>
          <t>VIETNAM</t>
        </is>
      </c>
    </row>
    <row r="86" hidden="1" s="22">
      <c r="A86" s="4">
        <f>+IF(Sheet2!A86="","",Sheet2!A86)</f>
        <v/>
      </c>
      <c r="B86" s="4">
        <f>+IF(Sheet2!B86="","",Sheet2!B86)</f>
        <v/>
      </c>
      <c r="C86" s="4">
        <f>+IF(Sheet2!C86="","",Sheet2!C86)</f>
        <v/>
      </c>
      <c r="D86" s="4">
        <f>+IF(Sheet2!J86="","",Sheet2!J86)</f>
        <v/>
      </c>
      <c r="E86" s="19">
        <f>Sheet2!D86</f>
        <v/>
      </c>
      <c r="H86" s="17">
        <f>Sheet2!H86</f>
        <v/>
      </c>
      <c r="I86" s="18">
        <f>+E86*F86</f>
        <v/>
      </c>
      <c r="J86" s="18">
        <f>+E86*G86</f>
        <v/>
      </c>
      <c r="K86" s="18">
        <f>+E86*H86</f>
        <v/>
      </c>
      <c r="L86" s="17" t="inlineStr">
        <is>
          <t>VIETNAM</t>
        </is>
      </c>
    </row>
    <row r="87" hidden="1" s="22">
      <c r="A87" s="4">
        <f>+IF(Sheet2!A87="","",Sheet2!A87)</f>
        <v/>
      </c>
      <c r="B87" s="4">
        <f>+IF(Sheet2!B87="","",Sheet2!B87)</f>
        <v/>
      </c>
      <c r="C87" s="4">
        <f>+IF(Sheet2!C87="","",Sheet2!C87)</f>
        <v/>
      </c>
      <c r="D87" s="4">
        <f>+IF(Sheet2!J87="","",Sheet2!J87)</f>
        <v/>
      </c>
      <c r="E87" s="19">
        <f>Sheet2!D87</f>
        <v/>
      </c>
      <c r="H87" s="17">
        <f>Sheet2!H87</f>
        <v/>
      </c>
      <c r="I87" s="18">
        <f>+E87*F87</f>
        <v/>
      </c>
      <c r="J87" s="18">
        <f>+E87*G87</f>
        <v/>
      </c>
      <c r="K87" s="18">
        <f>+E87*H87</f>
        <v/>
      </c>
      <c r="L87" s="17" t="inlineStr">
        <is>
          <t>VIETNAM</t>
        </is>
      </c>
    </row>
    <row r="88" hidden="1" s="22">
      <c r="A88" s="4">
        <f>+IF(Sheet2!A88="","",Sheet2!A88)</f>
        <v/>
      </c>
      <c r="B88" s="4">
        <f>+IF(Sheet2!B88="","",Sheet2!B88)</f>
        <v/>
      </c>
      <c r="C88" s="4">
        <f>+IF(Sheet2!C88="","",Sheet2!C88)</f>
        <v/>
      </c>
      <c r="D88" s="4">
        <f>+IF(Sheet2!J88="","",Sheet2!J88)</f>
        <v/>
      </c>
      <c r="E88" s="19">
        <f>Sheet2!D88</f>
        <v/>
      </c>
      <c r="H88" s="17">
        <f>Sheet2!H88</f>
        <v/>
      </c>
      <c r="I88" s="18">
        <f>+E88*F88</f>
        <v/>
      </c>
      <c r="J88" s="18">
        <f>+E88*G88</f>
        <v/>
      </c>
      <c r="K88" s="18">
        <f>+E88*H88</f>
        <v/>
      </c>
      <c r="L88" s="17" t="inlineStr">
        <is>
          <t>VIETNAM</t>
        </is>
      </c>
    </row>
    <row r="89" hidden="1" s="22">
      <c r="A89" s="4">
        <f>+IF(Sheet2!A89="","",Sheet2!A89)</f>
        <v/>
      </c>
      <c r="B89" s="4">
        <f>+IF(Sheet2!B89="","",Sheet2!B89)</f>
        <v/>
      </c>
      <c r="C89" s="4">
        <f>+IF(Sheet2!C89="","",Sheet2!C89)</f>
        <v/>
      </c>
      <c r="D89" s="4">
        <f>+IF(Sheet2!J89="","",Sheet2!J89)</f>
        <v/>
      </c>
      <c r="E89" s="19">
        <f>Sheet2!D89</f>
        <v/>
      </c>
      <c r="H89" s="17">
        <f>Sheet2!H89</f>
        <v/>
      </c>
      <c r="I89" s="18">
        <f>+E89*F89</f>
        <v/>
      </c>
      <c r="J89" s="18">
        <f>+E89*G89</f>
        <v/>
      </c>
      <c r="K89" s="18">
        <f>+E89*H89</f>
        <v/>
      </c>
      <c r="L89" s="17" t="inlineStr">
        <is>
          <t>VIETNAM</t>
        </is>
      </c>
    </row>
    <row r="90" hidden="1" s="22">
      <c r="A90" s="4">
        <f>+IF(Sheet2!A90="","",Sheet2!A90)</f>
        <v/>
      </c>
      <c r="B90" s="4">
        <f>+IF(Sheet2!B90="","",Sheet2!B90)</f>
        <v/>
      </c>
      <c r="C90" s="4">
        <f>+IF(Sheet2!C90="","",Sheet2!C90)</f>
        <v/>
      </c>
      <c r="D90" s="4">
        <f>+IF(Sheet2!J90="","",Sheet2!J90)</f>
        <v/>
      </c>
      <c r="E90" s="19">
        <f>Sheet2!D90</f>
        <v/>
      </c>
      <c r="H90" s="17">
        <f>Sheet2!H90</f>
        <v/>
      </c>
      <c r="I90" s="18">
        <f>+E90*F90</f>
        <v/>
      </c>
      <c r="J90" s="18">
        <f>+E90*G90</f>
        <v/>
      </c>
      <c r="K90" s="18">
        <f>+E90*H90</f>
        <v/>
      </c>
      <c r="L90" s="17" t="inlineStr">
        <is>
          <t>VIETNAM</t>
        </is>
      </c>
    </row>
    <row r="91" hidden="1" s="22">
      <c r="A91" s="4">
        <f>+IF(Sheet2!A91="","",Sheet2!A91)</f>
        <v/>
      </c>
      <c r="B91" s="4">
        <f>+IF(Sheet2!B91="","",Sheet2!B91)</f>
        <v/>
      </c>
      <c r="C91" s="4">
        <f>+IF(Sheet2!C91="","",Sheet2!C91)</f>
        <v/>
      </c>
      <c r="D91" s="4">
        <f>+IF(Sheet2!J91="","",Sheet2!J91)</f>
        <v/>
      </c>
      <c r="E91" s="19">
        <f>Sheet2!D91</f>
        <v/>
      </c>
      <c r="H91" s="17">
        <f>Sheet2!H91</f>
        <v/>
      </c>
      <c r="I91" s="18">
        <f>+E91*F91</f>
        <v/>
      </c>
      <c r="J91" s="18">
        <f>+E91*G91</f>
        <v/>
      </c>
      <c r="K91" s="18">
        <f>+E91*H91</f>
        <v/>
      </c>
      <c r="L91" s="17" t="inlineStr">
        <is>
          <t>VIETNAM</t>
        </is>
      </c>
    </row>
    <row r="92" hidden="1" s="22">
      <c r="A92" s="4">
        <f>+IF(Sheet2!A92="","",Sheet2!A92)</f>
        <v/>
      </c>
      <c r="B92" s="4">
        <f>+IF(Sheet2!B92="","",Sheet2!B92)</f>
        <v/>
      </c>
      <c r="C92" s="4">
        <f>+IF(Sheet2!C92="","",Sheet2!C92)</f>
        <v/>
      </c>
      <c r="D92" s="4">
        <f>+IF(Sheet2!J92="","",Sheet2!J92)</f>
        <v/>
      </c>
      <c r="E92" s="19">
        <f>Sheet2!D92</f>
        <v/>
      </c>
      <c r="H92" s="17">
        <f>Sheet2!H92</f>
        <v/>
      </c>
      <c r="I92" s="18">
        <f>+E92*F92</f>
        <v/>
      </c>
      <c r="J92" s="18">
        <f>+E92*G92</f>
        <v/>
      </c>
      <c r="K92" s="18">
        <f>+E92*H92</f>
        <v/>
      </c>
      <c r="L92" s="17" t="inlineStr">
        <is>
          <t>VIETNAM</t>
        </is>
      </c>
    </row>
    <row r="93" hidden="1" s="22">
      <c r="A93" s="4">
        <f>+IF(Sheet2!A93="","",Sheet2!A93)</f>
        <v/>
      </c>
      <c r="B93" s="4">
        <f>+IF(Sheet2!B93="","",Sheet2!B93)</f>
        <v/>
      </c>
      <c r="C93" s="4">
        <f>+IF(Sheet2!C93="","",Sheet2!C93)</f>
        <v/>
      </c>
      <c r="D93" s="4">
        <f>+IF(Sheet2!J93="","",Sheet2!J93)</f>
        <v/>
      </c>
      <c r="E93" s="19">
        <f>Sheet2!D93</f>
        <v/>
      </c>
      <c r="H93" s="17">
        <f>Sheet2!H93</f>
        <v/>
      </c>
      <c r="I93" s="18">
        <f>+E93*F93</f>
        <v/>
      </c>
      <c r="J93" s="18">
        <f>+E93*G93</f>
        <v/>
      </c>
      <c r="K93" s="18">
        <f>+E93*H93</f>
        <v/>
      </c>
      <c r="L93" s="17" t="inlineStr">
        <is>
          <t>VIETNAM</t>
        </is>
      </c>
    </row>
    <row r="94" hidden="1" s="22">
      <c r="A94" s="4">
        <f>+IF(Sheet2!A94="","",Sheet2!A94)</f>
        <v/>
      </c>
      <c r="B94" s="4">
        <f>+IF(Sheet2!B94="","",Sheet2!B94)</f>
        <v/>
      </c>
      <c r="C94" s="4">
        <f>+IF(Sheet2!C94="","",Sheet2!C94)</f>
        <v/>
      </c>
      <c r="D94" s="4">
        <f>+IF(Sheet2!J94="","",Sheet2!J94)</f>
        <v/>
      </c>
      <c r="E94" s="19">
        <f>Sheet2!D94</f>
        <v/>
      </c>
      <c r="H94" s="17">
        <f>Sheet2!H94</f>
        <v/>
      </c>
      <c r="I94" s="18">
        <f>+E94*F94</f>
        <v/>
      </c>
      <c r="J94" s="18">
        <f>+E94*G94</f>
        <v/>
      </c>
      <c r="K94" s="18">
        <f>+E94*H94</f>
        <v/>
      </c>
      <c r="L94" s="17" t="inlineStr">
        <is>
          <t>VIETNAM</t>
        </is>
      </c>
    </row>
    <row r="95" hidden="1" s="22">
      <c r="A95" s="4">
        <f>+IF(Sheet2!A95="","",Sheet2!A95)</f>
        <v/>
      </c>
      <c r="B95" s="4">
        <f>+IF(Sheet2!B95="","",Sheet2!B95)</f>
        <v/>
      </c>
      <c r="C95" s="4">
        <f>+IF(Sheet2!C95="","",Sheet2!C95)</f>
        <v/>
      </c>
      <c r="D95" s="4">
        <f>+IF(Sheet2!J95="","",Sheet2!J95)</f>
        <v/>
      </c>
      <c r="E95" s="19">
        <f>Sheet2!D95</f>
        <v/>
      </c>
      <c r="H95" s="17">
        <f>Sheet2!H95</f>
        <v/>
      </c>
      <c r="I95" s="18">
        <f>+E95*F95</f>
        <v/>
      </c>
      <c r="J95" s="18">
        <f>+E95*G95</f>
        <v/>
      </c>
      <c r="K95" s="18">
        <f>+E95*H95</f>
        <v/>
      </c>
      <c r="L95" s="17" t="inlineStr">
        <is>
          <t>VIETNAM</t>
        </is>
      </c>
    </row>
    <row r="96" hidden="1" s="22">
      <c r="A96" s="4">
        <f>+IF(Sheet2!A96="","",Sheet2!A96)</f>
        <v/>
      </c>
      <c r="B96" s="4">
        <f>+IF(Sheet2!B96="","",Sheet2!B96)</f>
        <v/>
      </c>
      <c r="C96" s="4">
        <f>+IF(Sheet2!C96="","",Sheet2!C96)</f>
        <v/>
      </c>
      <c r="D96" s="4">
        <f>+IF(Sheet2!J96="","",Sheet2!J96)</f>
        <v/>
      </c>
      <c r="E96" s="19">
        <f>Sheet2!D96</f>
        <v/>
      </c>
      <c r="H96" s="17">
        <f>Sheet2!H96</f>
        <v/>
      </c>
      <c r="I96" s="18">
        <f>+E96*F96</f>
        <v/>
      </c>
      <c r="J96" s="18">
        <f>+E96*G96</f>
        <v/>
      </c>
      <c r="K96" s="18">
        <f>+E96*H96</f>
        <v/>
      </c>
      <c r="L96" s="17" t="inlineStr">
        <is>
          <t>VIETNAM</t>
        </is>
      </c>
    </row>
    <row r="97" hidden="1" s="22">
      <c r="A97" s="4">
        <f>+IF(Sheet2!A97="","",Sheet2!A97)</f>
        <v/>
      </c>
      <c r="B97" s="4">
        <f>+IF(Sheet2!B97="","",Sheet2!B97)</f>
        <v/>
      </c>
      <c r="C97" s="4">
        <f>+IF(Sheet2!C97="","",Sheet2!C97)</f>
        <v/>
      </c>
      <c r="D97" s="4">
        <f>+IF(Sheet2!J97="","",Sheet2!J97)</f>
        <v/>
      </c>
      <c r="E97" s="19">
        <f>Sheet2!D97</f>
        <v/>
      </c>
      <c r="H97" s="17">
        <f>Sheet2!H97</f>
        <v/>
      </c>
      <c r="I97" s="18">
        <f>+E97*F97</f>
        <v/>
      </c>
      <c r="J97" s="18">
        <f>+E97*G97</f>
        <v/>
      </c>
      <c r="K97" s="18">
        <f>+E97*H97</f>
        <v/>
      </c>
      <c r="L97" s="17" t="inlineStr">
        <is>
          <t>VIETNAM</t>
        </is>
      </c>
    </row>
    <row r="98" hidden="1" s="22">
      <c r="A98" s="4">
        <f>+IF(Sheet2!A98="","",Sheet2!A98)</f>
        <v/>
      </c>
      <c r="B98" s="4">
        <f>+IF(Sheet2!B98="","",Sheet2!B98)</f>
        <v/>
      </c>
      <c r="C98" s="4">
        <f>+IF(Sheet2!C98="","",Sheet2!C98)</f>
        <v/>
      </c>
      <c r="D98" s="4">
        <f>+IF(Sheet2!J98="","",Sheet2!J98)</f>
        <v/>
      </c>
      <c r="E98" s="19">
        <f>Sheet2!D98</f>
        <v/>
      </c>
      <c r="H98" s="17">
        <f>Sheet2!H98</f>
        <v/>
      </c>
      <c r="I98" s="18">
        <f>+E98*F98</f>
        <v/>
      </c>
      <c r="J98" s="18">
        <f>+E98*G98</f>
        <v/>
      </c>
      <c r="K98" s="18">
        <f>+E98*H98</f>
        <v/>
      </c>
      <c r="L98" s="17" t="inlineStr">
        <is>
          <t>VIETNAM</t>
        </is>
      </c>
    </row>
    <row r="99" hidden="1" s="22">
      <c r="A99" s="4">
        <f>+IF(Sheet2!A99="","",Sheet2!A99)</f>
        <v/>
      </c>
      <c r="B99" s="4">
        <f>+IF(Sheet2!B99="","",Sheet2!B99)</f>
        <v/>
      </c>
      <c r="C99" s="4">
        <f>+IF(Sheet2!C99="","",Sheet2!C99)</f>
        <v/>
      </c>
      <c r="D99" s="4">
        <f>+IF(Sheet2!J99="","",Sheet2!J99)</f>
        <v/>
      </c>
      <c r="E99" s="19">
        <f>Sheet2!D99</f>
        <v/>
      </c>
      <c r="H99" s="17">
        <f>Sheet2!H99</f>
        <v/>
      </c>
      <c r="I99" s="18">
        <f>+E99*F99</f>
        <v/>
      </c>
      <c r="J99" s="18">
        <f>+E99*G99</f>
        <v/>
      </c>
      <c r="K99" s="18">
        <f>+E99*H99</f>
        <v/>
      </c>
      <c r="L99" s="17" t="inlineStr">
        <is>
          <t>VIETNAM</t>
        </is>
      </c>
    </row>
    <row r="100" hidden="1" s="22">
      <c r="A100" s="4">
        <f>+IF(Sheet2!A100="","",Sheet2!A100)</f>
        <v/>
      </c>
      <c r="B100" s="4">
        <f>+IF(Sheet2!B100="","",Sheet2!B100)</f>
        <v/>
      </c>
      <c r="C100" s="4">
        <f>+IF(Sheet2!C100="","",Sheet2!C100)</f>
        <v/>
      </c>
      <c r="D100" s="4">
        <f>+IF(Sheet2!J100="","",Sheet2!J100)</f>
        <v/>
      </c>
      <c r="E100" s="19">
        <f>Sheet2!D100</f>
        <v/>
      </c>
      <c r="H100" s="17">
        <f>Sheet2!H100</f>
        <v/>
      </c>
      <c r="I100" s="18">
        <f>+E100*F100</f>
        <v/>
      </c>
      <c r="J100" s="18">
        <f>+E100*G100</f>
        <v/>
      </c>
      <c r="K100" s="18">
        <f>+E100*H100</f>
        <v/>
      </c>
      <c r="L100" s="17" t="inlineStr">
        <is>
          <t>VIETNAM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Achilles.vnsgn / Bee Logistics</dc:creator>
  <dcterms:created xsi:type="dcterms:W3CDTF">2026-10-20T02:28:43Z</dcterms:created>
  <dcterms:modified xsi:type="dcterms:W3CDTF">2026-10-26T14:36:35Z</dcterms:modified>
  <cp:lastModifiedBy>Achilles.vnsgn / Bee Logistics</cp:lastModifiedBy>
</cp:coreProperties>
</file>