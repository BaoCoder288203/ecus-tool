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xr:revisionPtr revIDLastSave="0" documentId="13_ncr:1_{6294D0C9-AB87-444C-BC6D-3487C68DB0B9}" xr6:coauthVersionLast="47" xr6:coauthVersionMax="47" xr10:uidLastSave="{00000000-0000-0000-0000-000000000000}"/>
  <bookViews>
    <workbookView xWindow="-60" yWindow="-60" windowWidth="28920" windowHeight="15600" xr2:uid="{518642CF-EBCC-49B9-BCD4-CF0C83A20115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D16" i="1"/>
  <c r="D17" i="1"/>
  <c r="C11" i="1" l="1"/>
  <c r="B26" i="1" l="1"/>
  <c r="A4" i="3" l="1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E5" i="3" l="1"/>
  <c r="H5" i="3"/>
  <c r="E6" i="3"/>
  <c r="K6" i="3" s="1"/>
  <c r="H6" i="3"/>
  <c r="E7" i="3"/>
  <c r="H7" i="3"/>
  <c r="E8" i="3"/>
  <c r="K8" i="3" s="1"/>
  <c r="H8" i="3"/>
  <c r="E9" i="3"/>
  <c r="K9" i="3" s="1"/>
  <c r="H9" i="3"/>
  <c r="E10" i="3"/>
  <c r="H10" i="3"/>
  <c r="K10" i="3"/>
  <c r="E11" i="3"/>
  <c r="H11" i="3"/>
  <c r="E12" i="3"/>
  <c r="H12" i="3"/>
  <c r="K12" i="3" s="1"/>
  <c r="E13" i="3"/>
  <c r="H13" i="3"/>
  <c r="E14" i="3"/>
  <c r="K14" i="3" s="1"/>
  <c r="H14" i="3"/>
  <c r="E15" i="3"/>
  <c r="H15" i="3"/>
  <c r="E16" i="3"/>
  <c r="K16" i="3" s="1"/>
  <c r="H16" i="3"/>
  <c r="E17" i="3"/>
  <c r="K17" i="3" s="1"/>
  <c r="H17" i="3"/>
  <c r="E18" i="3"/>
  <c r="H18" i="3"/>
  <c r="K18" i="3"/>
  <c r="E19" i="3"/>
  <c r="H19" i="3"/>
  <c r="E20" i="3"/>
  <c r="H20" i="3"/>
  <c r="K20" i="3" s="1"/>
  <c r="E21" i="3"/>
  <c r="H21" i="3"/>
  <c r="E22" i="3"/>
  <c r="K22" i="3" s="1"/>
  <c r="H22" i="3"/>
  <c r="E23" i="3"/>
  <c r="H23" i="3"/>
  <c r="E24" i="3"/>
  <c r="K24" i="3" s="1"/>
  <c r="H24" i="3"/>
  <c r="E25" i="3"/>
  <c r="K25" i="3" s="1"/>
  <c r="H25" i="3"/>
  <c r="E26" i="3"/>
  <c r="H26" i="3"/>
  <c r="K26" i="3"/>
  <c r="E27" i="3"/>
  <c r="K27" i="3" s="1"/>
  <c r="H27" i="3"/>
  <c r="E28" i="3"/>
  <c r="H28" i="3"/>
  <c r="K28" i="3" s="1"/>
  <c r="E29" i="3"/>
  <c r="H29" i="3"/>
  <c r="E30" i="3"/>
  <c r="K30" i="3" s="1"/>
  <c r="H30" i="3"/>
  <c r="E31" i="3"/>
  <c r="H31" i="3"/>
  <c r="E32" i="3"/>
  <c r="K32" i="3" s="1"/>
  <c r="H32" i="3"/>
  <c r="E33" i="3"/>
  <c r="H33" i="3"/>
  <c r="E34" i="3"/>
  <c r="H34" i="3"/>
  <c r="K34" i="3"/>
  <c r="E35" i="3"/>
  <c r="K35" i="3" s="1"/>
  <c r="H35" i="3"/>
  <c r="E36" i="3"/>
  <c r="H36" i="3"/>
  <c r="K36" i="3"/>
  <c r="E37" i="3"/>
  <c r="H37" i="3"/>
  <c r="E38" i="3"/>
  <c r="K38" i="3" s="1"/>
  <c r="H38" i="3"/>
  <c r="E39" i="3"/>
  <c r="H39" i="3"/>
  <c r="E40" i="3"/>
  <c r="K40" i="3" s="1"/>
  <c r="H40" i="3"/>
  <c r="E41" i="3"/>
  <c r="H41" i="3"/>
  <c r="E42" i="3"/>
  <c r="H42" i="3"/>
  <c r="K42" i="3"/>
  <c r="E43" i="3"/>
  <c r="K43" i="3" s="1"/>
  <c r="H43" i="3"/>
  <c r="E44" i="3"/>
  <c r="H44" i="3"/>
  <c r="K44" i="3"/>
  <c r="E45" i="3"/>
  <c r="H45" i="3"/>
  <c r="E46" i="3"/>
  <c r="K46" i="3" s="1"/>
  <c r="H46" i="3"/>
  <c r="E47" i="3"/>
  <c r="H47" i="3"/>
  <c r="E48" i="3"/>
  <c r="K48" i="3" s="1"/>
  <c r="H48" i="3"/>
  <c r="E49" i="3"/>
  <c r="H49" i="3"/>
  <c r="E50" i="3"/>
  <c r="H50" i="3"/>
  <c r="K50" i="3"/>
  <c r="E51" i="3"/>
  <c r="H51" i="3"/>
  <c r="E52" i="3"/>
  <c r="H52" i="3"/>
  <c r="K52" i="3"/>
  <c r="E53" i="3"/>
  <c r="H53" i="3"/>
  <c r="E54" i="3"/>
  <c r="K54" i="3" s="1"/>
  <c r="H54" i="3"/>
  <c r="E55" i="3"/>
  <c r="H55" i="3"/>
  <c r="E56" i="3"/>
  <c r="K56" i="3" s="1"/>
  <c r="H56" i="3"/>
  <c r="E57" i="3"/>
  <c r="H57" i="3"/>
  <c r="E58" i="3"/>
  <c r="H58" i="3"/>
  <c r="K58" i="3"/>
  <c r="E59" i="3"/>
  <c r="H59" i="3"/>
  <c r="E60" i="3"/>
  <c r="H60" i="3"/>
  <c r="K60" i="3"/>
  <c r="E61" i="3"/>
  <c r="H61" i="3"/>
  <c r="E62" i="3"/>
  <c r="K62" i="3" s="1"/>
  <c r="H62" i="3"/>
  <c r="E63" i="3"/>
  <c r="H63" i="3"/>
  <c r="E64" i="3"/>
  <c r="K64" i="3" s="1"/>
  <c r="H64" i="3"/>
  <c r="E65" i="3"/>
  <c r="H65" i="3"/>
  <c r="E66" i="3"/>
  <c r="H66" i="3"/>
  <c r="K66" i="3"/>
  <c r="E67" i="3"/>
  <c r="K67" i="3" s="1"/>
  <c r="H67" i="3"/>
  <c r="E68" i="3"/>
  <c r="H68" i="3"/>
  <c r="K68" i="3"/>
  <c r="E69" i="3"/>
  <c r="H69" i="3"/>
  <c r="E70" i="3"/>
  <c r="K70" i="3" s="1"/>
  <c r="H70" i="3"/>
  <c r="E71" i="3"/>
  <c r="H71" i="3"/>
  <c r="E72" i="3"/>
  <c r="K72" i="3" s="1"/>
  <c r="H72" i="3"/>
  <c r="E73" i="3"/>
  <c r="H73" i="3"/>
  <c r="E74" i="3"/>
  <c r="H74" i="3"/>
  <c r="K74" i="3"/>
  <c r="E75" i="3"/>
  <c r="K75" i="3" s="1"/>
  <c r="H75" i="3"/>
  <c r="E76" i="3"/>
  <c r="H76" i="3"/>
  <c r="K76" i="3"/>
  <c r="E77" i="3"/>
  <c r="H77" i="3"/>
  <c r="E78" i="3"/>
  <c r="K78" i="3" s="1"/>
  <c r="H78" i="3"/>
  <c r="E79" i="3"/>
  <c r="H79" i="3"/>
  <c r="E80" i="3"/>
  <c r="K80" i="3" s="1"/>
  <c r="H80" i="3"/>
  <c r="E81" i="3"/>
  <c r="J81" i="3" s="1"/>
  <c r="H81" i="3"/>
  <c r="E82" i="3"/>
  <c r="J82" i="3" s="1"/>
  <c r="H82" i="3"/>
  <c r="K82" i="3" s="1"/>
  <c r="E83" i="3"/>
  <c r="J83" i="3" s="1"/>
  <c r="H83" i="3"/>
  <c r="E84" i="3"/>
  <c r="J84" i="3" s="1"/>
  <c r="H84" i="3"/>
  <c r="I84" i="3"/>
  <c r="E85" i="3"/>
  <c r="J85" i="3" s="1"/>
  <c r="H85" i="3"/>
  <c r="E86" i="3"/>
  <c r="J86" i="3" s="1"/>
  <c r="H86" i="3"/>
  <c r="E87" i="3"/>
  <c r="J87" i="3" s="1"/>
  <c r="H87" i="3"/>
  <c r="I87" i="3"/>
  <c r="E88" i="3"/>
  <c r="J88" i="3" s="1"/>
  <c r="H88" i="3"/>
  <c r="I88" i="3"/>
  <c r="K88" i="3"/>
  <c r="E89" i="3"/>
  <c r="J89" i="3" s="1"/>
  <c r="H89" i="3"/>
  <c r="E90" i="3"/>
  <c r="I90" i="3" s="1"/>
  <c r="H90" i="3"/>
  <c r="K90" i="3" s="1"/>
  <c r="E91" i="3"/>
  <c r="I91" i="3" s="1"/>
  <c r="H91" i="3"/>
  <c r="K91" i="3" s="1"/>
  <c r="J91" i="3"/>
  <c r="E92" i="3"/>
  <c r="I92" i="3" s="1"/>
  <c r="H92" i="3"/>
  <c r="K92" i="3" s="1"/>
  <c r="J92" i="3"/>
  <c r="E93" i="3"/>
  <c r="I93" i="3" s="1"/>
  <c r="H93" i="3"/>
  <c r="E94" i="3"/>
  <c r="I94" i="3" s="1"/>
  <c r="H94" i="3"/>
  <c r="K94" i="3" s="1"/>
  <c r="E95" i="3"/>
  <c r="I95" i="3" s="1"/>
  <c r="H95" i="3"/>
  <c r="K95" i="3" s="1"/>
  <c r="J95" i="3"/>
  <c r="E96" i="3"/>
  <c r="I96" i="3" s="1"/>
  <c r="H96" i="3"/>
  <c r="K96" i="3" s="1"/>
  <c r="J96" i="3"/>
  <c r="E97" i="3"/>
  <c r="I97" i="3" s="1"/>
  <c r="H97" i="3"/>
  <c r="E98" i="3"/>
  <c r="I98" i="3" s="1"/>
  <c r="H98" i="3"/>
  <c r="K98" i="3" s="1"/>
  <c r="E99" i="3"/>
  <c r="I99" i="3" s="1"/>
  <c r="H99" i="3"/>
  <c r="K99" i="3" s="1"/>
  <c r="J99" i="3"/>
  <c r="E100" i="3"/>
  <c r="I100" i="3" s="1"/>
  <c r="H100" i="3"/>
  <c r="K100" i="3" s="1"/>
  <c r="J100" i="3"/>
  <c r="T70" i="2"/>
  <c r="V70" i="2"/>
  <c r="X70" i="2"/>
  <c r="T71" i="2"/>
  <c r="V71" i="2"/>
  <c r="X71" i="2"/>
  <c r="T72" i="2"/>
  <c r="V72" i="2"/>
  <c r="X72" i="2"/>
  <c r="T73" i="2"/>
  <c r="V73" i="2"/>
  <c r="X73" i="2"/>
  <c r="T74" i="2"/>
  <c r="V74" i="2"/>
  <c r="X74" i="2"/>
  <c r="T75" i="2"/>
  <c r="V75" i="2"/>
  <c r="X75" i="2"/>
  <c r="T76" i="2"/>
  <c r="V76" i="2"/>
  <c r="X76" i="2"/>
  <c r="T77" i="2"/>
  <c r="V77" i="2"/>
  <c r="X77" i="2"/>
  <c r="T78" i="2"/>
  <c r="V78" i="2"/>
  <c r="X78" i="2"/>
  <c r="T79" i="2"/>
  <c r="V79" i="2"/>
  <c r="X79" i="2"/>
  <c r="T80" i="2"/>
  <c r="V80" i="2"/>
  <c r="X80" i="2"/>
  <c r="T81" i="2"/>
  <c r="V81" i="2"/>
  <c r="X81" i="2"/>
  <c r="T82" i="2"/>
  <c r="V82" i="2"/>
  <c r="X82" i="2"/>
  <c r="T83" i="2"/>
  <c r="V83" i="2"/>
  <c r="X83" i="2"/>
  <c r="T84" i="2"/>
  <c r="V84" i="2"/>
  <c r="X84" i="2"/>
  <c r="T85" i="2"/>
  <c r="V85" i="2"/>
  <c r="X85" i="2"/>
  <c r="T86" i="2"/>
  <c r="V86" i="2"/>
  <c r="X86" i="2"/>
  <c r="T87" i="2"/>
  <c r="V87" i="2"/>
  <c r="X87" i="2"/>
  <c r="T88" i="2"/>
  <c r="V88" i="2"/>
  <c r="X88" i="2"/>
  <c r="T89" i="2"/>
  <c r="V89" i="2"/>
  <c r="X89" i="2"/>
  <c r="T90" i="2"/>
  <c r="V90" i="2"/>
  <c r="X90" i="2"/>
  <c r="T91" i="2"/>
  <c r="V91" i="2"/>
  <c r="X91" i="2"/>
  <c r="T92" i="2"/>
  <c r="V92" i="2"/>
  <c r="X92" i="2"/>
  <c r="T93" i="2"/>
  <c r="V93" i="2"/>
  <c r="X93" i="2"/>
  <c r="T94" i="2"/>
  <c r="V94" i="2"/>
  <c r="X94" i="2"/>
  <c r="T95" i="2"/>
  <c r="V95" i="2"/>
  <c r="X95" i="2"/>
  <c r="T96" i="2"/>
  <c r="V96" i="2"/>
  <c r="X96" i="2"/>
  <c r="T97" i="2"/>
  <c r="V97" i="2"/>
  <c r="X97" i="2"/>
  <c r="T98" i="2"/>
  <c r="V98" i="2"/>
  <c r="X98" i="2"/>
  <c r="T99" i="2"/>
  <c r="V99" i="2"/>
  <c r="X99" i="2"/>
  <c r="T100" i="2"/>
  <c r="V100" i="2"/>
  <c r="X100" i="2"/>
  <c r="H3" i="3"/>
  <c r="H4" i="3"/>
  <c r="H2" i="3"/>
  <c r="E3" i="3"/>
  <c r="J3" i="3" s="1"/>
  <c r="E4" i="3"/>
  <c r="I4" i="3" s="1"/>
  <c r="E2" i="3"/>
  <c r="K2" i="3" s="1"/>
  <c r="C3" i="3"/>
  <c r="C2" i="3"/>
  <c r="B3" i="3"/>
  <c r="B2" i="3"/>
  <c r="A3" i="3"/>
  <c r="A2" i="3"/>
  <c r="J4" i="3"/>
  <c r="K4" i="3"/>
  <c r="I3" i="3"/>
  <c r="I1" i="2"/>
  <c r="Y88" i="2" l="1"/>
  <c r="Y80" i="2"/>
  <c r="J95" i="2"/>
  <c r="D95" i="3" s="1"/>
  <c r="J92" i="2"/>
  <c r="D92" i="3" s="1"/>
  <c r="J88" i="2"/>
  <c r="D88" i="3" s="1"/>
  <c r="J70" i="2"/>
  <c r="D70" i="3" s="1"/>
  <c r="J2" i="3"/>
  <c r="Y96" i="2"/>
  <c r="K33" i="3"/>
  <c r="J97" i="3"/>
  <c r="J93" i="3"/>
  <c r="K79" i="3"/>
  <c r="K71" i="3"/>
  <c r="K63" i="3"/>
  <c r="K55" i="3"/>
  <c r="K39" i="3"/>
  <c r="K31" i="3"/>
  <c r="K23" i="3"/>
  <c r="K15" i="3"/>
  <c r="J98" i="3"/>
  <c r="K97" i="3"/>
  <c r="J94" i="3"/>
  <c r="K93" i="3"/>
  <c r="J90" i="3"/>
  <c r="K86" i="3"/>
  <c r="K84" i="3"/>
  <c r="I83" i="3"/>
  <c r="K45" i="3"/>
  <c r="K37" i="3"/>
  <c r="K21" i="3"/>
  <c r="K5" i="3"/>
  <c r="Y87" i="2"/>
  <c r="J81" i="2"/>
  <c r="D81" i="3" s="1"/>
  <c r="Y79" i="2"/>
  <c r="Y71" i="2"/>
  <c r="J90" i="2"/>
  <c r="D90" i="3" s="1"/>
  <c r="Y93" i="2"/>
  <c r="J79" i="2"/>
  <c r="D79" i="3" s="1"/>
  <c r="J72" i="2"/>
  <c r="D72" i="3" s="1"/>
  <c r="J91" i="2"/>
  <c r="D91" i="3" s="1"/>
  <c r="J87" i="2"/>
  <c r="D87" i="3" s="1"/>
  <c r="J97" i="2"/>
  <c r="D97" i="3" s="1"/>
  <c r="Y95" i="2"/>
  <c r="Y77" i="2"/>
  <c r="J76" i="2"/>
  <c r="D76" i="3" s="1"/>
  <c r="J75" i="2"/>
  <c r="D75" i="3" s="1"/>
  <c r="J71" i="2"/>
  <c r="D71" i="3" s="1"/>
  <c r="J100" i="2"/>
  <c r="D100" i="3" s="1"/>
  <c r="J99" i="2"/>
  <c r="D99" i="3" s="1"/>
  <c r="J96" i="2"/>
  <c r="D96" i="3" s="1"/>
  <c r="J89" i="2"/>
  <c r="D89" i="3" s="1"/>
  <c r="Y85" i="2"/>
  <c r="J84" i="2"/>
  <c r="D84" i="3" s="1"/>
  <c r="J83" i="2"/>
  <c r="D83" i="3" s="1"/>
  <c r="J80" i="2"/>
  <c r="D80" i="3" s="1"/>
  <c r="J77" i="2"/>
  <c r="D77" i="3" s="1"/>
  <c r="J73" i="2"/>
  <c r="D73" i="3" s="1"/>
  <c r="Y70" i="2"/>
  <c r="Y75" i="2"/>
  <c r="Y73" i="2"/>
  <c r="J98" i="2"/>
  <c r="D98" i="3" s="1"/>
  <c r="J82" i="2"/>
  <c r="D82" i="3" s="1"/>
  <c r="Y99" i="2"/>
  <c r="Y97" i="2"/>
  <c r="J93" i="2"/>
  <c r="D93" i="3" s="1"/>
  <c r="Y91" i="2"/>
  <c r="Y89" i="2"/>
  <c r="J85" i="2"/>
  <c r="D85" i="3" s="1"/>
  <c r="Y83" i="2"/>
  <c r="Y81" i="2"/>
  <c r="Y100" i="2"/>
  <c r="J94" i="2"/>
  <c r="D94" i="3" s="1"/>
  <c r="Y92" i="2"/>
  <c r="J86" i="2"/>
  <c r="D86" i="3" s="1"/>
  <c r="Y84" i="2"/>
  <c r="J78" i="2"/>
  <c r="D78" i="3" s="1"/>
  <c r="Y76" i="2"/>
  <c r="J74" i="2"/>
  <c r="D74" i="3" s="1"/>
  <c r="Y72" i="2"/>
  <c r="Y98" i="2"/>
  <c r="Y94" i="2"/>
  <c r="Y90" i="2"/>
  <c r="Y86" i="2"/>
  <c r="Y82" i="2"/>
  <c r="Y78" i="2"/>
  <c r="Y74" i="2"/>
  <c r="I41" i="3"/>
  <c r="J41" i="3"/>
  <c r="K89" i="3"/>
  <c r="K85" i="3"/>
  <c r="K81" i="3"/>
  <c r="I77" i="3"/>
  <c r="J77" i="3"/>
  <c r="I73" i="3"/>
  <c r="J73" i="3"/>
  <c r="I69" i="3"/>
  <c r="J69" i="3"/>
  <c r="I65" i="3"/>
  <c r="J65" i="3"/>
  <c r="I61" i="3"/>
  <c r="J61" i="3"/>
  <c r="I59" i="3"/>
  <c r="J59" i="3"/>
  <c r="I57" i="3"/>
  <c r="J57" i="3"/>
  <c r="I53" i="3"/>
  <c r="J53" i="3"/>
  <c r="I51" i="3"/>
  <c r="J51" i="3"/>
  <c r="I49" i="3"/>
  <c r="J49" i="3"/>
  <c r="I47" i="3"/>
  <c r="J47" i="3"/>
  <c r="I29" i="3"/>
  <c r="J29" i="3"/>
  <c r="I19" i="3"/>
  <c r="J19" i="3"/>
  <c r="I13" i="3"/>
  <c r="J13" i="3"/>
  <c r="I11" i="3"/>
  <c r="J11" i="3"/>
  <c r="I7" i="3"/>
  <c r="J7" i="3"/>
  <c r="I89" i="3"/>
  <c r="I85" i="3"/>
  <c r="I81" i="3"/>
  <c r="I80" i="3"/>
  <c r="J80" i="3"/>
  <c r="I78" i="3"/>
  <c r="J78" i="3"/>
  <c r="K77" i="3"/>
  <c r="I76" i="3"/>
  <c r="J76" i="3"/>
  <c r="I74" i="3"/>
  <c r="J74" i="3"/>
  <c r="K73" i="3"/>
  <c r="I72" i="3"/>
  <c r="J72" i="3"/>
  <c r="I70" i="3"/>
  <c r="J70" i="3"/>
  <c r="K69" i="3"/>
  <c r="I68" i="3"/>
  <c r="J68" i="3"/>
  <c r="I66" i="3"/>
  <c r="J66" i="3"/>
  <c r="K65" i="3"/>
  <c r="I64" i="3"/>
  <c r="J64" i="3"/>
  <c r="I62" i="3"/>
  <c r="J62" i="3"/>
  <c r="K61" i="3"/>
  <c r="I60" i="3"/>
  <c r="J60" i="3"/>
  <c r="K59" i="3"/>
  <c r="I58" i="3"/>
  <c r="J58" i="3"/>
  <c r="K57" i="3"/>
  <c r="I56" i="3"/>
  <c r="J56" i="3"/>
  <c r="I54" i="3"/>
  <c r="J54" i="3"/>
  <c r="K53" i="3"/>
  <c r="I52" i="3"/>
  <c r="J52" i="3"/>
  <c r="K51" i="3"/>
  <c r="I50" i="3"/>
  <c r="J50" i="3"/>
  <c r="K49" i="3"/>
  <c r="I48" i="3"/>
  <c r="J48" i="3"/>
  <c r="K47" i="3"/>
  <c r="I46" i="3"/>
  <c r="J46" i="3"/>
  <c r="I44" i="3"/>
  <c r="J44" i="3"/>
  <c r="I42" i="3"/>
  <c r="J42" i="3"/>
  <c r="K41" i="3"/>
  <c r="I40" i="3"/>
  <c r="J40" i="3"/>
  <c r="I38" i="3"/>
  <c r="J38" i="3"/>
  <c r="I36" i="3"/>
  <c r="J36" i="3"/>
  <c r="I34" i="3"/>
  <c r="J34" i="3"/>
  <c r="I32" i="3"/>
  <c r="J32" i="3"/>
  <c r="I30" i="3"/>
  <c r="J30" i="3"/>
  <c r="K29" i="3"/>
  <c r="I28" i="3"/>
  <c r="J28" i="3"/>
  <c r="I26" i="3"/>
  <c r="J26" i="3"/>
  <c r="I24" i="3"/>
  <c r="J24" i="3"/>
  <c r="I22" i="3"/>
  <c r="J22" i="3"/>
  <c r="I20" i="3"/>
  <c r="J20" i="3"/>
  <c r="K19" i="3"/>
  <c r="I18" i="3"/>
  <c r="J18" i="3"/>
  <c r="I16" i="3"/>
  <c r="J16" i="3"/>
  <c r="I14" i="3"/>
  <c r="J14" i="3"/>
  <c r="K13" i="3"/>
  <c r="I12" i="3"/>
  <c r="J12" i="3"/>
  <c r="K11" i="3"/>
  <c r="I10" i="3"/>
  <c r="J10" i="3"/>
  <c r="I8" i="3"/>
  <c r="J8" i="3"/>
  <c r="K7" i="3"/>
  <c r="I6" i="3"/>
  <c r="J6" i="3"/>
  <c r="I79" i="3"/>
  <c r="J79" i="3"/>
  <c r="I75" i="3"/>
  <c r="J75" i="3"/>
  <c r="I71" i="3"/>
  <c r="J71" i="3"/>
  <c r="I67" i="3"/>
  <c r="J67" i="3"/>
  <c r="I63" i="3"/>
  <c r="J63" i="3"/>
  <c r="I55" i="3"/>
  <c r="J55" i="3"/>
  <c r="I45" i="3"/>
  <c r="J45" i="3"/>
  <c r="I43" i="3"/>
  <c r="J43" i="3"/>
  <c r="I39" i="3"/>
  <c r="J39" i="3"/>
  <c r="I37" i="3"/>
  <c r="J37" i="3"/>
  <c r="I35" i="3"/>
  <c r="J35" i="3"/>
  <c r="I33" i="3"/>
  <c r="J33" i="3"/>
  <c r="I31" i="3"/>
  <c r="J31" i="3"/>
  <c r="I27" i="3"/>
  <c r="J27" i="3"/>
  <c r="I25" i="3"/>
  <c r="J25" i="3"/>
  <c r="I23" i="3"/>
  <c r="J23" i="3"/>
  <c r="I21" i="3"/>
  <c r="J21" i="3"/>
  <c r="I17" i="3"/>
  <c r="J17" i="3"/>
  <c r="I15" i="3"/>
  <c r="J15" i="3"/>
  <c r="I9" i="3"/>
  <c r="J9" i="3"/>
  <c r="I5" i="3"/>
  <c r="J5" i="3"/>
  <c r="K87" i="3"/>
  <c r="I86" i="3"/>
  <c r="K83" i="3"/>
  <c r="I82" i="3"/>
  <c r="K3" i="3"/>
  <c r="I2" i="3"/>
  <c r="K1" i="3" l="1"/>
  <c r="J1" i="3"/>
  <c r="I1" i="3"/>
  <c r="T2" i="2"/>
  <c r="X69" i="2"/>
  <c r="V69" i="2"/>
  <c r="T69" i="2"/>
  <c r="X68" i="2"/>
  <c r="V68" i="2"/>
  <c r="T68" i="2"/>
  <c r="X67" i="2"/>
  <c r="V67" i="2"/>
  <c r="T67" i="2"/>
  <c r="X66" i="2"/>
  <c r="V66" i="2"/>
  <c r="T66" i="2"/>
  <c r="X65" i="2"/>
  <c r="V65" i="2"/>
  <c r="T65" i="2"/>
  <c r="X64" i="2"/>
  <c r="V64" i="2"/>
  <c r="T64" i="2"/>
  <c r="X63" i="2"/>
  <c r="V63" i="2"/>
  <c r="T63" i="2"/>
  <c r="X62" i="2"/>
  <c r="V62" i="2"/>
  <c r="T62" i="2"/>
  <c r="X61" i="2"/>
  <c r="V61" i="2"/>
  <c r="T61" i="2"/>
  <c r="X60" i="2"/>
  <c r="V60" i="2"/>
  <c r="T60" i="2"/>
  <c r="X59" i="2"/>
  <c r="V59" i="2"/>
  <c r="T59" i="2"/>
  <c r="X58" i="2"/>
  <c r="V58" i="2"/>
  <c r="T58" i="2"/>
  <c r="X57" i="2"/>
  <c r="V57" i="2"/>
  <c r="T57" i="2"/>
  <c r="X56" i="2"/>
  <c r="V56" i="2"/>
  <c r="T56" i="2"/>
  <c r="X55" i="2"/>
  <c r="V55" i="2"/>
  <c r="T55" i="2"/>
  <c r="X54" i="2"/>
  <c r="V54" i="2"/>
  <c r="T54" i="2"/>
  <c r="X53" i="2"/>
  <c r="V53" i="2"/>
  <c r="T53" i="2"/>
  <c r="X52" i="2"/>
  <c r="V52" i="2"/>
  <c r="T52" i="2"/>
  <c r="X51" i="2"/>
  <c r="V51" i="2"/>
  <c r="T51" i="2"/>
  <c r="X50" i="2"/>
  <c r="V50" i="2"/>
  <c r="T50" i="2"/>
  <c r="X49" i="2"/>
  <c r="V49" i="2"/>
  <c r="T49" i="2"/>
  <c r="X48" i="2"/>
  <c r="V48" i="2"/>
  <c r="T48" i="2"/>
  <c r="X47" i="2"/>
  <c r="V47" i="2"/>
  <c r="T47" i="2"/>
  <c r="X46" i="2"/>
  <c r="V46" i="2"/>
  <c r="T46" i="2"/>
  <c r="X45" i="2"/>
  <c r="V45" i="2"/>
  <c r="T45" i="2"/>
  <c r="X44" i="2"/>
  <c r="V44" i="2"/>
  <c r="T44" i="2"/>
  <c r="X43" i="2"/>
  <c r="V43" i="2"/>
  <c r="T43" i="2"/>
  <c r="X42" i="2"/>
  <c r="V42" i="2"/>
  <c r="T42" i="2"/>
  <c r="X41" i="2"/>
  <c r="V41" i="2"/>
  <c r="T41" i="2"/>
  <c r="X40" i="2"/>
  <c r="V40" i="2"/>
  <c r="T40" i="2"/>
  <c r="X39" i="2"/>
  <c r="V39" i="2"/>
  <c r="T39" i="2"/>
  <c r="X38" i="2"/>
  <c r="V38" i="2"/>
  <c r="T38" i="2"/>
  <c r="X37" i="2"/>
  <c r="V37" i="2"/>
  <c r="T37" i="2"/>
  <c r="X36" i="2"/>
  <c r="V36" i="2"/>
  <c r="T36" i="2"/>
  <c r="X35" i="2"/>
  <c r="V35" i="2"/>
  <c r="T35" i="2"/>
  <c r="X34" i="2"/>
  <c r="V34" i="2"/>
  <c r="T34" i="2"/>
  <c r="X33" i="2"/>
  <c r="V33" i="2"/>
  <c r="T33" i="2"/>
  <c r="X32" i="2"/>
  <c r="V32" i="2"/>
  <c r="T32" i="2"/>
  <c r="X31" i="2"/>
  <c r="V31" i="2"/>
  <c r="T31" i="2"/>
  <c r="X30" i="2"/>
  <c r="V30" i="2"/>
  <c r="T30" i="2"/>
  <c r="X29" i="2"/>
  <c r="V29" i="2"/>
  <c r="T29" i="2"/>
  <c r="X28" i="2"/>
  <c r="V28" i="2"/>
  <c r="T28" i="2"/>
  <c r="X27" i="2"/>
  <c r="V27" i="2"/>
  <c r="T27" i="2"/>
  <c r="X26" i="2"/>
  <c r="V26" i="2"/>
  <c r="T26" i="2"/>
  <c r="X25" i="2"/>
  <c r="V25" i="2"/>
  <c r="T25" i="2"/>
  <c r="X24" i="2"/>
  <c r="V24" i="2"/>
  <c r="T24" i="2"/>
  <c r="X23" i="2"/>
  <c r="V23" i="2"/>
  <c r="T23" i="2"/>
  <c r="X22" i="2"/>
  <c r="V22" i="2"/>
  <c r="T22" i="2"/>
  <c r="X21" i="2"/>
  <c r="V21" i="2"/>
  <c r="T21" i="2"/>
  <c r="X20" i="2"/>
  <c r="V20" i="2"/>
  <c r="T20" i="2"/>
  <c r="X19" i="2"/>
  <c r="V19" i="2"/>
  <c r="T19" i="2"/>
  <c r="X18" i="2"/>
  <c r="V18" i="2"/>
  <c r="T18" i="2"/>
  <c r="X17" i="2"/>
  <c r="V17" i="2"/>
  <c r="T17" i="2"/>
  <c r="X16" i="2"/>
  <c r="V16" i="2"/>
  <c r="T16" i="2"/>
  <c r="X15" i="2"/>
  <c r="V15" i="2"/>
  <c r="T15" i="2"/>
  <c r="X14" i="2"/>
  <c r="V14" i="2"/>
  <c r="T14" i="2"/>
  <c r="X13" i="2"/>
  <c r="V13" i="2"/>
  <c r="T13" i="2"/>
  <c r="X12" i="2"/>
  <c r="V12" i="2"/>
  <c r="T12" i="2"/>
  <c r="X11" i="2"/>
  <c r="V11" i="2"/>
  <c r="T11" i="2"/>
  <c r="X10" i="2"/>
  <c r="V10" i="2"/>
  <c r="T10" i="2"/>
  <c r="X9" i="2"/>
  <c r="V9" i="2"/>
  <c r="T9" i="2"/>
  <c r="X8" i="2"/>
  <c r="V8" i="2"/>
  <c r="T8" i="2"/>
  <c r="X7" i="2"/>
  <c r="V7" i="2"/>
  <c r="T7" i="2"/>
  <c r="X6" i="2"/>
  <c r="V6" i="2"/>
  <c r="T6" i="2"/>
  <c r="X5" i="2"/>
  <c r="V5" i="2"/>
  <c r="T5" i="2"/>
  <c r="X4" i="2"/>
  <c r="V4" i="2"/>
  <c r="T4" i="2"/>
  <c r="X3" i="2"/>
  <c r="V3" i="2"/>
  <c r="T3" i="2"/>
  <c r="X2" i="2"/>
  <c r="V2" i="2"/>
  <c r="Q1" i="2"/>
  <c r="P1" i="2"/>
  <c r="J58" i="2" l="1"/>
  <c r="D58" i="3" s="1"/>
  <c r="J34" i="2"/>
  <c r="D34" i="3" s="1"/>
  <c r="J42" i="2"/>
  <c r="D42" i="3" s="1"/>
  <c r="Y52" i="2"/>
  <c r="Y56" i="2"/>
  <c r="Y28" i="2"/>
  <c r="Y36" i="2"/>
  <c r="Y39" i="2"/>
  <c r="J45" i="2"/>
  <c r="D45" i="3" s="1"/>
  <c r="J53" i="2"/>
  <c r="D53" i="3" s="1"/>
  <c r="J61" i="2"/>
  <c r="D61" i="3" s="1"/>
  <c r="J69" i="2"/>
  <c r="D69" i="3" s="1"/>
  <c r="J30" i="2"/>
  <c r="D30" i="3" s="1"/>
  <c r="Y22" i="2"/>
  <c r="Y26" i="2"/>
  <c r="Y30" i="2"/>
  <c r="Y25" i="2"/>
  <c r="J27" i="2"/>
  <c r="D27" i="3" s="1"/>
  <c r="J47" i="2"/>
  <c r="D47" i="3" s="1"/>
  <c r="J51" i="2"/>
  <c r="D51" i="3" s="1"/>
  <c r="J52" i="2"/>
  <c r="D52" i="3" s="1"/>
  <c r="J59" i="2"/>
  <c r="D59" i="3" s="1"/>
  <c r="J60" i="2"/>
  <c r="D60" i="3" s="1"/>
  <c r="J67" i="2"/>
  <c r="D67" i="3" s="1"/>
  <c r="J68" i="2"/>
  <c r="D68" i="3" s="1"/>
  <c r="Y68" i="2"/>
  <c r="J28" i="2"/>
  <c r="D28" i="3" s="1"/>
  <c r="J63" i="2"/>
  <c r="D63" i="3" s="1"/>
  <c r="Y34" i="2"/>
  <c r="Y42" i="2"/>
  <c r="Y46" i="2"/>
  <c r="Y59" i="2"/>
  <c r="J25" i="2"/>
  <c r="D25" i="3" s="1"/>
  <c r="J43" i="2"/>
  <c r="D43" i="3" s="1"/>
  <c r="J44" i="2"/>
  <c r="D44" i="3" s="1"/>
  <c r="Y50" i="2"/>
  <c r="Y58" i="2"/>
  <c r="Y62" i="2"/>
  <c r="Y66" i="2"/>
  <c r="Y32" i="2"/>
  <c r="Y37" i="2"/>
  <c r="Y43" i="2"/>
  <c r="Y53" i="2"/>
  <c r="J22" i="2"/>
  <c r="D22" i="3" s="1"/>
  <c r="Y24" i="2"/>
  <c r="J26" i="2"/>
  <c r="D26" i="3" s="1"/>
  <c r="J33" i="2"/>
  <c r="D33" i="3" s="1"/>
  <c r="J39" i="2"/>
  <c r="D39" i="3" s="1"/>
  <c r="Y40" i="2"/>
  <c r="J50" i="2"/>
  <c r="D50" i="3" s="1"/>
  <c r="J54" i="2"/>
  <c r="D54" i="3" s="1"/>
  <c r="J55" i="2"/>
  <c r="D55" i="3" s="1"/>
  <c r="J66" i="2"/>
  <c r="D66" i="3" s="1"/>
  <c r="J2" i="2"/>
  <c r="D2" i="3" s="1"/>
  <c r="Y23" i="2"/>
  <c r="Y27" i="2"/>
  <c r="Y55" i="2"/>
  <c r="Y21" i="2"/>
  <c r="J35" i="2"/>
  <c r="D35" i="3" s="1"/>
  <c r="J36" i="2"/>
  <c r="D36" i="3" s="1"/>
  <c r="Y38" i="2"/>
  <c r="J46" i="2"/>
  <c r="D46" i="3" s="1"/>
  <c r="Y49" i="2"/>
  <c r="Y54" i="2"/>
  <c r="J62" i="2"/>
  <c r="D62" i="3" s="1"/>
  <c r="Y65" i="2"/>
  <c r="Y61" i="2"/>
  <c r="Y64" i="2"/>
  <c r="Y67" i="2"/>
  <c r="Y10" i="2"/>
  <c r="Y12" i="2"/>
  <c r="Y16" i="2"/>
  <c r="Y20" i="2"/>
  <c r="Y33" i="2"/>
  <c r="Y35" i="2"/>
  <c r="Y45" i="2"/>
  <c r="Y48" i="2"/>
  <c r="Y51" i="2"/>
  <c r="J9" i="2"/>
  <c r="D9" i="3" s="1"/>
  <c r="Y19" i="2"/>
  <c r="J21" i="2"/>
  <c r="D21" i="3" s="1"/>
  <c r="J23" i="2"/>
  <c r="D23" i="3" s="1"/>
  <c r="J24" i="2"/>
  <c r="D24" i="3" s="1"/>
  <c r="Y29" i="2"/>
  <c r="Y31" i="2"/>
  <c r="J37" i="2"/>
  <c r="D37" i="3" s="1"/>
  <c r="J38" i="2"/>
  <c r="D38" i="3" s="1"/>
  <c r="J40" i="2"/>
  <c r="D40" i="3" s="1"/>
  <c r="Y41" i="2"/>
  <c r="Y44" i="2"/>
  <c r="Y47" i="2"/>
  <c r="J49" i="2"/>
  <c r="D49" i="3" s="1"/>
  <c r="J56" i="2"/>
  <c r="D56" i="3" s="1"/>
  <c r="Y57" i="2"/>
  <c r="Y60" i="2"/>
  <c r="Y63" i="2"/>
  <c r="J65" i="2"/>
  <c r="D65" i="3" s="1"/>
  <c r="Y69" i="2"/>
  <c r="J4" i="2"/>
  <c r="D4" i="3" s="1"/>
  <c r="J12" i="2"/>
  <c r="D12" i="3" s="1"/>
  <c r="J20" i="2"/>
  <c r="D20" i="3" s="1"/>
  <c r="J29" i="2"/>
  <c r="D29" i="3" s="1"/>
  <c r="J31" i="2"/>
  <c r="D31" i="3" s="1"/>
  <c r="J32" i="2"/>
  <c r="D32" i="3" s="1"/>
  <c r="J41" i="2"/>
  <c r="D41" i="3" s="1"/>
  <c r="J48" i="2"/>
  <c r="D48" i="3" s="1"/>
  <c r="J57" i="2"/>
  <c r="D57" i="3" s="1"/>
  <c r="J64" i="2"/>
  <c r="D64" i="3" s="1"/>
  <c r="Y6" i="2"/>
  <c r="J6" i="2"/>
  <c r="D6" i="3" s="1"/>
  <c r="Y4" i="2"/>
  <c r="Y8" i="2"/>
  <c r="Y14" i="2"/>
  <c r="Y18" i="2"/>
  <c r="Y3" i="2"/>
  <c r="J5" i="2"/>
  <c r="D5" i="3" s="1"/>
  <c r="J7" i="2"/>
  <c r="D7" i="3" s="1"/>
  <c r="J11" i="2"/>
  <c r="D11" i="3" s="1"/>
  <c r="J16" i="2"/>
  <c r="D16" i="3" s="1"/>
  <c r="Y17" i="2"/>
  <c r="J14" i="2"/>
  <c r="D14" i="3" s="1"/>
  <c r="J18" i="2"/>
  <c r="D18" i="3" s="1"/>
  <c r="J8" i="2"/>
  <c r="D8" i="3" s="1"/>
  <c r="Y13" i="2"/>
  <c r="Y15" i="2"/>
  <c r="J3" i="2"/>
  <c r="D3" i="3" s="1"/>
  <c r="Y9" i="2"/>
  <c r="Y11" i="2"/>
  <c r="J17" i="2"/>
  <c r="D17" i="3" s="1"/>
  <c r="J19" i="2"/>
  <c r="D19" i="3" s="1"/>
  <c r="Y5" i="2"/>
  <c r="Y7" i="2"/>
  <c r="J10" i="2"/>
  <c r="D10" i="3" s="1"/>
  <c r="J13" i="2"/>
  <c r="D13" i="3" s="1"/>
  <c r="J15" i="2"/>
  <c r="D15" i="3" s="1"/>
  <c r="Y2" i="2"/>
</calcChain>
</file>

<file path=xl/sharedStrings.xml><?xml version="1.0" encoding="utf-8"?>
<sst xmlns="http://schemas.openxmlformats.org/spreadsheetml/2006/main" count="233" uniqueCount="36">
  <si>
    <t>Forwarder/Consolidator:</t>
  </si>
  <si>
    <t>Terms of sale:</t>
  </si>
  <si>
    <t>Aldila part</t>
  </si>
  <si>
    <t>Descriptions of goods</t>
  </si>
  <si>
    <t>PCS</t>
  </si>
  <si>
    <t>BOXES</t>
  </si>
  <si>
    <t>Unit</t>
  </si>
  <si>
    <t>Extension</t>
  </si>
  <si>
    <t>SL</t>
  </si>
  <si>
    <t xml:space="preserve">Thân gậy đánh gôn làm từ tấm Prepreg tổng hợp kích thước </t>
  </si>
  <si>
    <t>/</t>
  </si>
  <si>
    <t>/ hiệu</t>
  </si>
  <si>
    <t>, hàng mới 100%</t>
  </si>
  <si>
    <t>mm</t>
  </si>
  <si>
    <t>Mã hàng (A)</t>
  </si>
  <si>
    <t>Tên hàng (D)</t>
  </si>
  <si>
    <t>Số lượng 1</t>
  </si>
  <si>
    <t xml:space="preserve">Đơn giá </t>
  </si>
  <si>
    <t>Xuất xứ</t>
  </si>
  <si>
    <t>VIETNAM</t>
  </si>
  <si>
    <t>Số lượng</t>
  </si>
  <si>
    <t>Loại</t>
  </si>
  <si>
    <t>KGS</t>
  </si>
  <si>
    <t>Số lượng kiện</t>
  </si>
  <si>
    <t>Đơn vị tính kiện hàng</t>
  </si>
  <si>
    <t>Tổng trọng lượng hàng (Gross)</t>
  </si>
  <si>
    <t>Số Invoice</t>
  </si>
  <si>
    <t>Ngày Invoice</t>
  </si>
  <si>
    <t xml:space="preserve">Tổng trị giá Gia công </t>
  </si>
  <si>
    <t>Tổng trị giá Nguyên vật liệu</t>
  </si>
  <si>
    <t>Tổng trị giá Hóa đơn</t>
  </si>
  <si>
    <t>Mode of Delivery:</t>
  </si>
  <si>
    <t>Ship via:</t>
  </si>
  <si>
    <t>Container Stuffing Location:</t>
  </si>
  <si>
    <t>Currency:</t>
  </si>
  <si>
    <t>Ship to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</si>
</sst>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43" fontId="1" fillId="0" borderId="0"/>
  </cellStyleXfs>
  <cellXfs count="25">
    <xf numFmtId="0" fontId="0" fillId="0" borderId="0" xfId="0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3" fontId="0" fillId="4" borderId="6" xfId="0" applyNumberFormat="1" applyFill="1" applyBorder="1" applyAlignment="1">
      <alignment horizontal="center" vertical="center" wrapText="1"/>
    </xf>
    <xf numFmtId="4" fontId="0" fillId="4" borderId="6" xfId="0" applyNumberForma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4" fontId="0" fillId="4" borderId="8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5" borderId="0" xfId="0" applyFill="1"/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4">
    <cellStyle name="Comma" xfId="1" builtinId="3"/>
    <cellStyle name="Comma 2" xfId="3" xr:uid="{65F3ADE0-923B-4FE7-B10A-968BC0DBD84E}"/>
    <cellStyle name="Normal" xfId="0" builtinId="0"/>
    <cellStyle name="Normal 2" xfId="2" xr:uid="{D2791445-7EC6-4CE7-95D9-883771C58C9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6.50\bee%20logistics\NHA%20MAY%20TEAM\2025\ALDILA\XUAT\KHAI%20QUAN\K&#205;CH%20TH&#431;&#7898;C%20H&#192;NG%20XU&#7844;T%20(TR&#7914;%20SAMPLE)_Updated%2026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F-ENG"/>
      <sheetName val="GOLF"/>
      <sheetName val="APPLE"/>
      <sheetName val="PIPE"/>
    </sheetNames>
    <sheetDataSet>
      <sheetData sheetId="0" refreshError="1"/>
      <sheetData sheetId="1">
        <row r="2">
          <cell r="C2" t="str">
            <v>Mã Hàng</v>
          </cell>
          <cell r="D2" t="str">
            <v>Mã Part ENG</v>
          </cell>
          <cell r="E2" t="str">
            <v>Kích thước</v>
          </cell>
          <cell r="G2" t="str">
            <v>Hiệu</v>
          </cell>
        </row>
        <row r="3">
          <cell r="C3" t="str">
            <v>SF245-WX-1K</v>
          </cell>
          <cell r="D3" t="str">
            <v>SF245-WX-1</v>
          </cell>
          <cell r="E3">
            <v>1143</v>
          </cell>
          <cell r="F3" t="str">
            <v>mm</v>
          </cell>
          <cell r="G3" t="str">
            <v>Mitsubishi Chemical</v>
          </cell>
        </row>
        <row r="4">
          <cell r="C4" t="str">
            <v>SF301-WS-1B</v>
          </cell>
          <cell r="D4" t="str">
            <v>SF301-WS-1</v>
          </cell>
          <cell r="E4" t="str">
            <v>1143</v>
          </cell>
          <cell r="F4" t="str">
            <v>mm</v>
          </cell>
          <cell r="G4" t="str">
            <v>Mitsubishi Chemical</v>
          </cell>
        </row>
        <row r="5">
          <cell r="C5" t="str">
            <v>MZ049-IR-7A</v>
          </cell>
          <cell r="D5" t="str">
            <v>MZ049-IR-7</v>
          </cell>
          <cell r="E5">
            <v>965</v>
          </cell>
          <cell r="F5" t="str">
            <v>mm</v>
          </cell>
          <cell r="G5" t="str">
            <v>Mitsubishi Chemical</v>
          </cell>
        </row>
        <row r="6">
          <cell r="C6" t="str">
            <v>MZ049-IR-8A</v>
          </cell>
          <cell r="D6" t="str">
            <v>MZ049-IR-8</v>
          </cell>
          <cell r="E6">
            <v>953</v>
          </cell>
          <cell r="F6" t="str">
            <v>mm</v>
          </cell>
          <cell r="G6" t="str">
            <v>Mitsubishi Chemical</v>
          </cell>
        </row>
        <row r="7">
          <cell r="C7" t="str">
            <v>MZ049-IR-9A</v>
          </cell>
          <cell r="D7" t="str">
            <v>MZ049-IR-9</v>
          </cell>
          <cell r="E7">
            <v>940</v>
          </cell>
          <cell r="F7" t="str">
            <v>mm</v>
          </cell>
          <cell r="G7" t="str">
            <v>Mitsubishi Chemical</v>
          </cell>
        </row>
        <row r="8">
          <cell r="C8" t="str">
            <v>MZ049-IR-PA</v>
          </cell>
          <cell r="D8" t="str">
            <v>MZ049-IR-P</v>
          </cell>
          <cell r="E8">
            <v>927</v>
          </cell>
          <cell r="F8" t="str">
            <v>mm</v>
          </cell>
          <cell r="G8" t="str">
            <v>Mitsubishi Chemical</v>
          </cell>
        </row>
        <row r="9">
          <cell r="C9" t="str">
            <v>AU207-WTX1A</v>
          </cell>
          <cell r="D9" t="str">
            <v>AU207-WTX1</v>
          </cell>
          <cell r="E9">
            <v>1168</v>
          </cell>
          <cell r="F9" t="str">
            <v>mm</v>
          </cell>
          <cell r="G9" t="str">
            <v>Mitsubishi Chemical</v>
          </cell>
        </row>
        <row r="10">
          <cell r="C10" t="str">
            <v>AU207-WX-1A</v>
          </cell>
          <cell r="D10" t="str">
            <v>AU207-WX-1</v>
          </cell>
          <cell r="E10">
            <v>1168</v>
          </cell>
          <cell r="F10" t="str">
            <v>mm</v>
          </cell>
          <cell r="G10" t="str">
            <v>Mitsubishi Chemical</v>
          </cell>
        </row>
        <row r="11">
          <cell r="C11" t="str">
            <v>AU211-WA-1A</v>
          </cell>
          <cell r="D11" t="str">
            <v>AU211-WA-1</v>
          </cell>
          <cell r="E11">
            <v>1168</v>
          </cell>
          <cell r="F11" t="str">
            <v>mm</v>
          </cell>
          <cell r="G11" t="str">
            <v>Mitsubishi Chemical</v>
          </cell>
        </row>
        <row r="12">
          <cell r="C12" t="str">
            <v>AU211-WL-1A</v>
          </cell>
          <cell r="D12" t="str">
            <v>AU211-WL-1</v>
          </cell>
          <cell r="E12">
            <v>1168</v>
          </cell>
          <cell r="F12" t="str">
            <v>mm</v>
          </cell>
          <cell r="G12" t="str">
            <v>Mitsubishi Chemical</v>
          </cell>
        </row>
        <row r="13">
          <cell r="C13" t="str">
            <v>AU211-WR-1A</v>
          </cell>
          <cell r="D13" t="str">
            <v>AU211-WR-1</v>
          </cell>
          <cell r="E13">
            <v>1168</v>
          </cell>
          <cell r="F13" t="str">
            <v>mm</v>
          </cell>
          <cell r="G13" t="str">
            <v>Mitsubishi Chemical</v>
          </cell>
        </row>
        <row r="14">
          <cell r="C14" t="str">
            <v>AU211-WS-1A</v>
          </cell>
          <cell r="D14" t="str">
            <v>AU211-WS-1</v>
          </cell>
          <cell r="E14">
            <v>1168</v>
          </cell>
          <cell r="F14" t="str">
            <v>mm</v>
          </cell>
          <cell r="G14" t="str">
            <v>Mitsubishi Chemical</v>
          </cell>
        </row>
        <row r="15">
          <cell r="C15" t="str">
            <v>AU213-IL-2A</v>
          </cell>
          <cell r="D15" t="str">
            <v>AU213-IL-2</v>
          </cell>
          <cell r="E15">
            <v>1092</v>
          </cell>
          <cell r="F15" t="str">
            <v>mm</v>
          </cell>
          <cell r="G15" t="str">
            <v>Mitsubishi Chemical</v>
          </cell>
        </row>
        <row r="16">
          <cell r="C16" t="str">
            <v>AU213-IS-2A</v>
          </cell>
          <cell r="D16" t="str">
            <v>AU213-IS-2</v>
          </cell>
          <cell r="E16">
            <v>1092</v>
          </cell>
          <cell r="F16" t="str">
            <v>mm</v>
          </cell>
          <cell r="G16" t="str">
            <v>Mitsubishi Chemical</v>
          </cell>
        </row>
        <row r="17">
          <cell r="C17" t="str">
            <v>AU216-IS-2A</v>
          </cell>
          <cell r="D17" t="str">
            <v>AU216-IS-2</v>
          </cell>
          <cell r="E17">
            <v>1067</v>
          </cell>
          <cell r="F17" t="str">
            <v>mm</v>
          </cell>
          <cell r="G17" t="str">
            <v>Mitsubishi Chemical</v>
          </cell>
        </row>
        <row r="18">
          <cell r="C18" t="str">
            <v>AU216-IX-2A</v>
          </cell>
          <cell r="D18" t="str">
            <v>AU216-IX-2</v>
          </cell>
          <cell r="E18">
            <v>1067</v>
          </cell>
          <cell r="F18" t="str">
            <v>mm</v>
          </cell>
          <cell r="G18" t="str">
            <v>Mitsubishi Chemical</v>
          </cell>
        </row>
        <row r="19">
          <cell r="C19" t="str">
            <v>AU217-IX-2A</v>
          </cell>
          <cell r="D19" t="str">
            <v>AU217-IX-2</v>
          </cell>
          <cell r="E19">
            <v>1067</v>
          </cell>
          <cell r="F19" t="str">
            <v>mm</v>
          </cell>
          <cell r="G19" t="str">
            <v>Mitsubishi Chemical</v>
          </cell>
        </row>
        <row r="20">
          <cell r="C20" t="str">
            <v>AU224-WR-1A</v>
          </cell>
          <cell r="D20" t="str">
            <v>AU224-WR-1</v>
          </cell>
          <cell r="E20">
            <v>1168</v>
          </cell>
          <cell r="F20" t="str">
            <v>mm</v>
          </cell>
          <cell r="G20" t="str">
            <v>Mitsubishi Chemical</v>
          </cell>
        </row>
        <row r="21">
          <cell r="C21" t="str">
            <v>AU224-WRA1A</v>
          </cell>
          <cell r="D21" t="str">
            <v>AU224-WRA1</v>
          </cell>
          <cell r="E21">
            <v>1168</v>
          </cell>
          <cell r="F21" t="str">
            <v>mm</v>
          </cell>
          <cell r="G21" t="str">
            <v>Mitsubishi Chemical</v>
          </cell>
        </row>
        <row r="22">
          <cell r="C22" t="str">
            <v>AU224-WS-1A</v>
          </cell>
          <cell r="D22" t="str">
            <v>AU224-WS-1</v>
          </cell>
          <cell r="E22">
            <v>1168</v>
          </cell>
          <cell r="F22" t="str">
            <v>mm</v>
          </cell>
          <cell r="G22" t="str">
            <v>Mitsubishi Chemical</v>
          </cell>
        </row>
        <row r="23">
          <cell r="C23" t="str">
            <v>AU224-WX-1A</v>
          </cell>
          <cell r="D23" t="str">
            <v>AU224-WX-1</v>
          </cell>
          <cell r="E23">
            <v>1168</v>
          </cell>
          <cell r="F23" t="str">
            <v>mm</v>
          </cell>
          <cell r="G23" t="str">
            <v>Mitsubishi Chemical</v>
          </cell>
        </row>
        <row r="24">
          <cell r="C24" t="str">
            <v>AU225-IR-2A</v>
          </cell>
          <cell r="D24" t="str">
            <v>AU225-IR-2</v>
          </cell>
          <cell r="E24">
            <v>1067</v>
          </cell>
          <cell r="F24" t="str">
            <v>mm</v>
          </cell>
          <cell r="G24" t="str">
            <v>Mitsubishi Chemical</v>
          </cell>
        </row>
        <row r="25">
          <cell r="C25" t="str">
            <v>AU225-IS-2A</v>
          </cell>
          <cell r="D25" t="str">
            <v>AU225-IS-2</v>
          </cell>
          <cell r="E25">
            <v>1067</v>
          </cell>
          <cell r="F25" t="str">
            <v>mm</v>
          </cell>
          <cell r="G25" t="str">
            <v>Mitsubishi Chemical</v>
          </cell>
        </row>
        <row r="26">
          <cell r="C26" t="str">
            <v>AU225-WR-1A</v>
          </cell>
          <cell r="D26" t="str">
            <v>AU225-WR-1</v>
          </cell>
          <cell r="E26">
            <v>1168</v>
          </cell>
          <cell r="F26" t="str">
            <v>mm</v>
          </cell>
          <cell r="G26" t="str">
            <v>Mitsubishi Chemical</v>
          </cell>
        </row>
        <row r="27">
          <cell r="C27" t="str">
            <v>AU225-WS-1A</v>
          </cell>
          <cell r="D27" t="str">
            <v>AU225-WS-1</v>
          </cell>
          <cell r="E27">
            <v>1168</v>
          </cell>
          <cell r="F27" t="str">
            <v>mm</v>
          </cell>
          <cell r="G27" t="str">
            <v>Mitsubishi Chemical</v>
          </cell>
        </row>
        <row r="28">
          <cell r="C28" t="str">
            <v>AU225-WX-1A</v>
          </cell>
          <cell r="D28" t="str">
            <v>AU225-WX-1</v>
          </cell>
          <cell r="E28">
            <v>1168</v>
          </cell>
          <cell r="F28" t="str">
            <v>mm</v>
          </cell>
          <cell r="G28" t="str">
            <v>Mitsubishi Chemical</v>
          </cell>
        </row>
        <row r="29">
          <cell r="C29" t="str">
            <v>AU226-IS-2A</v>
          </cell>
          <cell r="D29" t="str">
            <v>AU226-IS-2</v>
          </cell>
          <cell r="E29">
            <v>1067</v>
          </cell>
          <cell r="F29" t="str">
            <v>mm</v>
          </cell>
          <cell r="G29" t="str">
            <v>Mitsubishi Chemical</v>
          </cell>
        </row>
        <row r="30">
          <cell r="C30" t="str">
            <v>AU226-WS-1A</v>
          </cell>
          <cell r="D30" t="str">
            <v>AU226-WS-1</v>
          </cell>
          <cell r="E30">
            <v>1168</v>
          </cell>
          <cell r="F30" t="str">
            <v>mm</v>
          </cell>
          <cell r="G30" t="str">
            <v>Mitsubishi Chemical</v>
          </cell>
        </row>
        <row r="31">
          <cell r="C31" t="str">
            <v>AU226-WX-1A</v>
          </cell>
          <cell r="D31" t="str">
            <v>AU226-WX-1</v>
          </cell>
          <cell r="E31">
            <v>1168</v>
          </cell>
          <cell r="F31" t="str">
            <v>mm</v>
          </cell>
          <cell r="G31" t="str">
            <v>Mitsubishi Chemical</v>
          </cell>
        </row>
        <row r="32">
          <cell r="C32" t="str">
            <v>AU228-IA-4A</v>
          </cell>
          <cell r="D32" t="str">
            <v>AU228-IA-4</v>
          </cell>
          <cell r="E32">
            <v>1003</v>
          </cell>
          <cell r="F32" t="str">
            <v>mm</v>
          </cell>
          <cell r="G32" t="str">
            <v>Mitsubishi Chemical</v>
          </cell>
        </row>
        <row r="33">
          <cell r="C33" t="str">
            <v>AU228-IA-5A</v>
          </cell>
          <cell r="D33" t="str">
            <v>AU228-IA-5</v>
          </cell>
          <cell r="E33">
            <v>991</v>
          </cell>
          <cell r="F33" t="str">
            <v>mm</v>
          </cell>
          <cell r="G33" t="str">
            <v>Mitsubishi Chemical</v>
          </cell>
        </row>
        <row r="34">
          <cell r="C34" t="str">
            <v>AU228-IA-6A</v>
          </cell>
          <cell r="D34" t="str">
            <v>AU228-IA-6</v>
          </cell>
          <cell r="E34">
            <v>978</v>
          </cell>
          <cell r="F34" t="str">
            <v>mm</v>
          </cell>
          <cell r="G34" t="str">
            <v>Mitsubishi Chemical</v>
          </cell>
        </row>
        <row r="35">
          <cell r="C35" t="str">
            <v>AU228-IA-7A</v>
          </cell>
          <cell r="D35" t="str">
            <v>AU228-IA-7</v>
          </cell>
          <cell r="E35">
            <v>965</v>
          </cell>
          <cell r="F35" t="str">
            <v>mm</v>
          </cell>
          <cell r="G35" t="str">
            <v>Mitsubishi Chemical</v>
          </cell>
        </row>
        <row r="36">
          <cell r="C36" t="str">
            <v>AU228-IA-8A</v>
          </cell>
          <cell r="D36" t="str">
            <v>AU228-IA-8</v>
          </cell>
          <cell r="E36">
            <v>953</v>
          </cell>
          <cell r="F36" t="str">
            <v>mm</v>
          </cell>
          <cell r="G36" t="str">
            <v>Mitsubishi Chemical</v>
          </cell>
        </row>
        <row r="37">
          <cell r="C37" t="str">
            <v>AU228-IA-9A</v>
          </cell>
          <cell r="D37" t="str">
            <v>AU228-IA-9</v>
          </cell>
          <cell r="E37">
            <v>940</v>
          </cell>
          <cell r="F37" t="str">
            <v>mm</v>
          </cell>
          <cell r="G37" t="str">
            <v>Mitsubishi Chemical</v>
          </cell>
        </row>
        <row r="38">
          <cell r="C38" t="str">
            <v>AU228-IA-PA</v>
          </cell>
          <cell r="D38" t="str">
            <v>AU228-IA-P</v>
          </cell>
          <cell r="E38">
            <v>927</v>
          </cell>
          <cell r="F38" t="str">
            <v>mm</v>
          </cell>
          <cell r="G38" t="str">
            <v>Mitsubishi Chemical</v>
          </cell>
        </row>
        <row r="39">
          <cell r="C39" t="str">
            <v>AU228-IS-4A</v>
          </cell>
          <cell r="D39" t="str">
            <v>AU228-IS-4</v>
          </cell>
          <cell r="E39">
            <v>1003</v>
          </cell>
          <cell r="F39" t="str">
            <v>mm</v>
          </cell>
          <cell r="G39" t="str">
            <v>Mitsubishi Chemical</v>
          </cell>
        </row>
        <row r="40">
          <cell r="C40" t="str">
            <v>AU228-IS-5A</v>
          </cell>
          <cell r="D40" t="str">
            <v>AU228-IS-5</v>
          </cell>
          <cell r="E40">
            <v>991</v>
          </cell>
          <cell r="F40" t="str">
            <v>mm</v>
          </cell>
          <cell r="G40" t="str">
            <v>Mitsubishi Chemical</v>
          </cell>
        </row>
        <row r="41">
          <cell r="C41" t="str">
            <v>AU228-IS-6A</v>
          </cell>
          <cell r="D41" t="str">
            <v>AU228-IS-6</v>
          </cell>
          <cell r="E41">
            <v>978</v>
          </cell>
          <cell r="F41" t="str">
            <v>mm</v>
          </cell>
          <cell r="G41" t="str">
            <v>Mitsubishi Chemical</v>
          </cell>
        </row>
        <row r="42">
          <cell r="C42" t="str">
            <v>AU228-IS-7A</v>
          </cell>
          <cell r="D42" t="str">
            <v>AU228-IS-7</v>
          </cell>
          <cell r="E42">
            <v>965</v>
          </cell>
          <cell r="F42" t="str">
            <v>mm</v>
          </cell>
          <cell r="G42" t="str">
            <v>Mitsubishi Chemical</v>
          </cell>
        </row>
        <row r="43">
          <cell r="C43" t="str">
            <v>AU228-IS-9A</v>
          </cell>
          <cell r="D43" t="str">
            <v>AU228-IS-9</v>
          </cell>
          <cell r="E43">
            <v>940</v>
          </cell>
          <cell r="F43" t="str">
            <v>mm</v>
          </cell>
          <cell r="G43" t="str">
            <v>Mitsubishi Chemical</v>
          </cell>
        </row>
        <row r="44">
          <cell r="C44" t="str">
            <v>AU229-IS-2A</v>
          </cell>
          <cell r="D44" t="str">
            <v>AU229-IS-2</v>
          </cell>
          <cell r="E44">
            <v>1067</v>
          </cell>
          <cell r="F44" t="str">
            <v>mm</v>
          </cell>
          <cell r="G44" t="str">
            <v>Mitsubishi Chemical</v>
          </cell>
        </row>
        <row r="45">
          <cell r="C45" t="str">
            <v>AU229-IX-2A</v>
          </cell>
          <cell r="D45" t="str">
            <v>AU229-IX-2</v>
          </cell>
          <cell r="E45">
            <v>1067</v>
          </cell>
          <cell r="F45" t="str">
            <v>mm</v>
          </cell>
          <cell r="G45" t="str">
            <v>Mitsubishi Chemical</v>
          </cell>
        </row>
        <row r="46">
          <cell r="C46" t="str">
            <v>AU230-IL-4A</v>
          </cell>
          <cell r="D46" t="str">
            <v>AU230-IL-4</v>
          </cell>
          <cell r="E46">
            <v>1003</v>
          </cell>
          <cell r="F46" t="str">
            <v>mm</v>
          </cell>
          <cell r="G46" t="str">
            <v>Mitsubishi Chemical</v>
          </cell>
        </row>
        <row r="47">
          <cell r="C47" t="str">
            <v>AU230-IL-5A</v>
          </cell>
          <cell r="D47" t="str">
            <v>AU230-IL-5</v>
          </cell>
          <cell r="E47">
            <v>991</v>
          </cell>
          <cell r="F47" t="str">
            <v>mm</v>
          </cell>
          <cell r="G47" t="str">
            <v>Mitsubishi Chemical</v>
          </cell>
        </row>
        <row r="48">
          <cell r="C48" t="str">
            <v>AU230-IL-6A</v>
          </cell>
          <cell r="D48" t="str">
            <v>AU230-IL-6</v>
          </cell>
          <cell r="E48">
            <v>978</v>
          </cell>
          <cell r="F48" t="str">
            <v>mm</v>
          </cell>
          <cell r="G48" t="str">
            <v>Mitsubishi Chemical</v>
          </cell>
        </row>
        <row r="49">
          <cell r="C49" t="str">
            <v>AU230-IL-7A</v>
          </cell>
          <cell r="D49" t="str">
            <v>AU230-IL-7</v>
          </cell>
          <cell r="E49">
            <v>965</v>
          </cell>
          <cell r="F49" t="str">
            <v>mm</v>
          </cell>
          <cell r="G49" t="str">
            <v>Mitsubishi Chemical</v>
          </cell>
        </row>
        <row r="50">
          <cell r="C50" t="str">
            <v>AU230-IL-9A</v>
          </cell>
          <cell r="D50" t="str">
            <v>AU230-IL-9</v>
          </cell>
          <cell r="E50">
            <v>940</v>
          </cell>
          <cell r="F50" t="str">
            <v>mm</v>
          </cell>
          <cell r="G50" t="str">
            <v>Mitsubishi Chemical</v>
          </cell>
        </row>
        <row r="51">
          <cell r="C51" t="str">
            <v>AU230-IL-PA</v>
          </cell>
          <cell r="D51" t="str">
            <v>AU230-IL-P</v>
          </cell>
          <cell r="E51">
            <v>927</v>
          </cell>
          <cell r="F51" t="str">
            <v>mm</v>
          </cell>
          <cell r="G51" t="str">
            <v>Mitsubishi Chemical</v>
          </cell>
        </row>
        <row r="52">
          <cell r="C52" t="str">
            <v>AU231-ILL8A</v>
          </cell>
          <cell r="D52" t="str">
            <v>AU231-ILL8</v>
          </cell>
          <cell r="E52">
            <v>927</v>
          </cell>
          <cell r="F52" t="str">
            <v>mm</v>
          </cell>
          <cell r="G52" t="str">
            <v>Mitsubishi Chemical</v>
          </cell>
        </row>
        <row r="53">
          <cell r="C53" t="str">
            <v>AU231-ILL9A</v>
          </cell>
          <cell r="D53" t="str">
            <v>AU231-ILL9</v>
          </cell>
          <cell r="E53">
            <v>914</v>
          </cell>
          <cell r="F53" t="str">
            <v>mm</v>
          </cell>
          <cell r="G53" t="str">
            <v>Mitsubishi Chemical</v>
          </cell>
        </row>
        <row r="54">
          <cell r="C54" t="str">
            <v>AU230-IL-8A</v>
          </cell>
          <cell r="D54" t="str">
            <v>AU230-IL-8</v>
          </cell>
          <cell r="E54">
            <v>953</v>
          </cell>
          <cell r="F54" t="str">
            <v>mm</v>
          </cell>
          <cell r="G54" t="str">
            <v>Mitsubishi Chemical</v>
          </cell>
        </row>
        <row r="55">
          <cell r="C55" t="str">
            <v>AU228-IS-PA</v>
          </cell>
          <cell r="D55" t="str">
            <v>AU228-IS-P</v>
          </cell>
          <cell r="E55">
            <v>927</v>
          </cell>
          <cell r="F55" t="str">
            <v>mm</v>
          </cell>
          <cell r="G55" t="str">
            <v>Mitsubishi Chemical</v>
          </cell>
        </row>
        <row r="56">
          <cell r="C56" t="str">
            <v>AU228-IS-8A</v>
          </cell>
          <cell r="D56" t="str">
            <v>AU228-IS-8</v>
          </cell>
          <cell r="E56">
            <v>953</v>
          </cell>
          <cell r="F56" t="str">
            <v>mm</v>
          </cell>
          <cell r="G56" t="str">
            <v>Mitsubishi Chemical</v>
          </cell>
        </row>
        <row r="57">
          <cell r="C57" t="str">
            <v>AU213-IR-2A</v>
          </cell>
          <cell r="D57" t="str">
            <v>AU213-IR-2</v>
          </cell>
          <cell r="E57">
            <v>1092</v>
          </cell>
          <cell r="F57" t="str">
            <v>mm</v>
          </cell>
          <cell r="G57" t="str">
            <v>Mitsubishi Chemical</v>
          </cell>
        </row>
        <row r="58">
          <cell r="C58" t="str">
            <v>AU213-IA-2A</v>
          </cell>
          <cell r="D58" t="str">
            <v>AU213-IA-2</v>
          </cell>
          <cell r="E58">
            <v>1092</v>
          </cell>
          <cell r="F58" t="str">
            <v>mm</v>
          </cell>
          <cell r="G58" t="str">
            <v>Mitsubishi Chemical</v>
          </cell>
        </row>
        <row r="59">
          <cell r="C59" t="str">
            <v>CW159-WW-1BY</v>
          </cell>
          <cell r="D59" t="str">
            <v>CW159-WW-1</v>
          </cell>
          <cell r="E59">
            <v>1144</v>
          </cell>
          <cell r="F59" t="str">
            <v>mm</v>
          </cell>
          <cell r="G59" t="str">
            <v>Mitsubishi Chemical</v>
          </cell>
        </row>
        <row r="60">
          <cell r="C60" t="str">
            <v>CW166-IA-1A</v>
          </cell>
          <cell r="D60" t="str">
            <v>CW166-IA-1</v>
          </cell>
          <cell r="E60">
            <v>1067</v>
          </cell>
          <cell r="F60" t="str">
            <v>mm</v>
          </cell>
          <cell r="G60" t="str">
            <v>Mitsubishi Chemical</v>
          </cell>
        </row>
        <row r="61">
          <cell r="C61" t="str">
            <v>CW159-IA-1A</v>
          </cell>
          <cell r="D61" t="str">
            <v>CW159-IA-1</v>
          </cell>
          <cell r="E61">
            <v>1041</v>
          </cell>
          <cell r="F61" t="str">
            <v>mm</v>
          </cell>
          <cell r="G61" t="str">
            <v>Mitsubishi Chemical</v>
          </cell>
        </row>
        <row r="62">
          <cell r="C62" t="str">
            <v>CW159-WA-1A</v>
          </cell>
          <cell r="D62" t="str">
            <v>CW159-WA-1</v>
          </cell>
          <cell r="E62">
            <v>1144</v>
          </cell>
          <cell r="F62" t="str">
            <v>mm</v>
          </cell>
          <cell r="G62" t="str">
            <v>Mitsubishi Chemical</v>
          </cell>
        </row>
        <row r="63">
          <cell r="C63" t="str">
            <v>CW159-WR-1A</v>
          </cell>
          <cell r="D63" t="str">
            <v>CW159-WR-1</v>
          </cell>
          <cell r="E63">
            <v>1144</v>
          </cell>
          <cell r="F63" t="str">
            <v>mm</v>
          </cell>
          <cell r="G63" t="str">
            <v>Mitsubishi Chemical</v>
          </cell>
        </row>
        <row r="64">
          <cell r="C64" t="str">
            <v>CW162-WX-1A</v>
          </cell>
          <cell r="D64" t="str">
            <v>CW162-WX-1</v>
          </cell>
          <cell r="E64">
            <v>1169</v>
          </cell>
          <cell r="F64" t="str">
            <v>mm</v>
          </cell>
          <cell r="G64" t="str">
            <v>Mitsubishi Chemical</v>
          </cell>
        </row>
        <row r="65">
          <cell r="C65" t="str">
            <v>CW168-WX-1A</v>
          </cell>
          <cell r="D65" t="str">
            <v>CW168-WX-1</v>
          </cell>
          <cell r="E65">
            <v>1169</v>
          </cell>
          <cell r="F65" t="str">
            <v>mm</v>
          </cell>
          <cell r="G65" t="str">
            <v>Mitsubishi Chemical</v>
          </cell>
        </row>
        <row r="66">
          <cell r="C66" t="str">
            <v>CW169-WS-1A</v>
          </cell>
          <cell r="D66" t="str">
            <v>CW169-WS-1</v>
          </cell>
          <cell r="E66">
            <v>1169</v>
          </cell>
          <cell r="F66" t="str">
            <v>mm</v>
          </cell>
          <cell r="G66" t="str">
            <v>Mitsubishi Chemical</v>
          </cell>
        </row>
        <row r="67">
          <cell r="C67" t="str">
            <v>CW169-WX-1A</v>
          </cell>
          <cell r="D67" t="str">
            <v>CW169-WX-1</v>
          </cell>
          <cell r="E67">
            <v>1169</v>
          </cell>
          <cell r="F67" t="str">
            <v>mm</v>
          </cell>
          <cell r="G67" t="str">
            <v>Mitsubishi Chemical</v>
          </cell>
        </row>
        <row r="68">
          <cell r="C68" t="str">
            <v>CW163-IS-1A</v>
          </cell>
          <cell r="D68" t="str">
            <v>CW163-IS-1</v>
          </cell>
          <cell r="E68">
            <v>1068</v>
          </cell>
          <cell r="F68" t="str">
            <v>mm</v>
          </cell>
          <cell r="G68" t="str">
            <v>Mitsubishi Chemical</v>
          </cell>
        </row>
        <row r="69">
          <cell r="C69" t="str">
            <v>CB043-WR-1C</v>
          </cell>
          <cell r="D69" t="str">
            <v>CB043-WR-1</v>
          </cell>
          <cell r="E69">
            <v>1168</v>
          </cell>
          <cell r="F69" t="str">
            <v>mm</v>
          </cell>
          <cell r="G69" t="str">
            <v>Mitsubishi Chemical</v>
          </cell>
        </row>
        <row r="70">
          <cell r="C70" t="str">
            <v>CB043-WS-1C</v>
          </cell>
          <cell r="D70" t="str">
            <v>CB043-WS-1</v>
          </cell>
          <cell r="E70">
            <v>1168</v>
          </cell>
          <cell r="F70" t="str">
            <v>mm</v>
          </cell>
          <cell r="G70" t="str">
            <v>Mitsubishi Chemical</v>
          </cell>
        </row>
        <row r="71">
          <cell r="C71" t="str">
            <v>CB043-WX-1C</v>
          </cell>
          <cell r="D71" t="str">
            <v>CB043-WX-1</v>
          </cell>
          <cell r="E71">
            <v>1168</v>
          </cell>
          <cell r="F71" t="str">
            <v>mm</v>
          </cell>
          <cell r="G71" t="str">
            <v>Mitsubishi Chemical</v>
          </cell>
        </row>
        <row r="72">
          <cell r="C72" t="str">
            <v>MX889-WS-1AT</v>
          </cell>
          <cell r="D72" t="str">
            <v>MX889-WS-1</v>
          </cell>
          <cell r="E72">
            <v>1168</v>
          </cell>
          <cell r="F72" t="str">
            <v>mm</v>
          </cell>
          <cell r="G72" t="str">
            <v>Mitsubishi Chemical</v>
          </cell>
        </row>
        <row r="73">
          <cell r="C73" t="str">
            <v>MX889-WX-1AT</v>
          </cell>
          <cell r="D73" t="str">
            <v>MX889-WX-1</v>
          </cell>
          <cell r="E73">
            <v>1168</v>
          </cell>
          <cell r="F73" t="str">
            <v>mm</v>
          </cell>
          <cell r="G73" t="str">
            <v>Mitsubishi Chemical</v>
          </cell>
        </row>
        <row r="74">
          <cell r="C74" t="str">
            <v>MX890-WS-1AT</v>
          </cell>
          <cell r="D74" t="str">
            <v>MX890-WS-1</v>
          </cell>
          <cell r="E74">
            <v>1168</v>
          </cell>
          <cell r="F74" t="str">
            <v>mm</v>
          </cell>
          <cell r="G74" t="str">
            <v>Mitsubishi Chemical</v>
          </cell>
        </row>
        <row r="75">
          <cell r="C75" t="str">
            <v>MX890-WX-1AT</v>
          </cell>
          <cell r="D75" t="str">
            <v>MX890-WX-1</v>
          </cell>
          <cell r="E75">
            <v>1168</v>
          </cell>
          <cell r="F75" t="str">
            <v>mm</v>
          </cell>
          <cell r="G75" t="str">
            <v>Mitsubishi Chemical</v>
          </cell>
        </row>
        <row r="76">
          <cell r="C76" t="str">
            <v>MX891-WX-1AT</v>
          </cell>
          <cell r="D76" t="str">
            <v>MX891-WX-1</v>
          </cell>
          <cell r="E76">
            <v>1168</v>
          </cell>
          <cell r="F76" t="str">
            <v>mm</v>
          </cell>
          <cell r="G76" t="str">
            <v>Mitsubishi Chemical</v>
          </cell>
        </row>
        <row r="77">
          <cell r="C77" t="str">
            <v>MX891-WS-1AT</v>
          </cell>
          <cell r="D77" t="str">
            <v>MX891-WS-1</v>
          </cell>
          <cell r="E77">
            <v>1168</v>
          </cell>
          <cell r="F77" t="str">
            <v>mm</v>
          </cell>
          <cell r="G77" t="str">
            <v>Mitsubishi Chemical</v>
          </cell>
        </row>
        <row r="78">
          <cell r="C78" t="str">
            <v>YR173-UA-1A</v>
          </cell>
          <cell r="D78" t="str">
            <v>YR173-UA-1</v>
          </cell>
          <cell r="E78">
            <v>1033</v>
          </cell>
          <cell r="F78" t="str">
            <v>mm</v>
          </cell>
          <cell r="G78" t="str">
            <v>Mitsubishi Chemical</v>
          </cell>
        </row>
        <row r="79">
          <cell r="C79" t="str">
            <v>YR186-UR-1A</v>
          </cell>
          <cell r="D79" t="str">
            <v>YR186-UR-1</v>
          </cell>
          <cell r="E79">
            <v>1020</v>
          </cell>
          <cell r="F79" t="str">
            <v>mm</v>
          </cell>
          <cell r="G79" t="str">
            <v>Mitsubishi Chemical</v>
          </cell>
        </row>
        <row r="80">
          <cell r="C80" t="str">
            <v>SP404-IS-3A</v>
          </cell>
          <cell r="D80" t="str">
            <v>SP404-IS-3</v>
          </cell>
          <cell r="E80">
            <v>990</v>
          </cell>
          <cell r="F80" t="str">
            <v>mm</v>
          </cell>
          <cell r="G80" t="str">
            <v>Mitsubishi Chemical</v>
          </cell>
        </row>
        <row r="81">
          <cell r="C81" t="str">
            <v>CW166-IA-1AY</v>
          </cell>
          <cell r="D81" t="str">
            <v>CW166-IA-1</v>
          </cell>
          <cell r="E81">
            <v>1067</v>
          </cell>
          <cell r="F81" t="str">
            <v>mm</v>
          </cell>
          <cell r="G81" t="str">
            <v>Mitsubishi Chemical</v>
          </cell>
        </row>
        <row r="82">
          <cell r="C82" t="str">
            <v>SU024-IL-1B</v>
          </cell>
          <cell r="D82" t="str">
            <v>SU024-IL-1</v>
          </cell>
          <cell r="E82">
            <v>991</v>
          </cell>
          <cell r="F82" t="str">
            <v>mm</v>
          </cell>
          <cell r="G82" t="str">
            <v>Mitsubishi Chemical</v>
          </cell>
        </row>
        <row r="83">
          <cell r="C83" t="str">
            <v>SU024-WL-1B</v>
          </cell>
          <cell r="D83" t="str">
            <v>SU024-WL-1</v>
          </cell>
          <cell r="E83">
            <v>1143</v>
          </cell>
          <cell r="F83" t="str">
            <v>mm</v>
          </cell>
          <cell r="G83" t="str">
            <v>Mitsubishi Chemical</v>
          </cell>
        </row>
        <row r="84">
          <cell r="C84" t="str">
            <v>AU232-IR-7</v>
          </cell>
          <cell r="D84" t="str">
            <v>AU232-IR-7</v>
          </cell>
          <cell r="E84">
            <v>965</v>
          </cell>
          <cell r="F84" t="str">
            <v>mm</v>
          </cell>
          <cell r="G84" t="str">
            <v>Mitsubishi Chemical</v>
          </cell>
        </row>
        <row r="85">
          <cell r="C85" t="str">
            <v>AU232-IS-7</v>
          </cell>
          <cell r="D85" t="str">
            <v>AU232-IS-7</v>
          </cell>
          <cell r="E85">
            <v>965</v>
          </cell>
          <cell r="F85" t="str">
            <v>mm</v>
          </cell>
          <cell r="G85" t="str">
            <v>Mitsubishi Chemical</v>
          </cell>
        </row>
        <row r="86">
          <cell r="C86" t="str">
            <v>AU207-WS-1A</v>
          </cell>
          <cell r="D86" t="str">
            <v>AU207-WS-1</v>
          </cell>
          <cell r="E86">
            <v>1168</v>
          </cell>
          <cell r="F86" t="str">
            <v>mm</v>
          </cell>
          <cell r="G86" t="str">
            <v>Mitsubishi Chemical</v>
          </cell>
        </row>
        <row r="87">
          <cell r="C87" t="str">
            <v>SF302-WL-1A</v>
          </cell>
          <cell r="D87" t="str">
            <v>SF302-WL-1</v>
          </cell>
          <cell r="E87">
            <v>1118</v>
          </cell>
          <cell r="F87" t="str">
            <v>mm</v>
          </cell>
          <cell r="G87" t="str">
            <v>Mitsubishi Chemical</v>
          </cell>
        </row>
        <row r="88">
          <cell r="C88" t="str">
            <v>SF302-WA-1A</v>
          </cell>
          <cell r="D88" t="str">
            <v>SF302-WA-1</v>
          </cell>
          <cell r="E88">
            <v>1118</v>
          </cell>
          <cell r="F88" t="str">
            <v>mm</v>
          </cell>
          <cell r="G88" t="str">
            <v>Mitsubishi Chemical</v>
          </cell>
        </row>
        <row r="89">
          <cell r="C89" t="str">
            <v>SF306-WR-1A</v>
          </cell>
          <cell r="D89" t="str">
            <v>SF306-WR-1</v>
          </cell>
          <cell r="E89">
            <v>1143</v>
          </cell>
          <cell r="F89" t="str">
            <v>mm</v>
          </cell>
          <cell r="G89" t="str">
            <v>Mitsubishi Chemical</v>
          </cell>
        </row>
        <row r="90">
          <cell r="C90" t="str">
            <v>SF282-WS-3C</v>
          </cell>
          <cell r="D90" t="str">
            <v>SF282-WS-3</v>
          </cell>
          <cell r="E90">
            <v>1118</v>
          </cell>
          <cell r="F90" t="str">
            <v>mm</v>
          </cell>
          <cell r="G90" t="str">
            <v>Mitsubishi Chemical</v>
          </cell>
        </row>
        <row r="91">
          <cell r="C91" t="str">
            <v>SF303-WX-1A</v>
          </cell>
          <cell r="D91" t="str">
            <v>SF303-WX-1</v>
          </cell>
          <cell r="E91">
            <v>1168</v>
          </cell>
          <cell r="F91" t="str">
            <v>mm</v>
          </cell>
          <cell r="G91" t="str">
            <v>Mitsubishi Chemical</v>
          </cell>
        </row>
        <row r="92">
          <cell r="C92" t="str">
            <v>PG062-WS-1A</v>
          </cell>
          <cell r="D92" t="str">
            <v>PG062-WS-1</v>
          </cell>
          <cell r="E92">
            <v>1168</v>
          </cell>
          <cell r="F92" t="str">
            <v>mm</v>
          </cell>
          <cell r="G92" t="str">
            <v>Mitsubishi Chemical</v>
          </cell>
        </row>
        <row r="93">
          <cell r="C93" t="str">
            <v>SF263-WS-1B</v>
          </cell>
          <cell r="D93" t="str">
            <v>SF263-WS-1</v>
          </cell>
          <cell r="E93">
            <v>1168</v>
          </cell>
          <cell r="F93" t="str">
            <v>mm</v>
          </cell>
          <cell r="G93" t="str">
            <v>Mitsubishi Chemical</v>
          </cell>
        </row>
        <row r="94">
          <cell r="C94" t="str">
            <v>SF263-WX-1B</v>
          </cell>
          <cell r="D94" t="str">
            <v>SF263-WX-1</v>
          </cell>
          <cell r="E94">
            <v>1168</v>
          </cell>
          <cell r="F94" t="str">
            <v>mm</v>
          </cell>
          <cell r="G94" t="str">
            <v>Mitsubishi Chemical</v>
          </cell>
        </row>
        <row r="95">
          <cell r="C95" t="str">
            <v>SF267-IS-4A</v>
          </cell>
          <cell r="D95" t="str">
            <v>SF267-IS-4</v>
          </cell>
          <cell r="E95">
            <v>978</v>
          </cell>
          <cell r="F95" t="str">
            <v>mm</v>
          </cell>
          <cell r="G95" t="str">
            <v>Mitsubishi Chemical</v>
          </cell>
        </row>
        <row r="96">
          <cell r="C96" t="str">
            <v>SF303-WR-1A</v>
          </cell>
          <cell r="D96" t="str">
            <v>SF303-WR-1</v>
          </cell>
          <cell r="E96">
            <v>1168</v>
          </cell>
          <cell r="F96" t="str">
            <v>mm</v>
          </cell>
          <cell r="G96" t="str">
            <v>Mitsubishi Chemical</v>
          </cell>
        </row>
        <row r="97">
          <cell r="C97" t="str">
            <v>SX148-IR-1AR</v>
          </cell>
          <cell r="D97" t="str">
            <v>SX148-IR-1</v>
          </cell>
          <cell r="E97">
            <v>978</v>
          </cell>
          <cell r="F97" t="str">
            <v>mm</v>
          </cell>
          <cell r="G97" t="str">
            <v>Mitsubishi Chemical</v>
          </cell>
        </row>
        <row r="98">
          <cell r="C98" t="str">
            <v>SX148-IS-1AR</v>
          </cell>
          <cell r="D98" t="str">
            <v>SX148-IS-1</v>
          </cell>
          <cell r="E98">
            <v>978</v>
          </cell>
          <cell r="F98" t="str">
            <v>mm</v>
          </cell>
          <cell r="G98" t="str">
            <v>Mitsubishi Chemical</v>
          </cell>
        </row>
        <row r="99">
          <cell r="C99" t="str">
            <v>SX148-WS-1AR</v>
          </cell>
          <cell r="D99" t="str">
            <v>SX148-WS-1</v>
          </cell>
          <cell r="E99">
            <v>1168</v>
          </cell>
          <cell r="F99" t="str">
            <v>mm</v>
          </cell>
          <cell r="G99" t="str">
            <v>Mitsubishi Chemical</v>
          </cell>
        </row>
        <row r="100">
          <cell r="C100" t="str">
            <v>SX148-WR-1AR</v>
          </cell>
          <cell r="D100" t="str">
            <v>SX148-WR-1</v>
          </cell>
          <cell r="E100">
            <v>1168</v>
          </cell>
          <cell r="F100" t="str">
            <v>mm</v>
          </cell>
          <cell r="G100" t="str">
            <v>Mitsubishi Chemical</v>
          </cell>
        </row>
        <row r="101">
          <cell r="C101" t="str">
            <v>SX148-WSR1AR</v>
          </cell>
          <cell r="D101" t="str">
            <v>SX148-WSR1</v>
          </cell>
          <cell r="E101">
            <v>1168</v>
          </cell>
          <cell r="F101" t="str">
            <v>mm</v>
          </cell>
          <cell r="G101" t="str">
            <v>Mitsubishi Chemical</v>
          </cell>
        </row>
        <row r="102">
          <cell r="C102" t="str">
            <v>AU226-IR-2A</v>
          </cell>
          <cell r="D102" t="str">
            <v>AU226-IR-2</v>
          </cell>
          <cell r="E102">
            <v>1067</v>
          </cell>
          <cell r="F102" t="str">
            <v>mm</v>
          </cell>
          <cell r="G102" t="str">
            <v>Mitsubishi Chemical</v>
          </cell>
        </row>
        <row r="103">
          <cell r="C103" t="str">
            <v>CW161-WX-1AY</v>
          </cell>
          <cell r="D103" t="str">
            <v>CW161-WX-1</v>
          </cell>
          <cell r="E103">
            <v>1169</v>
          </cell>
          <cell r="F103" t="str">
            <v>mm</v>
          </cell>
          <cell r="G103" t="str">
            <v>Mitsubishi Chemical</v>
          </cell>
        </row>
        <row r="104">
          <cell r="C104" t="str">
            <v>AU217-IS-2A</v>
          </cell>
          <cell r="D104" t="str">
            <v>AU217-IS-2</v>
          </cell>
          <cell r="E104">
            <v>1067</v>
          </cell>
          <cell r="F104" t="str">
            <v>mm</v>
          </cell>
          <cell r="G104" t="str">
            <v>Mitsubishi Chemical</v>
          </cell>
        </row>
        <row r="105">
          <cell r="C105" t="str">
            <v>MX992-WS-1AO</v>
          </cell>
          <cell r="D105" t="str">
            <v>MX992-WS-1</v>
          </cell>
          <cell r="E105">
            <v>1168</v>
          </cell>
          <cell r="F105" t="str">
            <v>mm</v>
          </cell>
          <cell r="G105" t="str">
            <v>Mitsubishi Chemical</v>
          </cell>
        </row>
        <row r="106">
          <cell r="C106" t="str">
            <v>AX204-WL-1SA</v>
          </cell>
          <cell r="D106" t="str">
            <v>AX204-WL-1</v>
          </cell>
          <cell r="E106">
            <v>1143</v>
          </cell>
          <cell r="F106" t="str">
            <v>mm</v>
          </cell>
          <cell r="G106" t="str">
            <v>Aldila</v>
          </cell>
        </row>
        <row r="107">
          <cell r="C107" t="str">
            <v>SF267-IS-7A</v>
          </cell>
          <cell r="D107" t="str">
            <v>SF267-IS-7</v>
          </cell>
          <cell r="E107">
            <v>940</v>
          </cell>
          <cell r="F107" t="str">
            <v>mm</v>
          </cell>
          <cell r="G107" t="str">
            <v>Mitsubishi Chemical</v>
          </cell>
        </row>
        <row r="108">
          <cell r="C108" t="str">
            <v>SF267-ITX4A</v>
          </cell>
          <cell r="D108" t="str">
            <v>SF267-ITX4</v>
          </cell>
          <cell r="E108">
            <v>978</v>
          </cell>
          <cell r="F108" t="str">
            <v>mm</v>
          </cell>
          <cell r="G108" t="str">
            <v>Mitsubishi Chemical</v>
          </cell>
        </row>
        <row r="109">
          <cell r="C109" t="str">
            <v>SF267-ITX5A</v>
          </cell>
          <cell r="D109" t="str">
            <v>SF267-ITX5</v>
          </cell>
          <cell r="E109">
            <v>965</v>
          </cell>
          <cell r="F109" t="str">
            <v>mm</v>
          </cell>
          <cell r="G109" t="str">
            <v>Mitsubishi Chemical</v>
          </cell>
        </row>
        <row r="110">
          <cell r="C110" t="str">
            <v>SF267-ITX6A</v>
          </cell>
          <cell r="D110" t="str">
            <v>SF267-ITX6</v>
          </cell>
          <cell r="E110">
            <v>953</v>
          </cell>
          <cell r="F110" t="str">
            <v>mm</v>
          </cell>
          <cell r="G110" t="str">
            <v>Mitsubishi Chemical</v>
          </cell>
        </row>
        <row r="111">
          <cell r="C111" t="str">
            <v>SF267-ITX7A</v>
          </cell>
          <cell r="D111" t="str">
            <v>SF267-ITX7</v>
          </cell>
          <cell r="E111">
            <v>940</v>
          </cell>
          <cell r="F111" t="str">
            <v>mm</v>
          </cell>
          <cell r="G111" t="str">
            <v>Mitsubishi Chemical</v>
          </cell>
        </row>
        <row r="112">
          <cell r="C112" t="str">
            <v>SF267-ITX9A</v>
          </cell>
          <cell r="D112" t="str">
            <v>SF267-ITX9</v>
          </cell>
          <cell r="E112">
            <v>914</v>
          </cell>
          <cell r="F112" t="str">
            <v>mm</v>
          </cell>
          <cell r="G112" t="str">
            <v>Mitsubishi Chemical</v>
          </cell>
        </row>
        <row r="113">
          <cell r="C113" t="str">
            <v>SF267-ITXPA</v>
          </cell>
          <cell r="D113" t="str">
            <v>SF267-ITXP</v>
          </cell>
          <cell r="E113">
            <v>902</v>
          </cell>
          <cell r="F113" t="str">
            <v>mm</v>
          </cell>
          <cell r="G113" t="str">
            <v>Mitsubishi Chemical</v>
          </cell>
        </row>
        <row r="114">
          <cell r="C114" t="str">
            <v>SF268-IS-6A</v>
          </cell>
          <cell r="D114" t="str">
            <v>SF268-IS-6</v>
          </cell>
          <cell r="E114">
            <v>953</v>
          </cell>
          <cell r="F114" t="str">
            <v>mm</v>
          </cell>
          <cell r="G114" t="str">
            <v>Mitsubishi Chemical</v>
          </cell>
        </row>
        <row r="115">
          <cell r="C115" t="str">
            <v>SF268-IS-8A</v>
          </cell>
          <cell r="D115" t="str">
            <v>SF268-IS-8</v>
          </cell>
          <cell r="E115">
            <v>927</v>
          </cell>
          <cell r="F115" t="str">
            <v>mm</v>
          </cell>
          <cell r="G115" t="str">
            <v>Mitsubishi Chemical</v>
          </cell>
        </row>
        <row r="116">
          <cell r="C116" t="str">
            <v>SF282-WR-3C</v>
          </cell>
          <cell r="D116" t="str">
            <v>SF282-WR-3</v>
          </cell>
          <cell r="E116">
            <v>1118</v>
          </cell>
          <cell r="F116" t="str">
            <v>mm</v>
          </cell>
          <cell r="G116" t="str">
            <v>Mitsubishi Chemical</v>
          </cell>
        </row>
        <row r="117">
          <cell r="C117" t="str">
            <v>SF282-WX-3C</v>
          </cell>
          <cell r="D117" t="str">
            <v>SF282-WX-3</v>
          </cell>
          <cell r="E117">
            <v>1118</v>
          </cell>
          <cell r="F117" t="str">
            <v>mm</v>
          </cell>
          <cell r="G117" t="str">
            <v>Mitsubishi Chemical</v>
          </cell>
        </row>
        <row r="118">
          <cell r="C118" t="str">
            <v>CW152-IS-2A</v>
          </cell>
          <cell r="D118" t="str">
            <v>CW152-IS-2</v>
          </cell>
          <cell r="E118">
            <v>1030</v>
          </cell>
          <cell r="F118" t="str">
            <v>mm</v>
          </cell>
          <cell r="G118" t="str">
            <v>Mitsubishi Chemical</v>
          </cell>
        </row>
        <row r="119">
          <cell r="C119" t="str">
            <v>CW152-ISR2A</v>
          </cell>
          <cell r="D119" t="str">
            <v>CW152-ISR2</v>
          </cell>
          <cell r="E119">
            <v>1030</v>
          </cell>
          <cell r="F119" t="str">
            <v>mm</v>
          </cell>
          <cell r="G119" t="str">
            <v>Mitsubishi Chemical</v>
          </cell>
        </row>
        <row r="120">
          <cell r="C120" t="str">
            <v>SF293-WS-1A</v>
          </cell>
          <cell r="D120" t="str">
            <v>SF293-WS-1</v>
          </cell>
          <cell r="E120">
            <v>1168</v>
          </cell>
          <cell r="F120" t="str">
            <v>mm</v>
          </cell>
          <cell r="G120" t="str">
            <v>Mitsubishi Chemical</v>
          </cell>
        </row>
        <row r="121">
          <cell r="C121" t="str">
            <v>SF293-WX-1A</v>
          </cell>
          <cell r="D121" t="str">
            <v>SF293-WX-1</v>
          </cell>
          <cell r="E121">
            <v>1168</v>
          </cell>
          <cell r="F121" t="str">
            <v>mm</v>
          </cell>
          <cell r="G121" t="str">
            <v>Mitsubishi Chemical</v>
          </cell>
        </row>
        <row r="122">
          <cell r="C122" t="str">
            <v>AX181-IS-1PA</v>
          </cell>
          <cell r="D122" t="str">
            <v>AX181-IS-1</v>
          </cell>
          <cell r="E122">
            <v>1016</v>
          </cell>
          <cell r="F122" t="str">
            <v>mm</v>
          </cell>
          <cell r="G122" t="str">
            <v>Aldila</v>
          </cell>
        </row>
        <row r="123">
          <cell r="C123" t="str">
            <v>AX185-WR-1PA</v>
          </cell>
          <cell r="D123" t="str">
            <v>AX185-WR-1</v>
          </cell>
          <cell r="E123">
            <v>1181</v>
          </cell>
          <cell r="F123" t="str">
            <v>mm</v>
          </cell>
          <cell r="G123" t="str">
            <v>Aldila</v>
          </cell>
        </row>
        <row r="124">
          <cell r="C124" t="str">
            <v>AX185-WS-1PA</v>
          </cell>
          <cell r="D124" t="str">
            <v>AX185-WS-1</v>
          </cell>
          <cell r="E124">
            <v>1181</v>
          </cell>
          <cell r="F124" t="str">
            <v>mm</v>
          </cell>
          <cell r="G124" t="str">
            <v>Aldila</v>
          </cell>
        </row>
        <row r="125">
          <cell r="C125" t="str">
            <v>AX185-WSR1PA</v>
          </cell>
          <cell r="D125" t="str">
            <v>AX185-WSR1</v>
          </cell>
          <cell r="E125">
            <v>1181</v>
          </cell>
          <cell r="F125" t="str">
            <v>mm</v>
          </cell>
          <cell r="G125" t="str">
            <v>Aldila</v>
          </cell>
        </row>
        <row r="126">
          <cell r="C126" t="str">
            <v>MX903-IS-4A</v>
          </cell>
          <cell r="D126" t="str">
            <v>MX903-IS-4</v>
          </cell>
          <cell r="E126">
            <v>978</v>
          </cell>
          <cell r="F126" t="str">
            <v>mm</v>
          </cell>
          <cell r="G126" t="str">
            <v>Mitsubishi Chemical</v>
          </cell>
        </row>
        <row r="127">
          <cell r="C127" t="str">
            <v>MX903-IS-5A</v>
          </cell>
          <cell r="D127" t="str">
            <v>MX903-IS-5</v>
          </cell>
          <cell r="E127">
            <v>965</v>
          </cell>
          <cell r="F127" t="str">
            <v>mm</v>
          </cell>
          <cell r="G127" t="str">
            <v>Mitsubishi Chemical</v>
          </cell>
        </row>
        <row r="128">
          <cell r="C128" t="str">
            <v>MX903-IS-6A</v>
          </cell>
          <cell r="D128" t="str">
            <v>MX903-IS-6</v>
          </cell>
          <cell r="E128">
            <v>953</v>
          </cell>
          <cell r="F128" t="str">
            <v>mm</v>
          </cell>
          <cell r="G128" t="str">
            <v>Mitsubishi Chemical</v>
          </cell>
        </row>
        <row r="129">
          <cell r="C129" t="str">
            <v>MX903-IS-7A</v>
          </cell>
          <cell r="D129" t="str">
            <v>MX903-IS-7</v>
          </cell>
          <cell r="E129">
            <v>940</v>
          </cell>
          <cell r="F129" t="str">
            <v>mm</v>
          </cell>
          <cell r="G129" t="str">
            <v>Mitsubishi Chemical</v>
          </cell>
        </row>
        <row r="130">
          <cell r="C130" t="str">
            <v>MX903-IS-9A</v>
          </cell>
          <cell r="D130" t="str">
            <v>MX903-IS-9</v>
          </cell>
          <cell r="E130">
            <v>914</v>
          </cell>
          <cell r="F130" t="str">
            <v>mm</v>
          </cell>
          <cell r="G130" t="str">
            <v>Mitsubishi Chemical</v>
          </cell>
        </row>
        <row r="131">
          <cell r="C131" t="str">
            <v>MX903-IS-8A</v>
          </cell>
          <cell r="D131" t="str">
            <v>MX903-IS-8</v>
          </cell>
          <cell r="E131">
            <v>927</v>
          </cell>
          <cell r="F131" t="str">
            <v>mm</v>
          </cell>
          <cell r="G131" t="str">
            <v>Mitsubishi Chemical</v>
          </cell>
        </row>
        <row r="132">
          <cell r="C132" t="str">
            <v>MX904-IS-4A</v>
          </cell>
          <cell r="D132" t="str">
            <v>MX904-IS-4</v>
          </cell>
          <cell r="E132">
            <v>978</v>
          </cell>
          <cell r="F132" t="str">
            <v>mm</v>
          </cell>
          <cell r="G132" t="str">
            <v>Mitsubishi Chemical</v>
          </cell>
        </row>
        <row r="133">
          <cell r="C133" t="str">
            <v>MX907-IX-1A</v>
          </cell>
          <cell r="D133" t="str">
            <v>MX907-IX-1</v>
          </cell>
          <cell r="E133">
            <v>1067</v>
          </cell>
          <cell r="F133" t="str">
            <v>mm</v>
          </cell>
          <cell r="G133" t="str">
            <v>Mitsubishi Chemical</v>
          </cell>
        </row>
        <row r="134">
          <cell r="C134" t="str">
            <v>MX681-IS-PA</v>
          </cell>
          <cell r="D134" t="str">
            <v>MX681-IS-P</v>
          </cell>
          <cell r="E134">
            <v>902</v>
          </cell>
          <cell r="F134" t="str">
            <v>mm</v>
          </cell>
          <cell r="G134" t="str">
            <v>Mitsubishi Chemical</v>
          </cell>
        </row>
        <row r="135">
          <cell r="C135" t="str">
            <v>MX726-IR-5A</v>
          </cell>
          <cell r="D135" t="str">
            <v>MX726-IR-5</v>
          </cell>
          <cell r="E135">
            <v>965</v>
          </cell>
          <cell r="F135" t="str">
            <v>mm</v>
          </cell>
          <cell r="G135" t="str">
            <v>Mitsubishi Chemical</v>
          </cell>
        </row>
        <row r="136">
          <cell r="C136" t="str">
            <v>MX726-IR-6A</v>
          </cell>
          <cell r="D136" t="str">
            <v>MX726-IR-6</v>
          </cell>
          <cell r="E136">
            <v>953</v>
          </cell>
          <cell r="F136" t="str">
            <v>mm</v>
          </cell>
          <cell r="G136" t="str">
            <v>Mitsubishi Chemical</v>
          </cell>
        </row>
        <row r="137">
          <cell r="C137" t="str">
            <v>MX726-IR-8A</v>
          </cell>
          <cell r="D137" t="str">
            <v>MX726-IR-8</v>
          </cell>
          <cell r="E137">
            <v>927</v>
          </cell>
          <cell r="F137" t="str">
            <v>mm</v>
          </cell>
          <cell r="G137" t="str">
            <v>Mitsubishi Chemical</v>
          </cell>
        </row>
        <row r="138">
          <cell r="C138" t="str">
            <v>MX726-IR-9A</v>
          </cell>
          <cell r="D138" t="str">
            <v>MX726-IR-9</v>
          </cell>
          <cell r="E138">
            <v>914</v>
          </cell>
          <cell r="F138" t="str">
            <v>mm</v>
          </cell>
          <cell r="G138" t="str">
            <v>Mitsubishi Chemical</v>
          </cell>
        </row>
        <row r="139">
          <cell r="C139" t="str">
            <v>MX726-IR-PA</v>
          </cell>
          <cell r="D139" t="str">
            <v>MX726-IR-P</v>
          </cell>
          <cell r="E139">
            <v>902</v>
          </cell>
          <cell r="F139" t="str">
            <v>mm</v>
          </cell>
          <cell r="G139" t="str">
            <v>Mitsubishi Chemical</v>
          </cell>
        </row>
        <row r="140">
          <cell r="C140" t="str">
            <v>SP404-US-2A</v>
          </cell>
          <cell r="D140" t="str">
            <v>SP404-US-2</v>
          </cell>
          <cell r="E140">
            <v>1040</v>
          </cell>
          <cell r="F140" t="str">
            <v>mm</v>
          </cell>
          <cell r="G140" t="str">
            <v>Mitsubishi Chemical</v>
          </cell>
        </row>
        <row r="141">
          <cell r="C141" t="str">
            <v>SU024-IR-1B</v>
          </cell>
          <cell r="D141" t="str">
            <v>SU024-IR-1</v>
          </cell>
          <cell r="E141">
            <v>1067</v>
          </cell>
          <cell r="F141" t="str">
            <v>mm</v>
          </cell>
          <cell r="G141" t="str">
            <v>Mitsubishi Chemical</v>
          </cell>
        </row>
        <row r="142">
          <cell r="C142" t="str">
            <v>SU024-WR-1B</v>
          </cell>
          <cell r="D142" t="str">
            <v>SU024-WR-1</v>
          </cell>
          <cell r="E142">
            <v>1143</v>
          </cell>
          <cell r="F142" t="str">
            <v>mm</v>
          </cell>
          <cell r="G142" t="str">
            <v>Mitsubishi Chemical</v>
          </cell>
        </row>
        <row r="143">
          <cell r="C143" t="str">
            <v>AX205-IL-1SA</v>
          </cell>
          <cell r="D143" t="str">
            <v>AX205-IL-1</v>
          </cell>
          <cell r="E143">
            <v>1041</v>
          </cell>
          <cell r="F143" t="str">
            <v>mm</v>
          </cell>
          <cell r="G143" t="str">
            <v>Aldila</v>
          </cell>
        </row>
        <row r="144">
          <cell r="C144" t="str">
            <v>AX194-IR-1AA</v>
          </cell>
          <cell r="D144" t="str">
            <v>AX194-IR-1</v>
          </cell>
          <cell r="E144">
            <v>1067</v>
          </cell>
          <cell r="F144" t="str">
            <v>mm</v>
          </cell>
          <cell r="G144" t="str">
            <v>Aldila</v>
          </cell>
        </row>
        <row r="145">
          <cell r="C145" t="str">
            <v>AX194-IS-1AA</v>
          </cell>
          <cell r="D145" t="str">
            <v>AX194-IS-1</v>
          </cell>
          <cell r="E145">
            <v>1067</v>
          </cell>
          <cell r="F145" t="str">
            <v>mm</v>
          </cell>
          <cell r="G145" t="str">
            <v>Aldila</v>
          </cell>
        </row>
        <row r="146">
          <cell r="C146" t="str">
            <v>AX194-IX-1AA</v>
          </cell>
          <cell r="D146" t="str">
            <v>AX194-IX-1</v>
          </cell>
          <cell r="E146">
            <v>1067</v>
          </cell>
          <cell r="F146" t="str">
            <v>mm</v>
          </cell>
          <cell r="G146" t="str">
            <v>Aldila</v>
          </cell>
        </row>
        <row r="147">
          <cell r="C147" t="str">
            <v>AX195-IR-1AA</v>
          </cell>
          <cell r="D147" t="str">
            <v>AX195-IR-1</v>
          </cell>
          <cell r="E147">
            <v>1067</v>
          </cell>
          <cell r="F147" t="str">
            <v>mm</v>
          </cell>
          <cell r="G147" t="str">
            <v>Aldila</v>
          </cell>
        </row>
        <row r="148">
          <cell r="C148" t="str">
            <v>AX195-IS-1AA</v>
          </cell>
          <cell r="D148" t="str">
            <v>AX195-IS-1</v>
          </cell>
          <cell r="E148">
            <v>1067</v>
          </cell>
          <cell r="F148" t="str">
            <v>mm</v>
          </cell>
          <cell r="G148" t="str">
            <v>Aldila</v>
          </cell>
        </row>
        <row r="149">
          <cell r="C149" t="str">
            <v>AX199-IA-1CA</v>
          </cell>
          <cell r="D149" t="str">
            <v>AX199-IA-1</v>
          </cell>
          <cell r="E149">
            <v>1067</v>
          </cell>
          <cell r="F149" t="str">
            <v>mm</v>
          </cell>
          <cell r="G149" t="str">
            <v>Aldila</v>
          </cell>
        </row>
        <row r="150">
          <cell r="C150" t="str">
            <v>YR187-IS-5A</v>
          </cell>
          <cell r="D150" t="str">
            <v>YR187-IS-5</v>
          </cell>
          <cell r="E150">
            <v>991</v>
          </cell>
          <cell r="F150" t="str">
            <v>mm</v>
          </cell>
          <cell r="G150" t="str">
            <v>Mitsubishi Chemical</v>
          </cell>
        </row>
        <row r="151">
          <cell r="C151" t="str">
            <v>MX669-IS-PC</v>
          </cell>
          <cell r="D151" t="str">
            <v>MX669-IS-P</v>
          </cell>
          <cell r="E151">
            <v>902</v>
          </cell>
          <cell r="F151" t="str">
            <v>mm</v>
          </cell>
          <cell r="G151" t="str">
            <v>Mitsubishi Chemical</v>
          </cell>
        </row>
        <row r="152">
          <cell r="C152" t="str">
            <v>MX681-IS-PC</v>
          </cell>
          <cell r="D152" t="str">
            <v>MX681-IS-P</v>
          </cell>
          <cell r="E152">
            <v>902</v>
          </cell>
          <cell r="F152" t="str">
            <v>mm</v>
          </cell>
          <cell r="G152" t="str">
            <v>Mitsubishi Chemical</v>
          </cell>
        </row>
        <row r="153">
          <cell r="C153" t="str">
            <v>AU205-WTX1A</v>
          </cell>
          <cell r="D153" t="str">
            <v>AU205-WTX1</v>
          </cell>
          <cell r="E153">
            <v>1168</v>
          </cell>
          <cell r="F153" t="str">
            <v>mm</v>
          </cell>
          <cell r="G153" t="str">
            <v>Mitsubishi Chemical</v>
          </cell>
        </row>
        <row r="154">
          <cell r="C154" t="str">
            <v>CB041-WR-1A</v>
          </cell>
          <cell r="D154" t="str">
            <v>CB041-WR-1</v>
          </cell>
          <cell r="E154">
            <v>1168</v>
          </cell>
          <cell r="F154" t="str">
            <v>mm</v>
          </cell>
          <cell r="G154" t="str">
            <v>Mitsubishi Chemical</v>
          </cell>
        </row>
        <row r="155">
          <cell r="C155" t="str">
            <v>AX203-IA-1EA</v>
          </cell>
          <cell r="D155" t="str">
            <v>AX203-IA-1</v>
          </cell>
          <cell r="E155">
            <v>1042</v>
          </cell>
          <cell r="F155" t="str">
            <v>mm</v>
          </cell>
          <cell r="G155" t="str">
            <v>Aldila</v>
          </cell>
        </row>
        <row r="156">
          <cell r="C156" t="str">
            <v>AX202-WR-1EA</v>
          </cell>
          <cell r="D156" t="str">
            <v>AX202-WR-1</v>
          </cell>
          <cell r="E156">
            <v>1168</v>
          </cell>
          <cell r="F156" t="str">
            <v>mm</v>
          </cell>
          <cell r="G156" t="str">
            <v>Aldila</v>
          </cell>
        </row>
        <row r="157">
          <cell r="C157" t="str">
            <v>CW159-IW-1B</v>
          </cell>
          <cell r="D157" t="str">
            <v>CW159-IW-1</v>
          </cell>
          <cell r="E157">
            <v>1041</v>
          </cell>
          <cell r="F157" t="str">
            <v>mm</v>
          </cell>
          <cell r="G157" t="str">
            <v>Mitsubishi Chemical</v>
          </cell>
        </row>
        <row r="158">
          <cell r="C158" t="str">
            <v>CW129-WX-1B</v>
          </cell>
          <cell r="D158" t="str">
            <v>CW129-WX-1</v>
          </cell>
          <cell r="E158">
            <v>1169</v>
          </cell>
          <cell r="F158" t="str">
            <v>mm</v>
          </cell>
          <cell r="G158" t="str">
            <v>Mitsubishi Chemical</v>
          </cell>
        </row>
        <row r="159">
          <cell r="C159" t="str">
            <v>CW161-WX-1A</v>
          </cell>
          <cell r="D159" t="str">
            <v>CW161-WX-1</v>
          </cell>
          <cell r="E159">
            <v>1169</v>
          </cell>
          <cell r="F159" t="str">
            <v>mm</v>
          </cell>
          <cell r="G159" t="str">
            <v>Mitsubishi Chemical</v>
          </cell>
        </row>
        <row r="160">
          <cell r="C160" t="str">
            <v>YR174-IA-6A</v>
          </cell>
          <cell r="D160" t="str">
            <v>YR174-IA-6</v>
          </cell>
          <cell r="E160">
            <v>981</v>
          </cell>
          <cell r="F160" t="str">
            <v>mm</v>
          </cell>
          <cell r="G160" t="str">
            <v>Mitsubishi Chemical</v>
          </cell>
        </row>
        <row r="161">
          <cell r="C161" t="str">
            <v>YR174-IA-8A</v>
          </cell>
          <cell r="D161" t="str">
            <v>YR174-IA-8</v>
          </cell>
          <cell r="E161">
            <v>956</v>
          </cell>
          <cell r="F161" t="str">
            <v>mm</v>
          </cell>
          <cell r="G161" t="str">
            <v>Mitsubishi Chemical</v>
          </cell>
        </row>
        <row r="162">
          <cell r="C162" t="str">
            <v>YR174-IA-9A</v>
          </cell>
          <cell r="D162" t="str">
            <v>YR174-IA-9</v>
          </cell>
          <cell r="E162">
            <v>943</v>
          </cell>
          <cell r="F162" t="str">
            <v>mm</v>
          </cell>
          <cell r="G162" t="str">
            <v>Mitsubishi Chemical</v>
          </cell>
        </row>
        <row r="163">
          <cell r="C163" t="str">
            <v>YR174-IA-AA</v>
          </cell>
          <cell r="D163" t="str">
            <v>YR174-IA-A</v>
          </cell>
          <cell r="E163">
            <v>911</v>
          </cell>
          <cell r="F163" t="str">
            <v>mm</v>
          </cell>
          <cell r="G163" t="str">
            <v>Mitsubishi Chemical</v>
          </cell>
        </row>
        <row r="164">
          <cell r="C164" t="str">
            <v>YR174-IA-PA</v>
          </cell>
          <cell r="D164" t="str">
            <v>YR174-IA-P</v>
          </cell>
          <cell r="E164">
            <v>930</v>
          </cell>
          <cell r="F164" t="str">
            <v>mm</v>
          </cell>
          <cell r="G164" t="str">
            <v>Mitsubishi Chemical</v>
          </cell>
        </row>
        <row r="165">
          <cell r="C165" t="str">
            <v>YR174-ILA8A</v>
          </cell>
          <cell r="D165" t="str">
            <v>YR174-ILA8</v>
          </cell>
          <cell r="E165">
            <v>949</v>
          </cell>
          <cell r="F165" t="str">
            <v>mm</v>
          </cell>
          <cell r="G165" t="str">
            <v>Mitsubishi Chemical</v>
          </cell>
        </row>
        <row r="166">
          <cell r="C166" t="str">
            <v>YR174-ILA9A</v>
          </cell>
          <cell r="D166" t="str">
            <v>YR174-ILA9</v>
          </cell>
          <cell r="E166">
            <v>937</v>
          </cell>
          <cell r="F166" t="str">
            <v>mm</v>
          </cell>
          <cell r="G166" t="str">
            <v>Mitsubishi Chemical</v>
          </cell>
        </row>
        <row r="167">
          <cell r="C167" t="str">
            <v>YR174-IS-5A</v>
          </cell>
          <cell r="D167" t="str">
            <v>YR174-IS-5</v>
          </cell>
          <cell r="E167">
            <v>994</v>
          </cell>
          <cell r="F167" t="str">
            <v>mm</v>
          </cell>
          <cell r="G167" t="str">
            <v>Mitsubishi Chemical</v>
          </cell>
        </row>
        <row r="168">
          <cell r="C168" t="str">
            <v>YR174-IS-6A</v>
          </cell>
          <cell r="D168" t="str">
            <v>YR174-IS-6</v>
          </cell>
          <cell r="E168">
            <v>981</v>
          </cell>
          <cell r="F168" t="str">
            <v>mm</v>
          </cell>
          <cell r="G168" t="str">
            <v>Mitsubishi Chemical</v>
          </cell>
        </row>
        <row r="169">
          <cell r="C169" t="str">
            <v>YR174-IS-8A</v>
          </cell>
          <cell r="D169" t="str">
            <v>YR174-IS-8</v>
          </cell>
          <cell r="E169">
            <v>956</v>
          </cell>
          <cell r="F169" t="str">
            <v>mm</v>
          </cell>
          <cell r="G169" t="str">
            <v>Mitsubishi Chemical</v>
          </cell>
        </row>
        <row r="170">
          <cell r="C170" t="str">
            <v>YR174-IS-9A</v>
          </cell>
          <cell r="D170" t="str">
            <v>YR174-IS-9</v>
          </cell>
          <cell r="E170">
            <v>943</v>
          </cell>
          <cell r="F170" t="str">
            <v>mm</v>
          </cell>
          <cell r="G170" t="str">
            <v>Mitsubishi Chemical</v>
          </cell>
        </row>
        <row r="171">
          <cell r="C171" t="str">
            <v>YR174-IS-AA</v>
          </cell>
          <cell r="D171" t="str">
            <v>YR174-IS-A</v>
          </cell>
          <cell r="E171">
            <v>911</v>
          </cell>
          <cell r="F171" t="str">
            <v>mm</v>
          </cell>
          <cell r="G171" t="str">
            <v>Mitsubishi Chemical</v>
          </cell>
        </row>
        <row r="172">
          <cell r="C172" t="str">
            <v>YR174-IS-PA</v>
          </cell>
          <cell r="D172" t="str">
            <v>YR174-IS-P</v>
          </cell>
          <cell r="E172">
            <v>930</v>
          </cell>
          <cell r="F172" t="str">
            <v>mm</v>
          </cell>
          <cell r="G172" t="str">
            <v>Mitsubishi Chemical</v>
          </cell>
        </row>
        <row r="173">
          <cell r="C173" t="str">
            <v>YR178-IL-PA</v>
          </cell>
          <cell r="D173" t="str">
            <v>YR178-IL-P</v>
          </cell>
          <cell r="E173">
            <v>898</v>
          </cell>
          <cell r="F173" t="str">
            <v>mm</v>
          </cell>
          <cell r="G173" t="str">
            <v>Mitsubishi Chemical</v>
          </cell>
        </row>
        <row r="174">
          <cell r="C174" t="str">
            <v>YR174-IA-7A</v>
          </cell>
          <cell r="D174" t="str">
            <v>YR174-IA-7</v>
          </cell>
          <cell r="E174">
            <v>968</v>
          </cell>
          <cell r="F174" t="str">
            <v>mm</v>
          </cell>
          <cell r="G174" t="str">
            <v>Mitsubishi Chemical</v>
          </cell>
        </row>
        <row r="175">
          <cell r="C175" t="str">
            <v>YR174-IA-SA</v>
          </cell>
          <cell r="D175" t="str">
            <v>YR174-IA-S</v>
          </cell>
          <cell r="E175">
            <v>899</v>
          </cell>
          <cell r="F175" t="str">
            <v>mm</v>
          </cell>
          <cell r="G175" t="str">
            <v>Mitsubishi Chemical</v>
          </cell>
        </row>
        <row r="176">
          <cell r="C176" t="str">
            <v>YR174-ILA7A</v>
          </cell>
          <cell r="D176" t="str">
            <v>YR174-ILA7</v>
          </cell>
          <cell r="E176">
            <v>962</v>
          </cell>
          <cell r="F176" t="str">
            <v>mm</v>
          </cell>
          <cell r="G176" t="str">
            <v>Mitsubishi Chemical</v>
          </cell>
        </row>
        <row r="177">
          <cell r="C177" t="str">
            <v>YR174-ILAAA</v>
          </cell>
          <cell r="D177" t="str">
            <v>YR174-ILAA</v>
          </cell>
          <cell r="E177">
            <v>905</v>
          </cell>
          <cell r="F177" t="str">
            <v>mm</v>
          </cell>
          <cell r="G177" t="str">
            <v>Mitsubishi Chemical</v>
          </cell>
        </row>
        <row r="178">
          <cell r="C178" t="str">
            <v>YR174-ILAPA</v>
          </cell>
          <cell r="D178" t="str">
            <v>YR174-ILAP</v>
          </cell>
          <cell r="E178">
            <v>924</v>
          </cell>
          <cell r="F178" t="str">
            <v>mm</v>
          </cell>
          <cell r="G178" t="str">
            <v>Mitsubishi Chemical</v>
          </cell>
        </row>
        <row r="179">
          <cell r="C179" t="str">
            <v>YR174-IS-7A</v>
          </cell>
          <cell r="D179" t="str">
            <v>YR174-IS-7</v>
          </cell>
          <cell r="E179">
            <v>968</v>
          </cell>
          <cell r="F179" t="str">
            <v>mm</v>
          </cell>
          <cell r="G179" t="str">
            <v>Mitsubishi Chemical</v>
          </cell>
        </row>
        <row r="180">
          <cell r="C180" t="str">
            <v>YR174-IS-SA</v>
          </cell>
          <cell r="D180" t="str">
            <v>YR174-IS-S</v>
          </cell>
          <cell r="E180">
            <v>899</v>
          </cell>
          <cell r="F180" t="str">
            <v>mm</v>
          </cell>
          <cell r="G180" t="str">
            <v>Mitsubishi Chemical</v>
          </cell>
        </row>
        <row r="181">
          <cell r="C181" t="str">
            <v>YR176-WL-3A</v>
          </cell>
          <cell r="D181" t="str">
            <v>YR176-WL-3</v>
          </cell>
          <cell r="E181">
            <v>1075</v>
          </cell>
          <cell r="F181" t="str">
            <v>mm</v>
          </cell>
          <cell r="G181" t="str">
            <v>Mitsubishi Chemical</v>
          </cell>
        </row>
        <row r="182">
          <cell r="C182" t="str">
            <v>YR178-IL-8A</v>
          </cell>
          <cell r="D182" t="str">
            <v>YR178-IL-8</v>
          </cell>
          <cell r="E182">
            <v>924</v>
          </cell>
          <cell r="F182" t="str">
            <v>mm</v>
          </cell>
          <cell r="G182" t="str">
            <v>Mitsubishi Chemical</v>
          </cell>
        </row>
        <row r="183">
          <cell r="C183" t="str">
            <v>YR178-IL-9A</v>
          </cell>
          <cell r="D183" t="str">
            <v>YR178-IL-9</v>
          </cell>
          <cell r="E183">
            <v>911</v>
          </cell>
          <cell r="F183" t="str">
            <v>mm</v>
          </cell>
          <cell r="G183" t="str">
            <v>Mitsubishi Chemical</v>
          </cell>
        </row>
        <row r="184">
          <cell r="C184" t="str">
            <v>YR178-IL-AA</v>
          </cell>
          <cell r="D184" t="str">
            <v>YR178-IL-A</v>
          </cell>
          <cell r="E184">
            <v>879</v>
          </cell>
          <cell r="F184" t="str">
            <v>mm</v>
          </cell>
          <cell r="G184" t="str">
            <v>Mitsubishi Chemical</v>
          </cell>
        </row>
        <row r="185">
          <cell r="C185" t="str">
            <v>YR178-IL-SA</v>
          </cell>
          <cell r="D185" t="str">
            <v>YR178-IL-S</v>
          </cell>
          <cell r="E185">
            <v>866</v>
          </cell>
          <cell r="F185" t="str">
            <v>mm</v>
          </cell>
          <cell r="G185" t="str">
            <v>Mitsubishi Chemical</v>
          </cell>
        </row>
        <row r="186">
          <cell r="C186" t="str">
            <v>YR177-UL-1A</v>
          </cell>
          <cell r="D186" t="str">
            <v>YR177-UL-1</v>
          </cell>
          <cell r="E186">
            <v>1008</v>
          </cell>
          <cell r="F186" t="str">
            <v>mm</v>
          </cell>
          <cell r="G186" t="str">
            <v>Mitsubishi Chemical</v>
          </cell>
        </row>
        <row r="187">
          <cell r="C187" t="str">
            <v>YR178-IL-7A</v>
          </cell>
          <cell r="D187" t="str">
            <v>YR178-IL-7</v>
          </cell>
          <cell r="E187">
            <v>936</v>
          </cell>
          <cell r="F187" t="str">
            <v>mm</v>
          </cell>
          <cell r="G187" t="str">
            <v>Mitsubishi Chemical</v>
          </cell>
        </row>
        <row r="188">
          <cell r="C188" t="str">
            <v>YR172-WR-3A</v>
          </cell>
          <cell r="D188" t="str">
            <v>YR172-WR-3</v>
          </cell>
          <cell r="E188">
            <v>1101</v>
          </cell>
          <cell r="F188" t="str">
            <v>mm</v>
          </cell>
          <cell r="G188" t="str">
            <v>Mitsubishi Chemical</v>
          </cell>
        </row>
        <row r="189">
          <cell r="C189" t="str">
            <v>YR172-WS-3A</v>
          </cell>
          <cell r="D189" t="str">
            <v>YR172-WS-3</v>
          </cell>
          <cell r="E189">
            <v>1101</v>
          </cell>
          <cell r="F189" t="str">
            <v>mm</v>
          </cell>
          <cell r="G189" t="str">
            <v>Mitsubishi Chemical</v>
          </cell>
        </row>
        <row r="190">
          <cell r="C190" t="str">
            <v>MX891-WS-1AO</v>
          </cell>
          <cell r="D190" t="str">
            <v>MX891-WS-1</v>
          </cell>
          <cell r="E190">
            <v>1168</v>
          </cell>
          <cell r="F190" t="str">
            <v>mm</v>
          </cell>
          <cell r="G190" t="str">
            <v>Mitsubishi Chemical</v>
          </cell>
        </row>
        <row r="191">
          <cell r="C191" t="str">
            <v>MX933-IX-1AO</v>
          </cell>
          <cell r="D191" t="str">
            <v>MX933-IX-1</v>
          </cell>
          <cell r="E191">
            <v>1067</v>
          </cell>
          <cell r="F191" t="str">
            <v>mm</v>
          </cell>
          <cell r="G191" t="str">
            <v>Mitsubishi Chemical</v>
          </cell>
        </row>
        <row r="192">
          <cell r="C192" t="str">
            <v>SF283-WS-1B</v>
          </cell>
          <cell r="D192" t="str">
            <v>SF283-WS-1</v>
          </cell>
          <cell r="E192">
            <v>1130</v>
          </cell>
          <cell r="F192" t="str">
            <v>mm</v>
          </cell>
          <cell r="G192" t="str">
            <v>Mitsubishi Chemical</v>
          </cell>
        </row>
        <row r="193">
          <cell r="C193" t="str">
            <v>XG011-WR-1B</v>
          </cell>
          <cell r="D193" t="str">
            <v>XG011-WR-1</v>
          </cell>
          <cell r="E193">
            <v>1168</v>
          </cell>
          <cell r="F193" t="str">
            <v>mm</v>
          </cell>
          <cell r="G193" t="str">
            <v>Mitsubishi Chemical</v>
          </cell>
        </row>
        <row r="194">
          <cell r="C194" t="str">
            <v>SF267-ITX3A</v>
          </cell>
          <cell r="D194" t="str">
            <v>SF267-ITX3</v>
          </cell>
          <cell r="E194">
            <v>991</v>
          </cell>
          <cell r="F194" t="str">
            <v>mm</v>
          </cell>
          <cell r="G194" t="str">
            <v>Mitsubishi Chemical</v>
          </cell>
        </row>
        <row r="195">
          <cell r="C195" t="str">
            <v>MX944-IR-5A</v>
          </cell>
          <cell r="D195" t="str">
            <v>MX944-IR-5</v>
          </cell>
          <cell r="E195">
            <v>979</v>
          </cell>
          <cell r="F195" t="str">
            <v>mm</v>
          </cell>
          <cell r="G195" t="str">
            <v>Mitsubishi Chemical</v>
          </cell>
        </row>
        <row r="196">
          <cell r="C196" t="str">
            <v>MX944-IR-6A</v>
          </cell>
          <cell r="D196" t="str">
            <v>MX944-IR-6</v>
          </cell>
          <cell r="E196">
            <v>966</v>
          </cell>
          <cell r="F196" t="str">
            <v>mm</v>
          </cell>
          <cell r="G196" t="str">
            <v>Mitsubishi Chemical</v>
          </cell>
        </row>
        <row r="197">
          <cell r="C197" t="str">
            <v>MX944-IR-7A</v>
          </cell>
          <cell r="D197" t="str">
            <v>MX944-IR-7</v>
          </cell>
          <cell r="E197">
            <v>953</v>
          </cell>
          <cell r="F197" t="str">
            <v>mm</v>
          </cell>
          <cell r="G197" t="str">
            <v>Mitsubishi Chemical</v>
          </cell>
        </row>
        <row r="198">
          <cell r="C198" t="str">
            <v>MX944-IS-4A</v>
          </cell>
          <cell r="D198" t="str">
            <v>MX944-IS-4</v>
          </cell>
          <cell r="E198">
            <v>994</v>
          </cell>
          <cell r="F198" t="str">
            <v>mm</v>
          </cell>
          <cell r="G198" t="str">
            <v>Mitsubishi Chemical</v>
          </cell>
        </row>
        <row r="199">
          <cell r="C199" t="str">
            <v>CB049-WR-1C</v>
          </cell>
          <cell r="D199" t="str">
            <v>CB049-WR-1</v>
          </cell>
          <cell r="E199">
            <v>1168</v>
          </cell>
          <cell r="F199" t="str">
            <v>mm</v>
          </cell>
          <cell r="G199" t="str">
            <v>Mitsubishi Chemical</v>
          </cell>
        </row>
        <row r="200">
          <cell r="C200" t="str">
            <v>CB049-WS-1C</v>
          </cell>
          <cell r="D200" t="str">
            <v>CB049-WS-1</v>
          </cell>
          <cell r="E200">
            <v>1168</v>
          </cell>
          <cell r="F200" t="str">
            <v>mm</v>
          </cell>
          <cell r="G200" t="str">
            <v>Mitsubishi Chemical</v>
          </cell>
        </row>
        <row r="201">
          <cell r="C201" t="str">
            <v>CB049-WX-1C</v>
          </cell>
          <cell r="D201" t="str">
            <v>CB049-WX-1</v>
          </cell>
          <cell r="E201">
            <v>1168</v>
          </cell>
          <cell r="F201" t="str">
            <v>mm</v>
          </cell>
          <cell r="G201" t="str">
            <v>Mitsubishi Chemical</v>
          </cell>
        </row>
        <row r="202">
          <cell r="C202" t="str">
            <v>PG064-IS-1A</v>
          </cell>
          <cell r="D202" t="str">
            <v>PG064-IS-1</v>
          </cell>
          <cell r="E202">
            <v>1067</v>
          </cell>
          <cell r="F202" t="str">
            <v>mm</v>
          </cell>
          <cell r="G202" t="str">
            <v>Mitsubishi Chemical</v>
          </cell>
        </row>
        <row r="203">
          <cell r="C203" t="str">
            <v>PG064-IX-1A</v>
          </cell>
          <cell r="D203" t="str">
            <v>PG064-IX-1</v>
          </cell>
          <cell r="E203">
            <v>1067</v>
          </cell>
          <cell r="F203" t="str">
            <v>mm</v>
          </cell>
          <cell r="G203" t="str">
            <v>Mitsubishi Chemical</v>
          </cell>
        </row>
        <row r="204">
          <cell r="C204" t="str">
            <v>MX759-WS-1BO</v>
          </cell>
          <cell r="D204" t="str">
            <v>MX759-WS-1</v>
          </cell>
          <cell r="E204">
            <v>1168</v>
          </cell>
          <cell r="F204" t="str">
            <v>mm</v>
          </cell>
          <cell r="G204" t="str">
            <v>Mitsubishi Chemical</v>
          </cell>
        </row>
        <row r="205">
          <cell r="C205" t="str">
            <v>MX760-WS-1BO</v>
          </cell>
          <cell r="D205" t="str">
            <v>MX760-WS-1</v>
          </cell>
          <cell r="E205">
            <v>1168</v>
          </cell>
          <cell r="F205" t="str">
            <v>mm</v>
          </cell>
          <cell r="G205" t="str">
            <v>Mitsubishi Chemical</v>
          </cell>
        </row>
        <row r="206">
          <cell r="C206" t="str">
            <v>MX760-WX-1BO</v>
          </cell>
          <cell r="D206" t="str">
            <v>MX760-WX-1</v>
          </cell>
          <cell r="E206">
            <v>1168</v>
          </cell>
          <cell r="F206" t="str">
            <v>mm</v>
          </cell>
          <cell r="G206" t="str">
            <v>Mitsubishi Chemical</v>
          </cell>
        </row>
        <row r="207">
          <cell r="C207" t="str">
            <v>MX726-IS-7A</v>
          </cell>
          <cell r="D207" t="str">
            <v>MX726-IS-7</v>
          </cell>
          <cell r="E207">
            <v>940</v>
          </cell>
          <cell r="F207" t="str">
            <v>mm</v>
          </cell>
          <cell r="G207" t="str">
            <v>Mitsubishi Chemical</v>
          </cell>
        </row>
        <row r="208">
          <cell r="C208" t="str">
            <v>MX890-WTX1A</v>
          </cell>
          <cell r="D208" t="str">
            <v>MX890-WTX1</v>
          </cell>
          <cell r="E208">
            <v>1168</v>
          </cell>
          <cell r="F208" t="str">
            <v>mm</v>
          </cell>
          <cell r="G208" t="str">
            <v>Mitsubishi Chemical</v>
          </cell>
        </row>
        <row r="209">
          <cell r="C209" t="str">
            <v>MX891-WTX1A</v>
          </cell>
          <cell r="D209" t="str">
            <v>MX891-WTX1</v>
          </cell>
          <cell r="E209">
            <v>1168</v>
          </cell>
          <cell r="F209" t="str">
            <v>mm</v>
          </cell>
          <cell r="G209" t="str">
            <v>Mitsubishi Chemical</v>
          </cell>
        </row>
        <row r="210">
          <cell r="C210" t="str">
            <v>CB041-WS-1A</v>
          </cell>
          <cell r="D210" t="str">
            <v>CB041-WS-1</v>
          </cell>
          <cell r="E210">
            <v>1168</v>
          </cell>
          <cell r="F210" t="str">
            <v>mm</v>
          </cell>
          <cell r="G210" t="str">
            <v>Mitsubishi Chemical</v>
          </cell>
        </row>
        <row r="211">
          <cell r="C211" t="str">
            <v>CW161-WS-1AY</v>
          </cell>
          <cell r="D211" t="str">
            <v>CW161-WS-1</v>
          </cell>
          <cell r="E211">
            <v>1169</v>
          </cell>
          <cell r="F211" t="str">
            <v>mm</v>
          </cell>
          <cell r="G211" t="str">
            <v>Mitsubishi Chemical</v>
          </cell>
        </row>
        <row r="212">
          <cell r="C212" t="str">
            <v>CW162-WS-1AY</v>
          </cell>
          <cell r="D212" t="str">
            <v>CW162-WS-1</v>
          </cell>
          <cell r="E212">
            <v>1169</v>
          </cell>
          <cell r="F212" t="str">
            <v>mm</v>
          </cell>
          <cell r="G212" t="str">
            <v>Mitsubishi Chemical</v>
          </cell>
        </row>
        <row r="213">
          <cell r="C213" t="str">
            <v>CW162-WX-1AY</v>
          </cell>
          <cell r="D213" t="str">
            <v>CW162-WX-1</v>
          </cell>
          <cell r="E213">
            <v>1169</v>
          </cell>
          <cell r="F213" t="str">
            <v>mm</v>
          </cell>
          <cell r="G213" t="str">
            <v>Mitsubishi Chemical</v>
          </cell>
        </row>
        <row r="214">
          <cell r="C214" t="str">
            <v>SF245-WS-1K</v>
          </cell>
          <cell r="D214" t="str">
            <v>SF245-WS-1</v>
          </cell>
          <cell r="E214">
            <v>1143</v>
          </cell>
          <cell r="F214" t="str">
            <v>mm</v>
          </cell>
          <cell r="G214" t="str">
            <v>Mitsubishi Chemical</v>
          </cell>
        </row>
        <row r="215">
          <cell r="C215" t="str">
            <v>AU225-WTX1A</v>
          </cell>
          <cell r="D215" t="str">
            <v>AU225-WTX1</v>
          </cell>
          <cell r="E215">
            <v>1168</v>
          </cell>
          <cell r="F215" t="str">
            <v>mm</v>
          </cell>
          <cell r="G215" t="str">
            <v>Mitsubishi Chemical</v>
          </cell>
        </row>
        <row r="216">
          <cell r="C216" t="str">
            <v>AU206-WTX1A</v>
          </cell>
          <cell r="D216" t="str">
            <v>AU206-WTX1</v>
          </cell>
          <cell r="E216">
            <v>1168</v>
          </cell>
          <cell r="F216" t="str">
            <v>mm</v>
          </cell>
          <cell r="G216" t="str">
            <v>Mitsubishi Chemical</v>
          </cell>
        </row>
        <row r="217">
          <cell r="C217" t="str">
            <v>CW128-WX-1B</v>
          </cell>
          <cell r="D217" t="str">
            <v>CW128-WX-1</v>
          </cell>
          <cell r="E217">
            <v>1169</v>
          </cell>
          <cell r="F217" t="str">
            <v>mm</v>
          </cell>
          <cell r="G217" t="str">
            <v>Mitsubishi Chemical</v>
          </cell>
        </row>
        <row r="218">
          <cell r="C218" t="str">
            <v>CW150-WA-1A</v>
          </cell>
          <cell r="D218" t="str">
            <v>CW150-WA-1</v>
          </cell>
          <cell r="E218">
            <v>1169</v>
          </cell>
          <cell r="F218" t="str">
            <v>mm</v>
          </cell>
          <cell r="G218" t="str">
            <v>Mitsubishi Chemical</v>
          </cell>
        </row>
        <row r="219">
          <cell r="C219" t="str">
            <v>CW150-WW-1A</v>
          </cell>
          <cell r="D219" t="str">
            <v>CW150-WW-1</v>
          </cell>
          <cell r="E219">
            <v>1169</v>
          </cell>
          <cell r="F219" t="str">
            <v>mm</v>
          </cell>
          <cell r="G219" t="str">
            <v>Mitsubishi Chemical</v>
          </cell>
        </row>
        <row r="220">
          <cell r="C220" t="str">
            <v>CW150-WS-1A</v>
          </cell>
          <cell r="D220" t="str">
            <v>CW150-WS-1</v>
          </cell>
          <cell r="E220">
            <v>1169</v>
          </cell>
          <cell r="F220" t="str">
            <v>mm</v>
          </cell>
          <cell r="G220" t="str">
            <v>Mitsubishi Chemical</v>
          </cell>
        </row>
        <row r="221">
          <cell r="C221" t="str">
            <v>CW157-IR-2A</v>
          </cell>
          <cell r="D221" t="str">
            <v>CW157-IR-2</v>
          </cell>
          <cell r="E221">
            <v>1030</v>
          </cell>
          <cell r="F221" t="str">
            <v>mm</v>
          </cell>
          <cell r="G221" t="str">
            <v>Mitsubishi Chemical</v>
          </cell>
        </row>
        <row r="222">
          <cell r="C222" t="str">
            <v>CW157-IS-2A</v>
          </cell>
          <cell r="D222" t="str">
            <v>CW157-IS-2</v>
          </cell>
          <cell r="E222">
            <v>1030</v>
          </cell>
          <cell r="F222" t="str">
            <v>mm</v>
          </cell>
          <cell r="G222" t="str">
            <v>Mitsubishi Chemical</v>
          </cell>
        </row>
        <row r="223">
          <cell r="C223" t="str">
            <v>SP414-IS-3A</v>
          </cell>
          <cell r="D223" t="str">
            <v>SP414-IS-3</v>
          </cell>
          <cell r="E223">
            <v>990</v>
          </cell>
          <cell r="F223" t="str">
            <v>mm</v>
          </cell>
          <cell r="G223" t="str">
            <v>Mitsubishi Chemical</v>
          </cell>
        </row>
        <row r="224">
          <cell r="C224" t="str">
            <v>SP397-US-1B</v>
          </cell>
          <cell r="D224" t="str">
            <v>SP397-US-1</v>
          </cell>
          <cell r="E224">
            <v>1040</v>
          </cell>
          <cell r="F224" t="str">
            <v>mm</v>
          </cell>
          <cell r="G224" t="str">
            <v>Mitsubishi Chemical</v>
          </cell>
        </row>
        <row r="225">
          <cell r="C225" t="str">
            <v>SP397-WR-1B</v>
          </cell>
          <cell r="D225" t="str">
            <v>SP397-WR-1</v>
          </cell>
          <cell r="E225">
            <v>1170</v>
          </cell>
          <cell r="F225" t="str">
            <v>mm</v>
          </cell>
          <cell r="G225" t="str">
            <v>Mitsubishi Chemical</v>
          </cell>
        </row>
        <row r="226">
          <cell r="C226" t="str">
            <v>SP397-WS-1B</v>
          </cell>
          <cell r="D226" t="str">
            <v>SP397-WS-1</v>
          </cell>
          <cell r="E226">
            <v>1170</v>
          </cell>
          <cell r="F226" t="str">
            <v>mm</v>
          </cell>
          <cell r="G226" t="str">
            <v>Mitsubishi Chemical</v>
          </cell>
        </row>
        <row r="227">
          <cell r="C227" t="str">
            <v>SP397-IR-3B</v>
          </cell>
          <cell r="D227" t="str">
            <v>SP397-IR-3</v>
          </cell>
          <cell r="E227">
            <v>990</v>
          </cell>
          <cell r="F227" t="str">
            <v>mm</v>
          </cell>
          <cell r="G227" t="str">
            <v>Mitsubishi Chemical</v>
          </cell>
        </row>
        <row r="228">
          <cell r="C228" t="str">
            <v>SP397-UR-1B</v>
          </cell>
          <cell r="D228" t="str">
            <v>SP397-UR-1</v>
          </cell>
          <cell r="E228">
            <v>1040</v>
          </cell>
          <cell r="F228" t="str">
            <v>mm</v>
          </cell>
          <cell r="G228" t="str">
            <v>Mitsubishi Chemical</v>
          </cell>
        </row>
        <row r="229">
          <cell r="C229" t="str">
            <v>HI007-IX-3C</v>
          </cell>
          <cell r="D229" t="str">
            <v>HI007-IX-3</v>
          </cell>
          <cell r="E229">
            <v>1016</v>
          </cell>
          <cell r="F229" t="str">
            <v>mm</v>
          </cell>
          <cell r="G229" t="str">
            <v>Mitsubishi Chemical</v>
          </cell>
        </row>
        <row r="230">
          <cell r="C230" t="str">
            <v>HI007-IX-3F</v>
          </cell>
          <cell r="D230" t="str">
            <v>HI007-IX-3</v>
          </cell>
          <cell r="E230">
            <v>1016</v>
          </cell>
          <cell r="F230" t="str">
            <v>mm</v>
          </cell>
          <cell r="G230" t="str">
            <v>Mitsubishi Chemical</v>
          </cell>
        </row>
        <row r="231">
          <cell r="C231" t="str">
            <v>AU228-IS-6</v>
          </cell>
          <cell r="D231" t="str">
            <v>AU228-IS-6</v>
          </cell>
          <cell r="E231">
            <v>978</v>
          </cell>
          <cell r="F231" t="str">
            <v>mm</v>
          </cell>
          <cell r="G231" t="str">
            <v>Mitsubishi Chemical</v>
          </cell>
        </row>
        <row r="232">
          <cell r="C232" t="str">
            <v>AU228-IS-7</v>
          </cell>
          <cell r="D232" t="str">
            <v>AU228-IS-7</v>
          </cell>
          <cell r="E232">
            <v>965</v>
          </cell>
          <cell r="F232" t="str">
            <v>mm</v>
          </cell>
          <cell r="G232" t="str">
            <v>Mitsubishi Chemical</v>
          </cell>
        </row>
        <row r="233">
          <cell r="C233" t="str">
            <v>AU228-IS-8</v>
          </cell>
          <cell r="D233" t="str">
            <v>AU228-IS-8</v>
          </cell>
          <cell r="E233">
            <v>953</v>
          </cell>
          <cell r="F233" t="str">
            <v>mm</v>
          </cell>
          <cell r="G233" t="str">
            <v>Mitsubishi Chemical</v>
          </cell>
        </row>
        <row r="234">
          <cell r="C234" t="str">
            <v>AU228-IS-9</v>
          </cell>
          <cell r="D234" t="str">
            <v>AU228-IS-9</v>
          </cell>
          <cell r="E234">
            <v>940</v>
          </cell>
          <cell r="F234" t="str">
            <v>mm</v>
          </cell>
          <cell r="G234" t="str">
            <v>Mitsubishi Chemical</v>
          </cell>
        </row>
        <row r="235">
          <cell r="C235" t="str">
            <v>AU228-IS-P</v>
          </cell>
          <cell r="D235" t="str">
            <v>AU228-IS-P</v>
          </cell>
          <cell r="E235">
            <v>927</v>
          </cell>
          <cell r="F235" t="str">
            <v>mm</v>
          </cell>
          <cell r="G235" t="str">
            <v>Mitsubishi Chemical</v>
          </cell>
        </row>
        <row r="236">
          <cell r="C236" t="str">
            <v>SF267-IS-5A</v>
          </cell>
          <cell r="D236" t="str">
            <v>SF267-IS-5</v>
          </cell>
          <cell r="E236">
            <v>965</v>
          </cell>
          <cell r="F236" t="str">
            <v>mm</v>
          </cell>
          <cell r="G236" t="str">
            <v>Mitsubishi Chemical</v>
          </cell>
        </row>
        <row r="237">
          <cell r="C237" t="str">
            <v>SF267-IS-6A</v>
          </cell>
          <cell r="D237" t="str">
            <v>SF267-IS-6</v>
          </cell>
          <cell r="E237">
            <v>953</v>
          </cell>
          <cell r="F237" t="str">
            <v>mm</v>
          </cell>
          <cell r="G237" t="str">
            <v>Mitsubishi Chemical</v>
          </cell>
        </row>
        <row r="238">
          <cell r="C238" t="str">
            <v>SF267-IS-8A</v>
          </cell>
          <cell r="D238" t="str">
            <v>SF267-IS-8</v>
          </cell>
          <cell r="E238">
            <v>927</v>
          </cell>
          <cell r="F238" t="str">
            <v>mm</v>
          </cell>
          <cell r="G238" t="str">
            <v>Mitsubishi Chemical</v>
          </cell>
        </row>
        <row r="239">
          <cell r="C239" t="str">
            <v>SF267-IS-9A</v>
          </cell>
          <cell r="D239" t="str">
            <v>SF267-IS-9</v>
          </cell>
          <cell r="E239">
            <v>914</v>
          </cell>
          <cell r="F239" t="str">
            <v>mm</v>
          </cell>
          <cell r="G239" t="str">
            <v>Mitsubishi Chemical</v>
          </cell>
        </row>
        <row r="240">
          <cell r="C240" t="str">
            <v>SF267-IS-PA</v>
          </cell>
          <cell r="D240" t="str">
            <v>SF267-IS-P</v>
          </cell>
          <cell r="E240">
            <v>902</v>
          </cell>
          <cell r="F240" t="str">
            <v>mm</v>
          </cell>
          <cell r="G240" t="str">
            <v>Mitsubishi Chemical</v>
          </cell>
        </row>
        <row r="241">
          <cell r="C241" t="str">
            <v>SF303-WS-1A</v>
          </cell>
          <cell r="D241" t="str">
            <v>SF303-WS-1</v>
          </cell>
          <cell r="E241">
            <v>1168</v>
          </cell>
          <cell r="F241" t="str">
            <v>mm</v>
          </cell>
          <cell r="G241" t="str">
            <v>Mitsubishi Chemical</v>
          </cell>
        </row>
        <row r="242">
          <cell r="C242" t="str">
            <v>CW155-IRA2C</v>
          </cell>
          <cell r="D242" t="str">
            <v>CW155-IRA2</v>
          </cell>
          <cell r="E242">
            <v>1030</v>
          </cell>
          <cell r="F242" t="str">
            <v>mm</v>
          </cell>
          <cell r="G242" t="str">
            <v>Mitsubishi Chemical</v>
          </cell>
        </row>
        <row r="243">
          <cell r="C243" t="str">
            <v>MX982-WX-1A</v>
          </cell>
          <cell r="D243" t="str">
            <v>MX982-WX-1</v>
          </cell>
          <cell r="E243">
            <v>1168</v>
          </cell>
          <cell r="F243" t="str">
            <v>mm</v>
          </cell>
          <cell r="G243" t="str">
            <v>Mitsubishi Chemical</v>
          </cell>
        </row>
        <row r="244">
          <cell r="C244" t="str">
            <v>PG056-WS-1A</v>
          </cell>
          <cell r="D244" t="str">
            <v>PG056-WS-1</v>
          </cell>
          <cell r="E244">
            <v>1168</v>
          </cell>
          <cell r="F244" t="str">
            <v>mm</v>
          </cell>
          <cell r="G244" t="str">
            <v>Mitsubishi Chemical</v>
          </cell>
        </row>
        <row r="245">
          <cell r="C245" t="str">
            <v>PG056-WX-1A</v>
          </cell>
          <cell r="D245" t="str">
            <v>PG056-WX-1</v>
          </cell>
          <cell r="E245">
            <v>1168</v>
          </cell>
          <cell r="F245" t="str">
            <v>mm</v>
          </cell>
          <cell r="G245" t="str">
            <v>Mitsubishi Chemical</v>
          </cell>
        </row>
        <row r="246">
          <cell r="C246" t="str">
            <v>AX140-IR-3AB</v>
          </cell>
          <cell r="D246" t="str">
            <v>AX140-IR-3</v>
          </cell>
          <cell r="E246">
            <v>1016</v>
          </cell>
          <cell r="F246" t="str">
            <v>mm</v>
          </cell>
          <cell r="G246" t="str">
            <v>Aldila</v>
          </cell>
        </row>
        <row r="247">
          <cell r="C247" t="str">
            <v>AX186-WA-1AA</v>
          </cell>
          <cell r="D247" t="str">
            <v>AX186-WA-1</v>
          </cell>
          <cell r="E247">
            <v>1168</v>
          </cell>
          <cell r="F247" t="str">
            <v>mm</v>
          </cell>
          <cell r="G247" t="str">
            <v>Aldila</v>
          </cell>
        </row>
        <row r="248">
          <cell r="C248" t="str">
            <v>MX681-ITXPA</v>
          </cell>
          <cell r="D248" t="str">
            <v>MX681-ITXP</v>
          </cell>
          <cell r="E248">
            <v>902</v>
          </cell>
          <cell r="F248" t="str">
            <v>mm</v>
          </cell>
          <cell r="G248" t="str">
            <v>Mitsubishi Chemical</v>
          </cell>
        </row>
        <row r="249">
          <cell r="C249" t="str">
            <v>MX721-ITX4A</v>
          </cell>
          <cell r="D249" t="str">
            <v>MX721-ITX4</v>
          </cell>
          <cell r="E249">
            <v>978</v>
          </cell>
          <cell r="F249" t="str">
            <v>mm</v>
          </cell>
          <cell r="G249" t="str">
            <v>Mitsubishi Chemical</v>
          </cell>
        </row>
        <row r="250">
          <cell r="C250" t="str">
            <v>MX721-ITX7A</v>
          </cell>
          <cell r="D250" t="str">
            <v>MX721-ITX7</v>
          </cell>
          <cell r="E250">
            <v>940</v>
          </cell>
          <cell r="F250" t="str">
            <v>mm</v>
          </cell>
          <cell r="G250" t="str">
            <v>Mitsubishi Chemical</v>
          </cell>
        </row>
        <row r="251">
          <cell r="C251" t="str">
            <v>MX726-IR-7A</v>
          </cell>
          <cell r="D251" t="str">
            <v>MX726-IR-7</v>
          </cell>
          <cell r="E251">
            <v>940</v>
          </cell>
          <cell r="F251" t="str">
            <v>mm</v>
          </cell>
          <cell r="G251" t="str">
            <v>Mitsubishi Chemical</v>
          </cell>
        </row>
        <row r="252">
          <cell r="C252" t="str">
            <v>MX728-IA-9A</v>
          </cell>
          <cell r="D252" t="str">
            <v>MX728-IA-9</v>
          </cell>
          <cell r="E252">
            <v>940</v>
          </cell>
          <cell r="F252" t="str">
            <v>mm</v>
          </cell>
          <cell r="G252" t="str">
            <v>Mitsubishi Chemical</v>
          </cell>
        </row>
        <row r="253">
          <cell r="C253" t="str">
            <v>MX889-WS-1A</v>
          </cell>
          <cell r="D253" t="str">
            <v>MX889-WS-1</v>
          </cell>
          <cell r="E253">
            <v>1168</v>
          </cell>
          <cell r="F253" t="str">
            <v>mm</v>
          </cell>
          <cell r="G253" t="str">
            <v>Mitsubishi Chemical</v>
          </cell>
        </row>
        <row r="254">
          <cell r="C254" t="str">
            <v>MX889-WTX1A</v>
          </cell>
          <cell r="D254" t="str">
            <v>MX889-WTX1</v>
          </cell>
          <cell r="E254">
            <v>1168</v>
          </cell>
          <cell r="F254" t="str">
            <v>mm</v>
          </cell>
          <cell r="G254" t="str">
            <v>Mitsubishi Chemical</v>
          </cell>
        </row>
        <row r="255">
          <cell r="C255" t="str">
            <v>MX728-IA-PA</v>
          </cell>
          <cell r="D255" t="str">
            <v>MX728-IA-P</v>
          </cell>
          <cell r="E255">
            <v>927</v>
          </cell>
          <cell r="F255" t="str">
            <v>mm</v>
          </cell>
          <cell r="G255" t="str">
            <v>Mitsubishi Chemical</v>
          </cell>
        </row>
        <row r="256">
          <cell r="C256" t="str">
            <v>MX681-IS-SB</v>
          </cell>
          <cell r="D256" t="str">
            <v>MX681-IS-S</v>
          </cell>
          <cell r="E256">
            <v>914</v>
          </cell>
          <cell r="F256" t="str">
            <v>mm</v>
          </cell>
          <cell r="G256" t="str">
            <v>Mitsubishi Chemical</v>
          </cell>
        </row>
        <row r="257">
          <cell r="C257" t="str">
            <v>MX890-WX-1A</v>
          </cell>
          <cell r="D257" t="str">
            <v>MX890-WX-1</v>
          </cell>
          <cell r="E257">
            <v>1168</v>
          </cell>
          <cell r="F257" t="str">
            <v>mm</v>
          </cell>
          <cell r="G257" t="str">
            <v>Mitsubishi Chemical</v>
          </cell>
        </row>
        <row r="258">
          <cell r="C258" t="str">
            <v>MX944-WR-3A</v>
          </cell>
          <cell r="D258" t="str">
            <v>MX944-WR-3</v>
          </cell>
          <cell r="E258">
            <v>1092</v>
          </cell>
          <cell r="F258" t="str">
            <v>mm</v>
          </cell>
          <cell r="G258" t="str">
            <v>Mitsubishi Chemical</v>
          </cell>
        </row>
        <row r="259">
          <cell r="C259" t="str">
            <v>MX991-WS-1A</v>
          </cell>
          <cell r="D259" t="str">
            <v>MX991-WS-1</v>
          </cell>
          <cell r="E259">
            <v>1168</v>
          </cell>
          <cell r="F259" t="str">
            <v>mm</v>
          </cell>
          <cell r="G259" t="str">
            <v>Mitsubishi Chemical</v>
          </cell>
        </row>
        <row r="260">
          <cell r="C260" t="str">
            <v>MX992-WS-1A</v>
          </cell>
          <cell r="D260" t="str">
            <v>MX992-WS-1</v>
          </cell>
          <cell r="E260">
            <v>1168</v>
          </cell>
          <cell r="F260" t="str">
            <v>mm</v>
          </cell>
          <cell r="G260" t="str">
            <v>Mitsubishi Chemical</v>
          </cell>
        </row>
        <row r="261">
          <cell r="C261" t="str">
            <v>MX681-ITX2B</v>
          </cell>
          <cell r="D261" t="str">
            <v>MX681-ITX2</v>
          </cell>
          <cell r="E261">
            <v>1016</v>
          </cell>
          <cell r="F261" t="str">
            <v>mm</v>
          </cell>
          <cell r="G261" t="str">
            <v>Mitsubishi Chemical</v>
          </cell>
        </row>
        <row r="262">
          <cell r="C262" t="str">
            <v>AX193-IL-1AA</v>
          </cell>
          <cell r="D262" t="str">
            <v>AX193-IL-1</v>
          </cell>
          <cell r="E262">
            <v>1067</v>
          </cell>
          <cell r="F262" t="str">
            <v>mm</v>
          </cell>
          <cell r="G262" t="str">
            <v>Aldila</v>
          </cell>
        </row>
        <row r="263">
          <cell r="C263" t="str">
            <v>MX726-IS-3A</v>
          </cell>
          <cell r="D263" t="str">
            <v>MX726-IS-3</v>
          </cell>
          <cell r="E263">
            <v>991</v>
          </cell>
          <cell r="F263" t="str">
            <v>mm</v>
          </cell>
          <cell r="G263" t="str">
            <v>Mitsubishi Chemical</v>
          </cell>
        </row>
        <row r="264">
          <cell r="C264" t="str">
            <v>MX889-WX-1A</v>
          </cell>
          <cell r="D264" t="str">
            <v>MX889-WX-1</v>
          </cell>
          <cell r="E264">
            <v>1168</v>
          </cell>
          <cell r="F264" t="str">
            <v>mm</v>
          </cell>
          <cell r="G264" t="str">
            <v>Mitsubishi Chemical</v>
          </cell>
        </row>
        <row r="265">
          <cell r="C265" t="str">
            <v>MX729-IR-PA</v>
          </cell>
          <cell r="D265" t="str">
            <v>MX729-IR-P</v>
          </cell>
          <cell r="E265">
            <v>927</v>
          </cell>
          <cell r="F265" t="str">
            <v>mm</v>
          </cell>
          <cell r="G265" t="str">
            <v>Mitsubishi Chemical</v>
          </cell>
        </row>
        <row r="266">
          <cell r="C266" t="str">
            <v>MX727-IS-1A</v>
          </cell>
          <cell r="D266" t="str">
            <v>MX727-IS-1</v>
          </cell>
          <cell r="E266">
            <v>1067</v>
          </cell>
          <cell r="F266" t="str">
            <v>mm</v>
          </cell>
          <cell r="G266" t="str">
            <v>Mitsubishi Chemical</v>
          </cell>
        </row>
        <row r="267">
          <cell r="C267" t="str">
            <v>MX728-IA-7A</v>
          </cell>
          <cell r="D267" t="str">
            <v>MX728-IA-7</v>
          </cell>
          <cell r="E267">
            <v>965</v>
          </cell>
          <cell r="F267" t="str">
            <v>mm</v>
          </cell>
          <cell r="G267" t="str">
            <v>Mitsubishi Chemical</v>
          </cell>
        </row>
        <row r="268">
          <cell r="C268" t="str">
            <v>MX721-ITX8A</v>
          </cell>
          <cell r="D268" t="str">
            <v>MX721-ITX8</v>
          </cell>
          <cell r="E268">
            <v>927</v>
          </cell>
          <cell r="F268" t="str">
            <v>mm</v>
          </cell>
          <cell r="G268" t="str">
            <v>Mitsubishi Chemical</v>
          </cell>
        </row>
        <row r="269">
          <cell r="C269" t="str">
            <v>MX721-ITX9A</v>
          </cell>
          <cell r="D269" t="str">
            <v>MX721-ITX9</v>
          </cell>
          <cell r="E269">
            <v>914</v>
          </cell>
          <cell r="F269" t="str">
            <v>mm</v>
          </cell>
          <cell r="G269" t="str">
            <v>Mitsubishi Chemical</v>
          </cell>
        </row>
        <row r="270">
          <cell r="C270" t="str">
            <v>MX721-ITXPA</v>
          </cell>
          <cell r="D270" t="str">
            <v>MX721-ITXP</v>
          </cell>
          <cell r="E270">
            <v>902</v>
          </cell>
          <cell r="F270" t="str">
            <v>mm</v>
          </cell>
          <cell r="G270" t="str">
            <v>Mitsubishi Chemical</v>
          </cell>
        </row>
        <row r="271">
          <cell r="C271" t="str">
            <v>MX721-ITXSB</v>
          </cell>
          <cell r="D271" t="str">
            <v>MX721-ITXS</v>
          </cell>
          <cell r="E271">
            <v>914</v>
          </cell>
          <cell r="F271" t="str">
            <v>mm</v>
          </cell>
          <cell r="G271" t="str">
            <v>Mitsubishi Chemical</v>
          </cell>
        </row>
        <row r="272">
          <cell r="C272" t="str">
            <v>MX721-ITX5A</v>
          </cell>
          <cell r="D272" t="str">
            <v>MX721-ITX5</v>
          </cell>
          <cell r="E272">
            <v>965</v>
          </cell>
          <cell r="F272" t="str">
            <v>mm</v>
          </cell>
          <cell r="G272" t="str">
            <v>Mitsubishi Chemical</v>
          </cell>
        </row>
        <row r="273">
          <cell r="C273" t="str">
            <v>MX721-ITX6A</v>
          </cell>
          <cell r="D273" t="str">
            <v>MX721-ITX6</v>
          </cell>
          <cell r="E273">
            <v>953</v>
          </cell>
          <cell r="F273" t="str">
            <v>mm</v>
          </cell>
          <cell r="G273" t="str">
            <v>Mitsubishi Chemical</v>
          </cell>
        </row>
        <row r="274">
          <cell r="C274" t="str">
            <v>MX699-IA-1A</v>
          </cell>
          <cell r="D274" t="str">
            <v>MX699-IA-1</v>
          </cell>
          <cell r="E274">
            <v>1067</v>
          </cell>
          <cell r="F274" t="str">
            <v>mm</v>
          </cell>
          <cell r="G274" t="str">
            <v>Mitsubishi Chemical</v>
          </cell>
        </row>
        <row r="275">
          <cell r="C275" t="str">
            <v>MX699-IR-1A</v>
          </cell>
          <cell r="D275" t="str">
            <v>MX699-IR-1</v>
          </cell>
          <cell r="E275">
            <v>1067</v>
          </cell>
          <cell r="F275" t="str">
            <v>mm</v>
          </cell>
          <cell r="G275" t="str">
            <v>Mitsubishi Chemical</v>
          </cell>
        </row>
        <row r="276">
          <cell r="C276" t="str">
            <v>AX186-WL-1AA</v>
          </cell>
          <cell r="D276" t="str">
            <v>AX186-WL-1</v>
          </cell>
          <cell r="E276">
            <v>1168</v>
          </cell>
          <cell r="F276" t="str">
            <v>mm</v>
          </cell>
          <cell r="G276" t="str">
            <v>Aldila</v>
          </cell>
        </row>
        <row r="277">
          <cell r="C277" t="str">
            <v>MX681-IS-7A</v>
          </cell>
          <cell r="D277" t="str">
            <v>MX681-IS-7</v>
          </cell>
          <cell r="E277">
            <v>940</v>
          </cell>
          <cell r="F277" t="str">
            <v>mm</v>
          </cell>
          <cell r="G277" t="str">
            <v>Mitsubishi Chemical</v>
          </cell>
        </row>
        <row r="278">
          <cell r="C278" t="str">
            <v>AX139-IA-3AB</v>
          </cell>
          <cell r="D278" t="str">
            <v>AX139-IA-3</v>
          </cell>
          <cell r="E278">
            <v>1016</v>
          </cell>
          <cell r="F278" t="str">
            <v>mm</v>
          </cell>
          <cell r="G278" t="str">
            <v>Aldila</v>
          </cell>
        </row>
        <row r="279">
          <cell r="C279" t="str">
            <v>CW173-WL-1A</v>
          </cell>
          <cell r="D279" t="str">
            <v>CW173-WL-1</v>
          </cell>
          <cell r="E279">
            <v>1144</v>
          </cell>
          <cell r="F279" t="str">
            <v>mm</v>
          </cell>
          <cell r="G279" t="str">
            <v>Mitsubishi Chemical</v>
          </cell>
        </row>
        <row r="280">
          <cell r="C280" t="str">
            <v>CW173-IL-2A</v>
          </cell>
          <cell r="D280" t="str">
            <v>CW173-IL-2</v>
          </cell>
          <cell r="E280">
            <v>1004</v>
          </cell>
          <cell r="F280" t="str">
            <v>mm</v>
          </cell>
          <cell r="G280" t="str">
            <v>Mitsubishi Chemical</v>
          </cell>
        </row>
        <row r="281">
          <cell r="C281" t="str">
            <v>CW159-IW-1BY</v>
          </cell>
          <cell r="D281" t="str">
            <v>CW159-IW-1</v>
          </cell>
          <cell r="E281">
            <v>1041</v>
          </cell>
          <cell r="F281" t="str">
            <v>mm</v>
          </cell>
          <cell r="G281" t="str">
            <v>Mitsubishi Chemical</v>
          </cell>
        </row>
        <row r="282">
          <cell r="C282" t="str">
            <v>AX204-WL-1SB</v>
          </cell>
          <cell r="D282" t="str">
            <v>AX204-WL-1</v>
          </cell>
          <cell r="E282">
            <v>1143</v>
          </cell>
          <cell r="F282" t="str">
            <v>mm</v>
          </cell>
          <cell r="G282" t="str">
            <v>Aldila</v>
          </cell>
        </row>
        <row r="283">
          <cell r="C283" t="str">
            <v>AX205-IL-1SB</v>
          </cell>
          <cell r="D283" t="str">
            <v>AX205-IL-1</v>
          </cell>
          <cell r="E283">
            <v>1041</v>
          </cell>
          <cell r="F283" t="str">
            <v>mm</v>
          </cell>
          <cell r="G283" t="str">
            <v>Aldila</v>
          </cell>
        </row>
        <row r="284">
          <cell r="C284" t="str">
            <v>CL044-IR-1B</v>
          </cell>
          <cell r="D284" t="str">
            <v>CL044-IR-1</v>
          </cell>
          <cell r="E284">
            <v>1067</v>
          </cell>
          <cell r="F284" t="str">
            <v>mm</v>
          </cell>
          <cell r="G284" t="str">
            <v>Mitsubishi Chemical</v>
          </cell>
        </row>
        <row r="285">
          <cell r="C285" t="str">
            <v>CL044-IS-1B</v>
          </cell>
          <cell r="D285" t="str">
            <v>CL044-IS-1</v>
          </cell>
          <cell r="E285">
            <v>1067</v>
          </cell>
          <cell r="F285" t="str">
            <v>mm</v>
          </cell>
          <cell r="G285" t="str">
            <v>Mitsubishi Chemical</v>
          </cell>
        </row>
        <row r="286">
          <cell r="C286" t="str">
            <v>CL045-IX-1B</v>
          </cell>
          <cell r="D286" t="str">
            <v>CL045-IX-1</v>
          </cell>
          <cell r="E286">
            <v>1067</v>
          </cell>
          <cell r="F286" t="str">
            <v>mm</v>
          </cell>
          <cell r="G286" t="str">
            <v>Mitsubishi Chemical</v>
          </cell>
        </row>
        <row r="287">
          <cell r="C287" t="str">
            <v>MX759-WR-1BO</v>
          </cell>
          <cell r="D287" t="str">
            <v>MX759-WR-1</v>
          </cell>
          <cell r="E287">
            <v>1168</v>
          </cell>
          <cell r="F287" t="str">
            <v>mm</v>
          </cell>
          <cell r="G287" t="str">
            <v>Mitsubishi Chemical</v>
          </cell>
        </row>
        <row r="288">
          <cell r="C288" t="str">
            <v>MX876-WR-1AO</v>
          </cell>
          <cell r="D288" t="str">
            <v>MX876-WR-1</v>
          </cell>
          <cell r="E288">
            <v>1168</v>
          </cell>
          <cell r="F288" t="str">
            <v>mm</v>
          </cell>
          <cell r="G288" t="str">
            <v>Mitsubishi Chemical</v>
          </cell>
        </row>
        <row r="289">
          <cell r="C289" t="str">
            <v>MX876-WS-1AO</v>
          </cell>
          <cell r="D289" t="str">
            <v>MX876-WS-1</v>
          </cell>
          <cell r="E289">
            <v>1168</v>
          </cell>
          <cell r="F289" t="str">
            <v>mm</v>
          </cell>
          <cell r="G289" t="str">
            <v>Mitsubishi Chemical</v>
          </cell>
        </row>
        <row r="290">
          <cell r="C290" t="str">
            <v>PG056-WR-1A</v>
          </cell>
          <cell r="D290" t="str">
            <v>PG056-WR-1</v>
          </cell>
          <cell r="E290">
            <v>1168</v>
          </cell>
          <cell r="F290" t="str">
            <v>mm</v>
          </cell>
          <cell r="G290" t="str">
            <v>Mitsubishi Chemical</v>
          </cell>
        </row>
        <row r="291">
          <cell r="C291" t="str">
            <v>PG063-WS-1A</v>
          </cell>
          <cell r="D291" t="str">
            <v>PG063-WS-1</v>
          </cell>
          <cell r="E291">
            <v>1168</v>
          </cell>
          <cell r="F291" t="str">
            <v>mm</v>
          </cell>
          <cell r="G291" t="str">
            <v>Mitsubishi Chemical</v>
          </cell>
        </row>
        <row r="292">
          <cell r="C292" t="str">
            <v>AU176-IR-4A</v>
          </cell>
          <cell r="D292" t="str">
            <v>AU176-IR-4</v>
          </cell>
          <cell r="E292">
            <v>1003</v>
          </cell>
          <cell r="F292" t="str">
            <v>mm</v>
          </cell>
          <cell r="G292" t="str">
            <v>Mitsubishi Chemical</v>
          </cell>
        </row>
        <row r="293">
          <cell r="C293" t="str">
            <v>XG011-WS-1B</v>
          </cell>
          <cell r="D293" t="str">
            <v>XG011-WS-1</v>
          </cell>
          <cell r="E293">
            <v>1168</v>
          </cell>
          <cell r="F293" t="str">
            <v>mm</v>
          </cell>
          <cell r="G293" t="str">
            <v>Mitsubishi Chemical</v>
          </cell>
        </row>
        <row r="294">
          <cell r="C294" t="str">
            <v>XG011-WX-1B</v>
          </cell>
          <cell r="D294" t="str">
            <v>XG011-WX-1</v>
          </cell>
          <cell r="E294">
            <v>1168</v>
          </cell>
          <cell r="F294" t="str">
            <v>mm</v>
          </cell>
          <cell r="G294" t="str">
            <v>Mitsubishi Chemical</v>
          </cell>
        </row>
        <row r="295">
          <cell r="C295" t="str">
            <v>MR126-ISR5B</v>
          </cell>
          <cell r="D295" t="str">
            <v>MR126-ISR5</v>
          </cell>
          <cell r="E295">
            <v>1003</v>
          </cell>
          <cell r="F295" t="str">
            <v>mm</v>
          </cell>
          <cell r="G295" t="str">
            <v>Mitsubishi Chemical</v>
          </cell>
        </row>
        <row r="296">
          <cell r="C296" t="str">
            <v>AX181-IR-1PB</v>
          </cell>
          <cell r="D296" t="str">
            <v>AX181-IR-1</v>
          </cell>
          <cell r="E296">
            <v>1016</v>
          </cell>
          <cell r="F296" t="str">
            <v>mm</v>
          </cell>
          <cell r="G296" t="str">
            <v>Aldila</v>
          </cell>
        </row>
        <row r="297">
          <cell r="C297" t="str">
            <v>AX181-IS-1PB</v>
          </cell>
          <cell r="D297" t="str">
            <v>AX181-IS-1</v>
          </cell>
          <cell r="E297">
            <v>1016</v>
          </cell>
          <cell r="F297" t="str">
            <v>mm</v>
          </cell>
          <cell r="G297" t="str">
            <v>Aldila</v>
          </cell>
        </row>
        <row r="298">
          <cell r="C298" t="str">
            <v>AX181-ISR1PB</v>
          </cell>
          <cell r="D298" t="str">
            <v>AX181-ISR1</v>
          </cell>
          <cell r="E298">
            <v>1016</v>
          </cell>
          <cell r="F298" t="str">
            <v>mm</v>
          </cell>
          <cell r="G298" t="str">
            <v>Aldila</v>
          </cell>
        </row>
        <row r="299">
          <cell r="C299" t="str">
            <v>AX184-WR-3PB</v>
          </cell>
          <cell r="D299" t="str">
            <v>AX184-WR-3</v>
          </cell>
          <cell r="E299">
            <v>1105</v>
          </cell>
          <cell r="F299" t="str">
            <v>mm</v>
          </cell>
          <cell r="G299" t="str">
            <v>Aldila</v>
          </cell>
        </row>
        <row r="300">
          <cell r="C300" t="str">
            <v>AX184-WS-3PB</v>
          </cell>
          <cell r="D300" t="str">
            <v>AX184-WS-3</v>
          </cell>
          <cell r="E300">
            <v>1105</v>
          </cell>
          <cell r="F300" t="str">
            <v>mm</v>
          </cell>
          <cell r="G300" t="str">
            <v>Aldila</v>
          </cell>
        </row>
        <row r="301">
          <cell r="C301" t="str">
            <v>AX184-WSR3PB</v>
          </cell>
          <cell r="D301" t="str">
            <v>AX184-WSR3</v>
          </cell>
          <cell r="E301">
            <v>1105</v>
          </cell>
          <cell r="F301" t="str">
            <v>mm</v>
          </cell>
          <cell r="G301" t="str">
            <v>Aldila</v>
          </cell>
        </row>
        <row r="302">
          <cell r="C302" t="str">
            <v>AX185-WR-1PB</v>
          </cell>
          <cell r="D302" t="str">
            <v>AX185-WR-1</v>
          </cell>
          <cell r="E302">
            <v>1181</v>
          </cell>
          <cell r="F302" t="str">
            <v>mm</v>
          </cell>
          <cell r="G302" t="str">
            <v>Aldila</v>
          </cell>
        </row>
        <row r="303">
          <cell r="C303" t="str">
            <v>AX185-WS-1PB</v>
          </cell>
          <cell r="D303" t="str">
            <v>AX185-WS-1</v>
          </cell>
          <cell r="E303">
            <v>1181</v>
          </cell>
          <cell r="F303" t="str">
            <v>mm</v>
          </cell>
          <cell r="G303" t="str">
            <v>Aldila</v>
          </cell>
        </row>
        <row r="304">
          <cell r="C304" t="str">
            <v>AX185-WSR1PB</v>
          </cell>
          <cell r="D304" t="str">
            <v>AX185-WSR1</v>
          </cell>
          <cell r="E304">
            <v>1181</v>
          </cell>
          <cell r="F304" t="str">
            <v>mm</v>
          </cell>
          <cell r="G304" t="str">
            <v>Aldila</v>
          </cell>
        </row>
        <row r="305">
          <cell r="C305" t="str">
            <v>MX759-WR-1CO</v>
          </cell>
          <cell r="D305" t="str">
            <v>MX759-WR-1</v>
          </cell>
          <cell r="E305">
            <v>1168</v>
          </cell>
          <cell r="F305" t="str">
            <v>mm</v>
          </cell>
          <cell r="G305" t="str">
            <v>Mitsubishi Chemical</v>
          </cell>
        </row>
        <row r="306">
          <cell r="C306" t="str">
            <v>MX759-WS-1CO</v>
          </cell>
          <cell r="D306" t="str">
            <v>MX759-WS-1</v>
          </cell>
          <cell r="E306">
            <v>1168</v>
          </cell>
          <cell r="F306" t="str">
            <v>mm</v>
          </cell>
          <cell r="G306" t="str">
            <v>Mitsubishi Chemical</v>
          </cell>
        </row>
        <row r="307">
          <cell r="C307" t="str">
            <v>MX760-WS-1CO</v>
          </cell>
          <cell r="D307" t="str">
            <v>MX760-WS-1</v>
          </cell>
          <cell r="E307">
            <v>1168</v>
          </cell>
          <cell r="F307" t="str">
            <v>mm</v>
          </cell>
          <cell r="G307" t="str">
            <v>Mitsubishi Chemical</v>
          </cell>
        </row>
        <row r="308">
          <cell r="C308" t="str">
            <v>MX760-WX-1CO</v>
          </cell>
          <cell r="D308" t="str">
            <v>MX760-WX-1</v>
          </cell>
          <cell r="E308">
            <v>1168</v>
          </cell>
          <cell r="F308" t="str">
            <v>mm</v>
          </cell>
          <cell r="G308" t="str">
            <v>Mitsubishi Chemical</v>
          </cell>
        </row>
        <row r="309">
          <cell r="C309" t="str">
            <v>MX783-WS-1CO</v>
          </cell>
          <cell r="D309" t="str">
            <v>MX783-WS-1</v>
          </cell>
          <cell r="E309">
            <v>1168</v>
          </cell>
          <cell r="F309" t="str">
            <v>mm</v>
          </cell>
          <cell r="G309" t="str">
            <v>Mitsubishi Chemical</v>
          </cell>
        </row>
        <row r="310">
          <cell r="C310" t="str">
            <v>MX784-WS-1DO</v>
          </cell>
          <cell r="D310" t="str">
            <v>MX784-WS-1</v>
          </cell>
          <cell r="E310">
            <v>1168</v>
          </cell>
          <cell r="F310" t="str">
            <v>mm</v>
          </cell>
          <cell r="G310" t="str">
            <v>Mitsubishi Chemical</v>
          </cell>
        </row>
        <row r="311">
          <cell r="C311" t="str">
            <v>MX784-WX-1DO</v>
          </cell>
          <cell r="D311" t="str">
            <v>MX784-WX-1</v>
          </cell>
          <cell r="E311">
            <v>1168</v>
          </cell>
          <cell r="F311" t="str">
            <v>mm</v>
          </cell>
          <cell r="G311" t="str">
            <v>Mitsubishi Chemical</v>
          </cell>
        </row>
        <row r="312">
          <cell r="C312" t="str">
            <v>MX876-WR-1BO</v>
          </cell>
          <cell r="D312" t="str">
            <v>MX876-WR-1</v>
          </cell>
          <cell r="E312">
            <v>1168</v>
          </cell>
          <cell r="F312" t="str">
            <v>mm</v>
          </cell>
          <cell r="G312" t="str">
            <v>Mitsubishi Chemical</v>
          </cell>
        </row>
        <row r="313">
          <cell r="C313" t="str">
            <v>MX877-WS-1BO</v>
          </cell>
          <cell r="D313" t="str">
            <v>MX877-WS-1</v>
          </cell>
          <cell r="E313">
            <v>1168</v>
          </cell>
          <cell r="F313" t="str">
            <v>mm</v>
          </cell>
          <cell r="G313" t="str">
            <v>Mitsubishi Chemical</v>
          </cell>
        </row>
        <row r="314">
          <cell r="C314" t="str">
            <v>MX936-WR-1BO</v>
          </cell>
          <cell r="D314" t="str">
            <v>MX936-WR-1</v>
          </cell>
          <cell r="E314">
            <v>1168</v>
          </cell>
          <cell r="F314" t="str">
            <v>mm</v>
          </cell>
          <cell r="G314" t="str">
            <v>Mitsubishi Chemical</v>
          </cell>
        </row>
        <row r="315">
          <cell r="C315" t="str">
            <v>MX991-WS-1AO</v>
          </cell>
          <cell r="D315" t="str">
            <v>MX991-WS-1</v>
          </cell>
          <cell r="E315">
            <v>1168</v>
          </cell>
          <cell r="F315" t="str">
            <v>mm</v>
          </cell>
          <cell r="G315" t="str">
            <v>Mitsubishi Chemical</v>
          </cell>
        </row>
        <row r="316">
          <cell r="C316" t="str">
            <v>MX991-WR-1AO</v>
          </cell>
          <cell r="D316" t="str">
            <v>MX991-WR-1</v>
          </cell>
          <cell r="E316">
            <v>1168</v>
          </cell>
          <cell r="F316" t="str">
            <v>mm</v>
          </cell>
          <cell r="G316" t="str">
            <v>Mitsubishi Chemical</v>
          </cell>
        </row>
        <row r="317">
          <cell r="C317" t="str">
            <v>MX992-WR-1AO</v>
          </cell>
          <cell r="D317" t="str">
            <v>MX992-WR-1</v>
          </cell>
          <cell r="E317">
            <v>1168</v>
          </cell>
          <cell r="F317" t="str">
            <v>mm</v>
          </cell>
          <cell r="G317" t="str">
            <v>Mitsubishi Chemical</v>
          </cell>
        </row>
        <row r="318">
          <cell r="C318" t="str">
            <v>MX993-WS-1AO</v>
          </cell>
          <cell r="D318" t="str">
            <v>MX993-WS-1</v>
          </cell>
          <cell r="E318">
            <v>1168</v>
          </cell>
          <cell r="F318" t="str">
            <v>mm</v>
          </cell>
          <cell r="G318" t="str">
            <v>Mitsubishi Chemical</v>
          </cell>
        </row>
        <row r="319">
          <cell r="C319" t="str">
            <v>MX993-WX-1AO</v>
          </cell>
          <cell r="D319" t="str">
            <v>MX993-WX-1</v>
          </cell>
          <cell r="E319">
            <v>1168</v>
          </cell>
          <cell r="F319" t="str">
            <v>mm</v>
          </cell>
          <cell r="G319" t="str">
            <v>Mitsubishi Chemical</v>
          </cell>
        </row>
        <row r="320">
          <cell r="C320" t="str">
            <v>CW116-IS-3AY</v>
          </cell>
          <cell r="D320" t="str">
            <v>CW116-IS-3</v>
          </cell>
          <cell r="E320">
            <v>1068</v>
          </cell>
          <cell r="F320" t="str">
            <v>mm</v>
          </cell>
          <cell r="G320" t="str">
            <v>Mitsubishi Chemical</v>
          </cell>
        </row>
        <row r="321">
          <cell r="C321" t="str">
            <v>CW116-IX-3AY</v>
          </cell>
          <cell r="D321" t="str">
            <v>CW116-IX-3</v>
          </cell>
          <cell r="E321">
            <v>1068</v>
          </cell>
          <cell r="F321" t="str">
            <v>mm</v>
          </cell>
          <cell r="G321" t="str">
            <v>Mitsubishi Chemical</v>
          </cell>
        </row>
        <row r="322">
          <cell r="C322" t="str">
            <v>MX759-WX-1CO</v>
          </cell>
          <cell r="D322" t="str">
            <v>MX759-WX-1</v>
          </cell>
          <cell r="E322">
            <v>1168</v>
          </cell>
          <cell r="F322" t="str">
            <v>mm</v>
          </cell>
          <cell r="G322" t="str">
            <v>Mitsubishi Chemical</v>
          </cell>
        </row>
        <row r="323">
          <cell r="C323" t="str">
            <v>MX783-WX-1CO</v>
          </cell>
          <cell r="D323" t="str">
            <v>MX783-WX-1</v>
          </cell>
          <cell r="E323">
            <v>1168</v>
          </cell>
          <cell r="F323" t="str">
            <v>mm</v>
          </cell>
          <cell r="G323" t="str">
            <v>Mitsubishi Chemical</v>
          </cell>
        </row>
        <row r="324">
          <cell r="C324" t="str">
            <v>MX824-WR-1CO</v>
          </cell>
          <cell r="D324" t="str">
            <v>MX824-WR-1</v>
          </cell>
          <cell r="E324">
            <v>1168</v>
          </cell>
          <cell r="F324" t="str">
            <v>mm</v>
          </cell>
          <cell r="G324" t="str">
            <v>Mitsubishi Chemical</v>
          </cell>
        </row>
        <row r="325">
          <cell r="C325" t="str">
            <v>MX876-WS-1BO</v>
          </cell>
          <cell r="D325" t="str">
            <v>MX876-WS-1</v>
          </cell>
          <cell r="E325">
            <v>1168</v>
          </cell>
          <cell r="F325" t="str">
            <v>mm</v>
          </cell>
          <cell r="G325" t="str">
            <v>Mitsubishi Chemical</v>
          </cell>
        </row>
        <row r="326">
          <cell r="C326" t="str">
            <v>MX877-WX-1BO</v>
          </cell>
          <cell r="D326" t="str">
            <v>MX877-WX-1</v>
          </cell>
          <cell r="E326">
            <v>1168</v>
          </cell>
          <cell r="F326" t="str">
            <v>mm</v>
          </cell>
          <cell r="G326" t="str">
            <v>Mitsubishi Chemical</v>
          </cell>
        </row>
        <row r="327">
          <cell r="C327" t="str">
            <v>MX759-WR-1C</v>
          </cell>
          <cell r="D327" t="str">
            <v>MX759-WR-1</v>
          </cell>
          <cell r="E327">
            <v>1168</v>
          </cell>
          <cell r="F327" t="str">
            <v>mm</v>
          </cell>
          <cell r="G327" t="str">
            <v>Mitsubishi Chemical</v>
          </cell>
        </row>
        <row r="328">
          <cell r="C328" t="str">
            <v>MX759-WX-1C</v>
          </cell>
          <cell r="D328" t="str">
            <v>MX759-WX-1</v>
          </cell>
          <cell r="E328">
            <v>1168</v>
          </cell>
          <cell r="F328" t="str">
            <v>mm</v>
          </cell>
          <cell r="G328" t="str">
            <v>Mitsubishi Chemical</v>
          </cell>
        </row>
        <row r="329">
          <cell r="C329" t="str">
            <v>MX784-WS-1D</v>
          </cell>
          <cell r="D329" t="str">
            <v>MX784-WS-1</v>
          </cell>
          <cell r="E329">
            <v>1168</v>
          </cell>
          <cell r="F329" t="str">
            <v>mm</v>
          </cell>
          <cell r="G329" t="str">
            <v>Mitsubishi Chemical</v>
          </cell>
        </row>
        <row r="330">
          <cell r="C330" t="str">
            <v>MX824-WR-1C</v>
          </cell>
          <cell r="D330" t="str">
            <v>MX824-WR-1</v>
          </cell>
          <cell r="E330">
            <v>1168</v>
          </cell>
          <cell r="F330" t="str">
            <v>mm</v>
          </cell>
          <cell r="G330" t="str">
            <v>Mitsubishi Chemical</v>
          </cell>
        </row>
        <row r="331">
          <cell r="C331" t="str">
            <v>MX876-WX-1B</v>
          </cell>
          <cell r="D331" t="str">
            <v>MX876-WX-1</v>
          </cell>
          <cell r="E331">
            <v>1168</v>
          </cell>
          <cell r="F331" t="str">
            <v>mm</v>
          </cell>
          <cell r="G331" t="str">
            <v>Mitsubishi Chemical</v>
          </cell>
        </row>
        <row r="332">
          <cell r="C332" t="str">
            <v>MX936-WS-1B</v>
          </cell>
          <cell r="D332" t="str">
            <v>MX936-WS-1</v>
          </cell>
          <cell r="E332">
            <v>1168</v>
          </cell>
          <cell r="F332" t="str">
            <v>mm</v>
          </cell>
          <cell r="G332" t="str">
            <v>Mitsubishi Chemical</v>
          </cell>
        </row>
        <row r="333">
          <cell r="C333" t="str">
            <v>MX981-WR-1A</v>
          </cell>
          <cell r="D333" t="str">
            <v>MX981-WR-1</v>
          </cell>
          <cell r="E333">
            <v>1168</v>
          </cell>
          <cell r="F333" t="str">
            <v>mm</v>
          </cell>
          <cell r="G333" t="str">
            <v>Mitsubishi Chemical</v>
          </cell>
        </row>
        <row r="334">
          <cell r="C334" t="str">
            <v>MX876-WR-1B</v>
          </cell>
          <cell r="D334" t="str">
            <v>MX876-WR-1</v>
          </cell>
          <cell r="E334">
            <v>1168</v>
          </cell>
          <cell r="F334" t="str">
            <v>mm</v>
          </cell>
          <cell r="G334" t="str">
            <v>Mitsubishi Chemical</v>
          </cell>
        </row>
        <row r="335">
          <cell r="C335" t="str">
            <v>MX981-WX-1A</v>
          </cell>
          <cell r="D335" t="str">
            <v>MX981-WX-1</v>
          </cell>
          <cell r="E335">
            <v>1168</v>
          </cell>
          <cell r="F335" t="str">
            <v>mm</v>
          </cell>
          <cell r="G335" t="str">
            <v>Mitsubishi Chemical</v>
          </cell>
        </row>
        <row r="336">
          <cell r="C336" t="str">
            <v>MX936-WA-1B</v>
          </cell>
          <cell r="D336" t="str">
            <v>MX936-WA-1</v>
          </cell>
          <cell r="E336">
            <v>1168</v>
          </cell>
          <cell r="F336" t="str">
            <v>mm</v>
          </cell>
          <cell r="G336" t="str">
            <v>Mitsubishi Chemical</v>
          </cell>
        </row>
        <row r="337">
          <cell r="C337" t="str">
            <v>MX982-WR-1A</v>
          </cell>
          <cell r="D337" t="str">
            <v>MX982-WR-1</v>
          </cell>
          <cell r="E337">
            <v>1168</v>
          </cell>
          <cell r="F337" t="str">
            <v>mm</v>
          </cell>
          <cell r="G337" t="str">
            <v>Mitsubishi Chemical</v>
          </cell>
        </row>
        <row r="338">
          <cell r="C338" t="str">
            <v>MX877-WS-1B</v>
          </cell>
          <cell r="D338" t="str">
            <v>MX877-WS-1</v>
          </cell>
          <cell r="E338">
            <v>1168</v>
          </cell>
          <cell r="F338" t="str">
            <v>mm</v>
          </cell>
          <cell r="G338" t="str">
            <v>Mitsubishi Chemical</v>
          </cell>
        </row>
        <row r="339">
          <cell r="C339" t="str">
            <v>MX982-WS-1A</v>
          </cell>
          <cell r="D339" t="str">
            <v>MX982-WS-1</v>
          </cell>
          <cell r="E339">
            <v>1168</v>
          </cell>
          <cell r="F339" t="str">
            <v>mm</v>
          </cell>
          <cell r="G339" t="str">
            <v>Mitsubishi Chemical</v>
          </cell>
        </row>
        <row r="340">
          <cell r="C340" t="str">
            <v>MX760-WX-1C</v>
          </cell>
          <cell r="D340" t="str">
            <v>MX760-WX-1</v>
          </cell>
          <cell r="E340">
            <v>1168</v>
          </cell>
          <cell r="F340" t="str">
            <v>mm</v>
          </cell>
          <cell r="G340" t="str">
            <v>Mitsubishi Chemical</v>
          </cell>
        </row>
        <row r="341">
          <cell r="C341" t="str">
            <v>MX783-WR-1C</v>
          </cell>
          <cell r="D341" t="str">
            <v>MX783-WR-1</v>
          </cell>
          <cell r="E341">
            <v>1168</v>
          </cell>
          <cell r="F341" t="str">
            <v>mm</v>
          </cell>
          <cell r="G341" t="str">
            <v>Mitsubishi Chemical</v>
          </cell>
        </row>
        <row r="342">
          <cell r="C342" t="str">
            <v>MX783-WX-1C</v>
          </cell>
          <cell r="D342" t="str">
            <v>MX783-WX-1</v>
          </cell>
          <cell r="E342">
            <v>1168</v>
          </cell>
          <cell r="F342" t="str">
            <v>mm</v>
          </cell>
          <cell r="G342" t="str">
            <v>Mitsubishi Chemical</v>
          </cell>
        </row>
        <row r="343">
          <cell r="C343" t="str">
            <v>CW172-IS-1A</v>
          </cell>
          <cell r="D343" t="str">
            <v>CW172-IS-1</v>
          </cell>
          <cell r="E343">
            <v>1068</v>
          </cell>
          <cell r="F343" t="str">
            <v>mm</v>
          </cell>
          <cell r="G343" t="str">
            <v>Mitsubishi Chemical</v>
          </cell>
        </row>
        <row r="344">
          <cell r="C344" t="str">
            <v>MZ051-ITX8A</v>
          </cell>
          <cell r="D344" t="str">
            <v>MZ051-ITX8</v>
          </cell>
          <cell r="E344">
            <v>927</v>
          </cell>
          <cell r="F344" t="str">
            <v>mm</v>
          </cell>
          <cell r="G344" t="str">
            <v>Mitsubishi Chemical</v>
          </cell>
        </row>
        <row r="345">
          <cell r="C345" t="str">
            <v>MX784-WX-1BO</v>
          </cell>
          <cell r="D345" t="str">
            <v>MX784-WX-1</v>
          </cell>
          <cell r="E345">
            <v>1168</v>
          </cell>
          <cell r="F345" t="str">
            <v>mm</v>
          </cell>
          <cell r="G345" t="str">
            <v>Mitsubishi Chemical</v>
          </cell>
        </row>
        <row r="346">
          <cell r="C346" t="str">
            <v>MZ051-ITXPA</v>
          </cell>
          <cell r="D346" t="str">
            <v>MZ051-ITXP</v>
          </cell>
          <cell r="E346">
            <v>902</v>
          </cell>
          <cell r="F346" t="str">
            <v>mm</v>
          </cell>
          <cell r="G346" t="str">
            <v>Mitsubishi Chemical</v>
          </cell>
        </row>
        <row r="347">
          <cell r="C347" t="str">
            <v>CW158-IS-2A</v>
          </cell>
          <cell r="D347" t="str">
            <v>CW158-IS-2</v>
          </cell>
          <cell r="E347">
            <v>1042</v>
          </cell>
          <cell r="F347" t="str">
            <v>mm</v>
          </cell>
          <cell r="G347" t="str">
            <v>Mitsubishi Chemical</v>
          </cell>
        </row>
        <row r="348">
          <cell r="C348" t="str">
            <v>AU176-IS-4A</v>
          </cell>
          <cell r="D348" t="str">
            <v>AU176-IS-4</v>
          </cell>
          <cell r="E348">
            <v>1003</v>
          </cell>
          <cell r="F348" t="str">
            <v>mm</v>
          </cell>
          <cell r="G348" t="str">
            <v>Mitsubishi Chemical</v>
          </cell>
        </row>
        <row r="349">
          <cell r="C349" t="str">
            <v>AU176-IR-3A</v>
          </cell>
          <cell r="D349" t="str">
            <v>AU176-IR-3</v>
          </cell>
          <cell r="E349">
            <v>1016</v>
          </cell>
          <cell r="F349" t="str">
            <v>mm</v>
          </cell>
          <cell r="G349" t="str">
            <v>Mitsubishi Chemical</v>
          </cell>
        </row>
        <row r="350">
          <cell r="C350" t="str">
            <v>AU176-IS-5A</v>
          </cell>
          <cell r="D350" t="str">
            <v>AU176-IS-5</v>
          </cell>
          <cell r="E350">
            <v>991</v>
          </cell>
          <cell r="F350" t="str">
            <v>mm</v>
          </cell>
          <cell r="G350" t="str">
            <v>Mitsubishi Chemical</v>
          </cell>
        </row>
        <row r="351">
          <cell r="C351" t="str">
            <v>AU176-IS-6A</v>
          </cell>
          <cell r="D351" t="str">
            <v>AU176-IS-6</v>
          </cell>
          <cell r="E351">
            <v>978</v>
          </cell>
          <cell r="F351" t="str">
            <v>mm</v>
          </cell>
          <cell r="G351" t="str">
            <v>Mitsubishi Chemical</v>
          </cell>
        </row>
        <row r="352">
          <cell r="C352" t="str">
            <v>AU176-IS-7A</v>
          </cell>
          <cell r="D352" t="str">
            <v>AU176-IS-7</v>
          </cell>
          <cell r="E352">
            <v>965</v>
          </cell>
          <cell r="F352" t="str">
            <v>mm</v>
          </cell>
          <cell r="G352" t="str">
            <v>Mitsubishi Chemical</v>
          </cell>
        </row>
        <row r="353">
          <cell r="C353" t="str">
            <v>AU176-IS-9A</v>
          </cell>
          <cell r="D353" t="str">
            <v>AU176-IS-9</v>
          </cell>
          <cell r="E353">
            <v>940</v>
          </cell>
          <cell r="F353" t="str">
            <v>mm</v>
          </cell>
          <cell r="G353" t="str">
            <v>Mitsubishi Chemical</v>
          </cell>
        </row>
        <row r="354">
          <cell r="C354" t="str">
            <v>AU176-IS-PA</v>
          </cell>
          <cell r="D354" t="str">
            <v>AU176-IS-P</v>
          </cell>
          <cell r="E354">
            <v>933</v>
          </cell>
          <cell r="F354" t="str">
            <v>mm</v>
          </cell>
          <cell r="G354" t="str">
            <v>Mitsubishi Chemical</v>
          </cell>
        </row>
        <row r="355">
          <cell r="C355" t="str">
            <v>AU226-WTX1A</v>
          </cell>
          <cell r="D355" t="str">
            <v>AU226-WTX1</v>
          </cell>
          <cell r="E355">
            <v>1168</v>
          </cell>
          <cell r="F355" t="str">
            <v>mm</v>
          </cell>
          <cell r="G355" t="str">
            <v>Mitsubishi Chemical</v>
          </cell>
        </row>
        <row r="356">
          <cell r="C356" t="str">
            <v>AU176-IS-AA</v>
          </cell>
          <cell r="D356" t="str">
            <v>AU176-IS-A</v>
          </cell>
          <cell r="E356">
            <v>927</v>
          </cell>
          <cell r="F356" t="str">
            <v>mm</v>
          </cell>
          <cell r="G356" t="str">
            <v>Mitsubishi Chemical</v>
          </cell>
        </row>
        <row r="357">
          <cell r="C357" t="str">
            <v>AU176-IS-8A</v>
          </cell>
          <cell r="D357" t="str">
            <v>AU176-IS-8</v>
          </cell>
          <cell r="E357">
            <v>953</v>
          </cell>
          <cell r="F357" t="str">
            <v>mm</v>
          </cell>
          <cell r="G357" t="str">
            <v>Mitsubishi Chemical</v>
          </cell>
        </row>
        <row r="358">
          <cell r="C358" t="str">
            <v>AX173-IR-3VC</v>
          </cell>
          <cell r="D358" t="str">
            <v>AX173-IR-3</v>
          </cell>
          <cell r="E358" t="str">
            <v>1067</v>
          </cell>
          <cell r="F358" t="str">
            <v>mm</v>
          </cell>
          <cell r="G358" t="str">
            <v>Aldila</v>
          </cell>
        </row>
        <row r="359">
          <cell r="C359" t="str">
            <v>AX187-WA-1VC</v>
          </cell>
          <cell r="D359" t="str">
            <v>AX187-WA-1</v>
          </cell>
          <cell r="E359">
            <v>1168</v>
          </cell>
          <cell r="F359" t="str">
            <v>mm</v>
          </cell>
          <cell r="G359" t="str">
            <v>Aldila</v>
          </cell>
        </row>
        <row r="360">
          <cell r="C360" t="str">
            <v>AX188-WR-1VC</v>
          </cell>
          <cell r="D360" t="str">
            <v>AX188-WR-1</v>
          </cell>
          <cell r="E360">
            <v>1168</v>
          </cell>
          <cell r="F360" t="str">
            <v>mm</v>
          </cell>
          <cell r="G360" t="str">
            <v>Aldila</v>
          </cell>
        </row>
        <row r="361">
          <cell r="C361" t="str">
            <v>AX190-WR-1VF</v>
          </cell>
          <cell r="D361" t="str">
            <v>AX190-WR-1</v>
          </cell>
          <cell r="E361">
            <v>1168</v>
          </cell>
          <cell r="F361" t="str">
            <v>mm</v>
          </cell>
          <cell r="G361" t="str">
            <v>Aldila</v>
          </cell>
        </row>
        <row r="362">
          <cell r="C362" t="str">
            <v>AX191-WS-1VF</v>
          </cell>
          <cell r="D362" t="str">
            <v>AX191-WS-1</v>
          </cell>
          <cell r="E362">
            <v>1168</v>
          </cell>
          <cell r="F362" t="str">
            <v>mm</v>
          </cell>
          <cell r="G362" t="str">
            <v>Aldila</v>
          </cell>
        </row>
        <row r="363">
          <cell r="C363" t="str">
            <v>AX191-WS-1VC</v>
          </cell>
          <cell r="D363" t="str">
            <v>AX191-WS-1</v>
          </cell>
          <cell r="E363">
            <v>1168</v>
          </cell>
          <cell r="F363" t="str">
            <v>mm</v>
          </cell>
          <cell r="G363" t="str">
            <v>Aldila</v>
          </cell>
        </row>
        <row r="364">
          <cell r="C364" t="str">
            <v>AX189-WA-1VC</v>
          </cell>
          <cell r="D364" t="str">
            <v>AX189-WA-1</v>
          </cell>
          <cell r="E364">
            <v>1168</v>
          </cell>
          <cell r="F364" t="str">
            <v>mm</v>
          </cell>
          <cell r="G364" t="str">
            <v>Aldila</v>
          </cell>
        </row>
        <row r="365">
          <cell r="C365" t="str">
            <v>AX189-WA-1VF</v>
          </cell>
          <cell r="D365" t="str">
            <v>AX189-WA-1</v>
          </cell>
          <cell r="E365">
            <v>1168</v>
          </cell>
          <cell r="F365" t="str">
            <v>mm</v>
          </cell>
          <cell r="G365" t="str">
            <v>Aldila</v>
          </cell>
        </row>
        <row r="366">
          <cell r="C366" t="str">
            <v>AX190-WR-1VC</v>
          </cell>
          <cell r="D366" t="str">
            <v>AX190-WR-1</v>
          </cell>
          <cell r="E366">
            <v>1168</v>
          </cell>
          <cell r="F366" t="str">
            <v>mm</v>
          </cell>
          <cell r="G366" t="str">
            <v>Aldila</v>
          </cell>
        </row>
        <row r="367">
          <cell r="C367" t="str">
            <v>AX187-WA-1VF</v>
          </cell>
          <cell r="D367" t="str">
            <v>AX187-WA-1</v>
          </cell>
          <cell r="E367">
            <v>1168</v>
          </cell>
          <cell r="F367" t="str">
            <v>mm</v>
          </cell>
          <cell r="G367" t="str">
            <v>Aldila</v>
          </cell>
        </row>
        <row r="368">
          <cell r="C368" t="str">
            <v>AX196-WA-1VC</v>
          </cell>
          <cell r="D368" t="str">
            <v>AX196-WA-1</v>
          </cell>
          <cell r="E368">
            <v>1144</v>
          </cell>
          <cell r="F368" t="str">
            <v>mm</v>
          </cell>
          <cell r="G368" t="str">
            <v>Aldila</v>
          </cell>
        </row>
        <row r="369">
          <cell r="C369" t="str">
            <v>AX196-WA-1VF</v>
          </cell>
          <cell r="D369" t="str">
            <v>AX196-WA-1</v>
          </cell>
          <cell r="E369">
            <v>1144</v>
          </cell>
          <cell r="F369" t="str">
            <v>mm</v>
          </cell>
          <cell r="G369" t="str">
            <v>Aldila</v>
          </cell>
        </row>
        <row r="370">
          <cell r="C370" t="str">
            <v>AX173-IR-3VF</v>
          </cell>
          <cell r="D370" t="str">
            <v>AX173-IR-3</v>
          </cell>
          <cell r="E370" t="str">
            <v>1067</v>
          </cell>
          <cell r="F370" t="str">
            <v>mm</v>
          </cell>
          <cell r="G370" t="str">
            <v>Aldila</v>
          </cell>
        </row>
        <row r="371">
          <cell r="C371" t="str">
            <v>AX173-IA-3VC</v>
          </cell>
          <cell r="D371" t="str">
            <v>AX173-IA-3</v>
          </cell>
          <cell r="E371" t="str">
            <v>1067</v>
          </cell>
          <cell r="F371" t="str">
            <v>mm</v>
          </cell>
          <cell r="G371" t="str">
            <v>Aldila</v>
          </cell>
        </row>
        <row r="372">
          <cell r="C372" t="str">
            <v>AX173-IA-3VF</v>
          </cell>
          <cell r="D372" t="str">
            <v>AX173-IA-3</v>
          </cell>
          <cell r="E372" t="str">
            <v>1067</v>
          </cell>
          <cell r="F372" t="str">
            <v>mm</v>
          </cell>
          <cell r="G372" t="str">
            <v>Aldila</v>
          </cell>
        </row>
        <row r="373">
          <cell r="C373" t="str">
            <v>AX198-IL-1VC</v>
          </cell>
          <cell r="D373" t="str">
            <v>AX198-IL-1</v>
          </cell>
          <cell r="E373">
            <v>1041</v>
          </cell>
          <cell r="F373" t="str">
            <v>mm</v>
          </cell>
          <cell r="G373" t="str">
            <v>Aldila</v>
          </cell>
        </row>
        <row r="374">
          <cell r="C374" t="str">
            <v>AX198-IL-1VF</v>
          </cell>
          <cell r="D374" t="str">
            <v>AX198-IL-1</v>
          </cell>
          <cell r="E374">
            <v>1041</v>
          </cell>
          <cell r="F374" t="str">
            <v>mm</v>
          </cell>
          <cell r="G374" t="str">
            <v>Aldila</v>
          </cell>
        </row>
        <row r="375">
          <cell r="C375" t="str">
            <v>PG058-IS-1A</v>
          </cell>
          <cell r="D375" t="str">
            <v>PG058-IS-1</v>
          </cell>
          <cell r="E375">
            <v>1067</v>
          </cell>
          <cell r="F375" t="str">
            <v>mm</v>
          </cell>
          <cell r="G375" t="str">
            <v>Mitsubishi Chemical</v>
          </cell>
        </row>
        <row r="376">
          <cell r="C376" t="str">
            <v>MX893-IX-1AO</v>
          </cell>
          <cell r="D376" t="str">
            <v>MX893-IX-1</v>
          </cell>
          <cell r="E376">
            <v>1067</v>
          </cell>
          <cell r="F376" t="str">
            <v>mm</v>
          </cell>
          <cell r="G376" t="str">
            <v>Mitsubishi Chemical</v>
          </cell>
        </row>
        <row r="377">
          <cell r="C377" t="str">
            <v>SF292-WR-1A</v>
          </cell>
          <cell r="D377" t="str">
            <v>SF292-WR-1</v>
          </cell>
          <cell r="E377">
            <v>1168</v>
          </cell>
          <cell r="F377" t="str">
            <v>mm</v>
          </cell>
          <cell r="G377" t="str">
            <v>Mitsubishi Chemical</v>
          </cell>
        </row>
        <row r="378">
          <cell r="C378" t="str">
            <v>SF292-WS-1A</v>
          </cell>
          <cell r="D378" t="str">
            <v>SF292-WS-1</v>
          </cell>
          <cell r="E378">
            <v>1168</v>
          </cell>
          <cell r="F378" t="str">
            <v>mm</v>
          </cell>
          <cell r="G378" t="str">
            <v>Mitsubishi Chemical</v>
          </cell>
        </row>
        <row r="379">
          <cell r="C379" t="str">
            <v>YR173-UR-1A</v>
          </cell>
          <cell r="D379" t="str">
            <v>YR173-UR-1</v>
          </cell>
          <cell r="E379">
            <v>1033</v>
          </cell>
          <cell r="F379" t="str">
            <v>mm</v>
          </cell>
          <cell r="G379" t="str">
            <v>Mitsubishi Chemical</v>
          </cell>
        </row>
        <row r="380">
          <cell r="C380" t="str">
            <v>AX190-WR-1AA</v>
          </cell>
          <cell r="D380" t="str">
            <v>AX190-WR-1</v>
          </cell>
          <cell r="E380">
            <v>1168</v>
          </cell>
          <cell r="F380" t="str">
            <v>mm</v>
          </cell>
          <cell r="G380" t="str">
            <v>Aldila</v>
          </cell>
        </row>
        <row r="381">
          <cell r="C381" t="str">
            <v>AX191-WS-1AA</v>
          </cell>
          <cell r="D381" t="str">
            <v>AX191-WS-1</v>
          </cell>
          <cell r="E381">
            <v>1168</v>
          </cell>
          <cell r="F381" t="str">
            <v>mm</v>
          </cell>
          <cell r="G381" t="str">
            <v>Aldila</v>
          </cell>
        </row>
        <row r="382">
          <cell r="C382" t="str">
            <v>AX190-WS-1AA</v>
          </cell>
          <cell r="D382" t="str">
            <v>AX190-WS-1</v>
          </cell>
          <cell r="E382">
            <v>1168</v>
          </cell>
          <cell r="F382" t="str">
            <v>mm</v>
          </cell>
          <cell r="G382" t="str">
            <v>Aldila</v>
          </cell>
        </row>
        <row r="383">
          <cell r="C383" t="str">
            <v>AX190-WX-1AA</v>
          </cell>
          <cell r="D383" t="str">
            <v>AX190-WX-1</v>
          </cell>
          <cell r="E383">
            <v>1168</v>
          </cell>
          <cell r="F383" t="str">
            <v>mm</v>
          </cell>
          <cell r="G383" t="str">
            <v>Aldila</v>
          </cell>
        </row>
        <row r="384">
          <cell r="C384" t="str">
            <v>AX191-WX-1AA</v>
          </cell>
          <cell r="D384" t="str">
            <v>AX191-WX-1</v>
          </cell>
          <cell r="E384">
            <v>1168</v>
          </cell>
          <cell r="F384" t="str">
            <v>mm</v>
          </cell>
          <cell r="G384" t="str">
            <v>Aldila</v>
          </cell>
        </row>
        <row r="385">
          <cell r="C385" t="str">
            <v>MX760-WS-1C</v>
          </cell>
          <cell r="D385" t="str">
            <v>MX760-WS-1</v>
          </cell>
          <cell r="E385">
            <v>1168</v>
          </cell>
          <cell r="F385" t="str">
            <v>mm</v>
          </cell>
          <cell r="G385" t="str">
            <v>Mitsubishi Chemical</v>
          </cell>
        </row>
        <row r="386">
          <cell r="C386" t="str">
            <v>MX824-WS-1C</v>
          </cell>
          <cell r="D386" t="str">
            <v>MX824-WS-1</v>
          </cell>
          <cell r="E386">
            <v>1168</v>
          </cell>
          <cell r="F386" t="str">
            <v>mm</v>
          </cell>
          <cell r="G386" t="str">
            <v>Mitsubishi Chemical</v>
          </cell>
        </row>
        <row r="387">
          <cell r="C387" t="str">
            <v>MX876-WS-1B</v>
          </cell>
          <cell r="D387" t="str">
            <v>MX876-WS-1</v>
          </cell>
          <cell r="E387">
            <v>1168</v>
          </cell>
          <cell r="F387" t="str">
            <v>mm</v>
          </cell>
          <cell r="G387" t="str">
            <v>Mitsubishi Chemical</v>
          </cell>
        </row>
        <row r="388">
          <cell r="C388" t="str">
            <v>MX936-WR-1B</v>
          </cell>
          <cell r="D388" t="str">
            <v>MX936-WR-1</v>
          </cell>
          <cell r="E388">
            <v>1168</v>
          </cell>
          <cell r="F388" t="str">
            <v>mm</v>
          </cell>
          <cell r="G388" t="str">
            <v>Mitsubishi Chemical</v>
          </cell>
        </row>
        <row r="389">
          <cell r="C389" t="str">
            <v>MX981-WS-1A</v>
          </cell>
          <cell r="D389" t="str">
            <v>MX981-WS-1</v>
          </cell>
          <cell r="E389">
            <v>1168</v>
          </cell>
          <cell r="F389" t="str">
            <v>mm</v>
          </cell>
          <cell r="G389" t="str">
            <v>Mitsubishi Chemical</v>
          </cell>
        </row>
        <row r="390">
          <cell r="C390" t="str">
            <v>MX877-WX-1B</v>
          </cell>
          <cell r="D390" t="str">
            <v>MX877-WX-1</v>
          </cell>
          <cell r="E390">
            <v>1168</v>
          </cell>
          <cell r="F390" t="str">
            <v>mm</v>
          </cell>
          <cell r="G390" t="str">
            <v>Mitsubishi Chemical</v>
          </cell>
        </row>
        <row r="391">
          <cell r="C391" t="str">
            <v>MX759-WS-1C</v>
          </cell>
          <cell r="D391" t="str">
            <v>MX759-WS-1</v>
          </cell>
          <cell r="E391">
            <v>1168</v>
          </cell>
          <cell r="F391" t="str">
            <v>mm</v>
          </cell>
          <cell r="G391" t="str">
            <v>Mitsubishi Chemical</v>
          </cell>
        </row>
        <row r="392">
          <cell r="C392" t="str">
            <v>MX783-WS-1C</v>
          </cell>
          <cell r="D392" t="str">
            <v>MX783-WS-1</v>
          </cell>
          <cell r="E392">
            <v>1168</v>
          </cell>
          <cell r="F392" t="str">
            <v>mm</v>
          </cell>
          <cell r="G392" t="str">
            <v>Mitsubishi Chemical</v>
          </cell>
        </row>
        <row r="393">
          <cell r="C393" t="str">
            <v>MX784-WX-1D</v>
          </cell>
          <cell r="D393" t="str">
            <v>MX784-WX-1</v>
          </cell>
          <cell r="E393">
            <v>1168</v>
          </cell>
          <cell r="F393" t="str">
            <v>mm</v>
          </cell>
          <cell r="G393" t="str">
            <v>Mitsubishi Chemical</v>
          </cell>
        </row>
        <row r="394">
          <cell r="C394" t="str">
            <v>MX747-WS-1A</v>
          </cell>
          <cell r="D394" t="str">
            <v>MX747-WS-1</v>
          </cell>
          <cell r="E394">
            <v>1168</v>
          </cell>
          <cell r="F394" t="str">
            <v>mm</v>
          </cell>
          <cell r="G394" t="str">
            <v>Mitsubishi Chemical</v>
          </cell>
        </row>
        <row r="395">
          <cell r="C395" t="str">
            <v>MX747-WX-1A</v>
          </cell>
          <cell r="D395" t="str">
            <v>MX747-WX-1</v>
          </cell>
          <cell r="E395">
            <v>1168</v>
          </cell>
          <cell r="F395" t="str">
            <v>mm</v>
          </cell>
          <cell r="G395" t="str">
            <v>Mitsubishi Chemical</v>
          </cell>
        </row>
        <row r="396">
          <cell r="C396" t="str">
            <v>CW107-IS-4A</v>
          </cell>
          <cell r="D396" t="str">
            <v>CW107-IS-4</v>
          </cell>
          <cell r="E396">
            <v>978</v>
          </cell>
          <cell r="F396" t="str">
            <v>mm</v>
          </cell>
          <cell r="G396" t="str">
            <v>Mitsubishi Chemical</v>
          </cell>
        </row>
        <row r="397">
          <cell r="C397" t="str">
            <v>CW172-IR-1A</v>
          </cell>
          <cell r="D397" t="str">
            <v>CW172-IR-1</v>
          </cell>
          <cell r="E397">
            <v>1068</v>
          </cell>
          <cell r="F397" t="str">
            <v>mm</v>
          </cell>
          <cell r="G397" t="str">
            <v>Mitsubishi Chemical</v>
          </cell>
        </row>
        <row r="398">
          <cell r="C398" t="str">
            <v>MZ050-IR-4A</v>
          </cell>
          <cell r="D398" t="str">
            <v>MZ050-IR-4</v>
          </cell>
          <cell r="E398">
            <v>978</v>
          </cell>
          <cell r="F398" t="str">
            <v>mm</v>
          </cell>
          <cell r="G398" t="str">
            <v>Mitsubishi Chemical</v>
          </cell>
        </row>
        <row r="399">
          <cell r="C399" t="str">
            <v>MZ050-IR-5A</v>
          </cell>
          <cell r="D399" t="str">
            <v>MZ050-IR-5</v>
          </cell>
          <cell r="E399">
            <v>965</v>
          </cell>
          <cell r="F399" t="str">
            <v>mm</v>
          </cell>
          <cell r="G399" t="str">
            <v>Mitsubishi Chemical</v>
          </cell>
        </row>
        <row r="400">
          <cell r="C400" t="str">
            <v>MZ050-IR-6A</v>
          </cell>
          <cell r="D400" t="str">
            <v>MZ050-IR-6</v>
          </cell>
          <cell r="E400">
            <v>953</v>
          </cell>
          <cell r="F400" t="str">
            <v>mm</v>
          </cell>
          <cell r="G400" t="str">
            <v>Mitsubishi Chemical</v>
          </cell>
        </row>
        <row r="401">
          <cell r="C401" t="str">
            <v>MZ050-IR-8A</v>
          </cell>
          <cell r="D401" t="str">
            <v>MZ050-IR-8</v>
          </cell>
          <cell r="E401">
            <v>927</v>
          </cell>
          <cell r="F401" t="str">
            <v>mm</v>
          </cell>
          <cell r="G401" t="str">
            <v>Mitsubishi Chemical</v>
          </cell>
        </row>
        <row r="402">
          <cell r="C402" t="str">
            <v>MZ050-IR-9A</v>
          </cell>
          <cell r="D402" t="str">
            <v>MZ050-IR-9</v>
          </cell>
          <cell r="E402">
            <v>914</v>
          </cell>
          <cell r="F402" t="str">
            <v>mm</v>
          </cell>
          <cell r="G402" t="str">
            <v>Mitsubishi Chemical</v>
          </cell>
        </row>
        <row r="403">
          <cell r="C403" t="str">
            <v>MZ050-IR-PA</v>
          </cell>
          <cell r="D403" t="str">
            <v>MZ050-IR-P</v>
          </cell>
          <cell r="E403">
            <v>902</v>
          </cell>
          <cell r="F403" t="str">
            <v>mm</v>
          </cell>
          <cell r="G403" t="str">
            <v>Mitsubishi Chemical</v>
          </cell>
        </row>
        <row r="404">
          <cell r="C404" t="str">
            <v>CL044-IR-1A</v>
          </cell>
          <cell r="D404" t="str">
            <v>CL044-IR-1</v>
          </cell>
          <cell r="E404">
            <v>1067</v>
          </cell>
          <cell r="F404" t="str">
            <v>mm</v>
          </cell>
          <cell r="G404" t="str">
            <v>Mitsubishi Chemical</v>
          </cell>
        </row>
        <row r="405">
          <cell r="C405" t="str">
            <v>CL044-IS-1A</v>
          </cell>
          <cell r="D405" t="str">
            <v>CL044-IS-1</v>
          </cell>
          <cell r="E405">
            <v>1067</v>
          </cell>
          <cell r="F405" t="str">
            <v>mm</v>
          </cell>
          <cell r="G405" t="str">
            <v>Mitsubishi Chemical</v>
          </cell>
        </row>
        <row r="406">
          <cell r="C406" t="str">
            <v>CL045-IX-1A</v>
          </cell>
          <cell r="D406" t="str">
            <v>CL045-IX-1</v>
          </cell>
          <cell r="E406">
            <v>1067</v>
          </cell>
          <cell r="F406" t="str">
            <v>mm</v>
          </cell>
          <cell r="G406" t="str">
            <v>Mitsubishi Chemical</v>
          </cell>
        </row>
        <row r="407">
          <cell r="C407" t="str">
            <v>MX726-IR-7C</v>
          </cell>
          <cell r="D407" t="str">
            <v>MX726-IR-7</v>
          </cell>
          <cell r="E407">
            <v>940</v>
          </cell>
          <cell r="F407" t="str">
            <v>mm</v>
          </cell>
          <cell r="G407" t="str">
            <v>Mitsubishi Chemical</v>
          </cell>
        </row>
        <row r="408">
          <cell r="C408" t="str">
            <v>MX728-IA-7C</v>
          </cell>
          <cell r="D408" t="str">
            <v>MX728-IA-7</v>
          </cell>
          <cell r="E408">
            <v>965</v>
          </cell>
          <cell r="F408" t="str">
            <v>mm</v>
          </cell>
          <cell r="G408" t="str">
            <v>Mitsubishi Chemical</v>
          </cell>
        </row>
        <row r="409">
          <cell r="C409" t="str">
            <v>MX729-IR-7C</v>
          </cell>
          <cell r="D409" t="str">
            <v>MX729-IR-7</v>
          </cell>
          <cell r="E409">
            <v>965</v>
          </cell>
          <cell r="F409" t="str">
            <v>mm</v>
          </cell>
          <cell r="G409" t="str">
            <v>Mitsubishi Chemical</v>
          </cell>
        </row>
        <row r="410">
          <cell r="C410" t="str">
            <v>SF283-WR-1B</v>
          </cell>
          <cell r="D410" t="str">
            <v>SF283-WR-1</v>
          </cell>
          <cell r="E410">
            <v>1130</v>
          </cell>
          <cell r="F410" t="str">
            <v>mm</v>
          </cell>
          <cell r="G410" t="str">
            <v>Mitsubishi Chemical</v>
          </cell>
        </row>
        <row r="411">
          <cell r="C411" t="str">
            <v>SF246-WL-1C</v>
          </cell>
          <cell r="D411" t="str">
            <v>SF246-WL-1</v>
          </cell>
          <cell r="E411">
            <v>1118</v>
          </cell>
          <cell r="F411" t="str">
            <v>mm</v>
          </cell>
          <cell r="G411" t="str">
            <v>Mitsubishi Chemical</v>
          </cell>
        </row>
        <row r="412">
          <cell r="C412" t="str">
            <v>MX981-WR-1AO</v>
          </cell>
          <cell r="D412" t="str">
            <v>MX981-WR-1</v>
          </cell>
          <cell r="E412">
            <v>1168</v>
          </cell>
          <cell r="F412" t="str">
            <v>mm</v>
          </cell>
          <cell r="G412" t="str">
            <v>Mitsubishi Chemical</v>
          </cell>
        </row>
        <row r="413">
          <cell r="C413" t="str">
            <v>MX981-WS-1AO</v>
          </cell>
          <cell r="D413" t="str">
            <v>MX981-WS-1</v>
          </cell>
          <cell r="E413">
            <v>1168</v>
          </cell>
          <cell r="F413" t="str">
            <v>mm</v>
          </cell>
          <cell r="G413" t="str">
            <v>Mitsubishi Chemical</v>
          </cell>
        </row>
        <row r="414">
          <cell r="C414" t="str">
            <v>MX981-WX-1AO</v>
          </cell>
          <cell r="D414" t="str">
            <v>MX981-WX-1</v>
          </cell>
          <cell r="E414">
            <v>1168</v>
          </cell>
          <cell r="F414" t="str">
            <v>mm</v>
          </cell>
          <cell r="G414" t="str">
            <v>Mitsubishi Chemical</v>
          </cell>
        </row>
        <row r="415">
          <cell r="C415" t="str">
            <v>MX982-WS-1AO</v>
          </cell>
          <cell r="D415" t="str">
            <v>MX982-WS-1</v>
          </cell>
          <cell r="E415">
            <v>1168</v>
          </cell>
          <cell r="F415" t="str">
            <v>mm</v>
          </cell>
          <cell r="G415" t="str">
            <v>Mitsubishi Chemical</v>
          </cell>
        </row>
        <row r="416">
          <cell r="C416" t="str">
            <v>MX982-WX-1AO</v>
          </cell>
          <cell r="D416" t="str">
            <v>MX982-WX-1</v>
          </cell>
          <cell r="E416">
            <v>1168</v>
          </cell>
          <cell r="F416" t="str">
            <v>mm</v>
          </cell>
          <cell r="G416" t="str">
            <v>Mitsubishi Chemical</v>
          </cell>
        </row>
        <row r="417">
          <cell r="C417" t="str">
            <v>AU232-IR-7A</v>
          </cell>
          <cell r="D417" t="str">
            <v>AU232-IR-7</v>
          </cell>
          <cell r="E417">
            <v>965</v>
          </cell>
          <cell r="F417" t="str">
            <v>mm</v>
          </cell>
          <cell r="G417" t="str">
            <v>Mitsubishi Chemical</v>
          </cell>
        </row>
        <row r="418">
          <cell r="C418" t="str">
            <v>AU232-IS-7A</v>
          </cell>
          <cell r="D418" t="str">
            <v>AU232-IS-7</v>
          </cell>
          <cell r="E418">
            <v>965</v>
          </cell>
          <cell r="F418" t="str">
            <v>mm</v>
          </cell>
          <cell r="G418" t="str">
            <v>Mitsubishi Chemical</v>
          </cell>
        </row>
        <row r="419">
          <cell r="C419" t="str">
            <v>AU176-IA-4A</v>
          </cell>
          <cell r="D419" t="str">
            <v>AU176-IA-4</v>
          </cell>
          <cell r="E419">
            <v>1003</v>
          </cell>
          <cell r="F419" t="str">
            <v>mm</v>
          </cell>
          <cell r="G419" t="str">
            <v>Mitsubishi Chemical</v>
          </cell>
        </row>
        <row r="420">
          <cell r="C420" t="str">
            <v>SP400-IR-4A</v>
          </cell>
          <cell r="D420" t="str">
            <v>SP400-IR-4</v>
          </cell>
          <cell r="E420">
            <v>980</v>
          </cell>
          <cell r="F420" t="str">
            <v>mm</v>
          </cell>
          <cell r="G420" t="str">
            <v>Mitsubishi Chemical</v>
          </cell>
        </row>
        <row r="421">
          <cell r="C421" t="str">
            <v>SP408-IR-4A</v>
          </cell>
          <cell r="D421" t="str">
            <v>SP408-IR-4</v>
          </cell>
          <cell r="E421">
            <v>980</v>
          </cell>
          <cell r="F421" t="str">
            <v>mm</v>
          </cell>
          <cell r="G421" t="str">
            <v>Mitsubishi Chemical</v>
          </cell>
        </row>
        <row r="422">
          <cell r="C422" t="str">
            <v>SP412-IS-3A</v>
          </cell>
          <cell r="D422" t="str">
            <v>SP412-IS-3</v>
          </cell>
          <cell r="E422">
            <v>990</v>
          </cell>
          <cell r="F422" t="str">
            <v>mm</v>
          </cell>
          <cell r="G422" t="str">
            <v>Mitsubishi Chemical</v>
          </cell>
        </row>
        <row r="423">
          <cell r="C423" t="str">
            <v>AX187-WA-1AA</v>
          </cell>
          <cell r="D423" t="str">
            <v>AX187-WA-1</v>
          </cell>
          <cell r="E423">
            <v>1168</v>
          </cell>
          <cell r="F423" t="str">
            <v>mm</v>
          </cell>
          <cell r="G423" t="str">
            <v>Aldila</v>
          </cell>
        </row>
        <row r="424">
          <cell r="C424" t="str">
            <v>AX187-WR-1AA</v>
          </cell>
          <cell r="D424" t="str">
            <v>AX187-WR-1</v>
          </cell>
          <cell r="E424">
            <v>1168</v>
          </cell>
          <cell r="F424" t="str">
            <v>mm</v>
          </cell>
          <cell r="G424" t="str">
            <v>Aldila</v>
          </cell>
        </row>
        <row r="425">
          <cell r="C425" t="str">
            <v>AX188-WS-1AA</v>
          </cell>
          <cell r="D425" t="str">
            <v>AX188-WS-1</v>
          </cell>
          <cell r="E425">
            <v>1168</v>
          </cell>
          <cell r="F425" t="str">
            <v>mm</v>
          </cell>
          <cell r="G425" t="str">
            <v>Aldila</v>
          </cell>
        </row>
        <row r="426">
          <cell r="C426" t="str">
            <v>AX189-WA-1AA</v>
          </cell>
          <cell r="D426" t="str">
            <v>AX189-WA-1</v>
          </cell>
          <cell r="E426">
            <v>1168</v>
          </cell>
          <cell r="F426" t="str">
            <v>mm</v>
          </cell>
          <cell r="G426" t="str">
            <v>Aldila</v>
          </cell>
        </row>
        <row r="427">
          <cell r="C427" t="str">
            <v>AX189-WR-1AA</v>
          </cell>
          <cell r="D427" t="str">
            <v>AX189-WR-1</v>
          </cell>
          <cell r="E427">
            <v>1168</v>
          </cell>
          <cell r="F427" t="str">
            <v>mm</v>
          </cell>
          <cell r="G427" t="str">
            <v>Aldila</v>
          </cell>
        </row>
        <row r="428">
          <cell r="C428" t="str">
            <v>AX189-WS-1AA</v>
          </cell>
          <cell r="D428" t="str">
            <v>AX189-WS-1</v>
          </cell>
          <cell r="E428">
            <v>1168</v>
          </cell>
          <cell r="F428" t="str">
            <v>mm</v>
          </cell>
          <cell r="G428" t="str">
            <v>Aldila</v>
          </cell>
        </row>
        <row r="429">
          <cell r="C429" t="str">
            <v>AX188-WR-1AA</v>
          </cell>
          <cell r="D429" t="str">
            <v>AX188-WR-1</v>
          </cell>
          <cell r="E429">
            <v>1168</v>
          </cell>
          <cell r="F429" t="str">
            <v>mm</v>
          </cell>
          <cell r="G429" t="str">
            <v>Aldila</v>
          </cell>
        </row>
        <row r="430">
          <cell r="C430" t="str">
            <v>AX189-WL-1AA</v>
          </cell>
          <cell r="D430" t="str">
            <v>AX189-WL-1</v>
          </cell>
          <cell r="E430">
            <v>1168</v>
          </cell>
          <cell r="F430" t="str">
            <v>mm</v>
          </cell>
          <cell r="G430" t="str">
            <v>Aldila</v>
          </cell>
        </row>
        <row r="431">
          <cell r="C431" t="str">
            <v>MX933-IS-1A</v>
          </cell>
          <cell r="D431" t="str">
            <v>MX933-IS-1</v>
          </cell>
          <cell r="E431">
            <v>1067</v>
          </cell>
          <cell r="F431" t="str">
            <v>mm</v>
          </cell>
          <cell r="G431" t="str">
            <v>Mitsubishi Chemical</v>
          </cell>
        </row>
        <row r="432">
          <cell r="C432" t="str">
            <v>MX933-IX-1A</v>
          </cell>
          <cell r="D432" t="str">
            <v>MX933-IX-1</v>
          </cell>
          <cell r="E432">
            <v>1067</v>
          </cell>
          <cell r="F432" t="str">
            <v>mm</v>
          </cell>
          <cell r="G432" t="str">
            <v>Mitsubishi Chemical</v>
          </cell>
        </row>
        <row r="433">
          <cell r="C433" t="str">
            <v>MX934-IX-1A</v>
          </cell>
          <cell r="D433" t="str">
            <v>MX934-IX-1</v>
          </cell>
          <cell r="E433">
            <v>1067</v>
          </cell>
          <cell r="F433" t="str">
            <v>mm</v>
          </cell>
          <cell r="G433" t="str">
            <v>Mitsubishi Chemical</v>
          </cell>
        </row>
        <row r="434">
          <cell r="C434" t="str">
            <v>SF307-IR-1A</v>
          </cell>
          <cell r="D434" t="str">
            <v>SF307-IR-1</v>
          </cell>
          <cell r="E434">
            <v>1067</v>
          </cell>
          <cell r="F434" t="str">
            <v>mm</v>
          </cell>
          <cell r="G434" t="str">
            <v>Mitsubishi Chemical</v>
          </cell>
        </row>
        <row r="435">
          <cell r="C435" t="str">
            <v>SF244-IS-3E</v>
          </cell>
          <cell r="D435" t="str">
            <v>SF244-IS-3</v>
          </cell>
          <cell r="E435">
            <v>1067</v>
          </cell>
          <cell r="F435" t="str">
            <v>mm</v>
          </cell>
          <cell r="G435" t="str">
            <v>Mitsubishi Chemical</v>
          </cell>
        </row>
        <row r="436">
          <cell r="C436" t="str">
            <v>SF250-IS-3E</v>
          </cell>
          <cell r="D436" t="str">
            <v>SF250-IS-3</v>
          </cell>
          <cell r="E436">
            <v>1067</v>
          </cell>
          <cell r="F436" t="str">
            <v>mm</v>
          </cell>
          <cell r="G436" t="str">
            <v>Mitsubishi Chemical</v>
          </cell>
        </row>
        <row r="437">
          <cell r="C437" t="str">
            <v>SF246-WL-1D</v>
          </cell>
          <cell r="D437" t="str">
            <v>SF246-WL-1</v>
          </cell>
          <cell r="E437">
            <v>1118</v>
          </cell>
          <cell r="F437" t="str">
            <v>mm</v>
          </cell>
          <cell r="G437" t="str">
            <v>Mitsubishi Chemical</v>
          </cell>
        </row>
        <row r="438">
          <cell r="C438" t="str">
            <v>CW152-WS-1B</v>
          </cell>
          <cell r="D438" t="str">
            <v>CW152-WS-1</v>
          </cell>
          <cell r="E438">
            <v>1169</v>
          </cell>
          <cell r="F438" t="str">
            <v>mm</v>
          </cell>
          <cell r="G438" t="str">
            <v>Mitsubishi Chemical</v>
          </cell>
        </row>
        <row r="439">
          <cell r="C439" t="str">
            <v>CW152-WSR1B</v>
          </cell>
          <cell r="D439" t="str">
            <v>CW152-WSR1</v>
          </cell>
          <cell r="E439">
            <v>1169</v>
          </cell>
          <cell r="F439" t="str">
            <v>mm</v>
          </cell>
          <cell r="G439" t="str">
            <v>Mitsubishi Chemical</v>
          </cell>
        </row>
        <row r="440">
          <cell r="C440" t="str">
            <v>CW168-WS-1A</v>
          </cell>
          <cell r="D440" t="str">
            <v>CW168-WS-1</v>
          </cell>
          <cell r="E440">
            <v>1169</v>
          </cell>
          <cell r="F440" t="str">
            <v>mm</v>
          </cell>
          <cell r="G440" t="str">
            <v>Mitsubishi Chemical</v>
          </cell>
        </row>
        <row r="441">
          <cell r="C441" t="str">
            <v>CW168-WSR1A</v>
          </cell>
          <cell r="D441" t="str">
            <v>CW168-WSR1</v>
          </cell>
          <cell r="E441">
            <v>1169</v>
          </cell>
          <cell r="F441" t="str">
            <v>mm</v>
          </cell>
          <cell r="G441" t="str">
            <v>Mitsubishi Chemical</v>
          </cell>
        </row>
        <row r="442">
          <cell r="C442" t="str">
            <v>CW155-IR-2A</v>
          </cell>
          <cell r="D442" t="str">
            <v>CW155-IR-2</v>
          </cell>
          <cell r="E442">
            <v>1030</v>
          </cell>
          <cell r="F442" t="str">
            <v>mm</v>
          </cell>
          <cell r="G442" t="str">
            <v>Mitsubishi Chemical</v>
          </cell>
        </row>
        <row r="443">
          <cell r="C443" t="str">
            <v>CW155-WR-1B</v>
          </cell>
          <cell r="D443" t="str">
            <v>CW155-WR-1</v>
          </cell>
          <cell r="E443">
            <v>1169</v>
          </cell>
          <cell r="F443" t="str">
            <v>mm</v>
          </cell>
          <cell r="G443" t="str">
            <v>Mitsubishi Chemical</v>
          </cell>
        </row>
        <row r="444">
          <cell r="C444" t="str">
            <v>CW155-WRA1C</v>
          </cell>
          <cell r="D444" t="str">
            <v>CW155-WRA1</v>
          </cell>
          <cell r="E444">
            <v>1169</v>
          </cell>
          <cell r="F444" t="str">
            <v>mm</v>
          </cell>
          <cell r="G444" t="str">
            <v>Mitsubishi Chemical</v>
          </cell>
        </row>
        <row r="445">
          <cell r="C445" t="str">
            <v>CW155-WS-1B</v>
          </cell>
          <cell r="D445" t="str">
            <v>CW155-WS-1</v>
          </cell>
          <cell r="E445">
            <v>1169</v>
          </cell>
          <cell r="F445" t="str">
            <v>mm</v>
          </cell>
          <cell r="G445" t="str">
            <v>Mitsubishi Chemical</v>
          </cell>
        </row>
        <row r="446">
          <cell r="C446" t="str">
            <v>CW155-WSR1B</v>
          </cell>
          <cell r="D446" t="str">
            <v>CW155-WSR1</v>
          </cell>
          <cell r="E446">
            <v>1169</v>
          </cell>
          <cell r="F446" t="str">
            <v>mm</v>
          </cell>
          <cell r="G446" t="str">
            <v>Mitsubishi Chemical</v>
          </cell>
        </row>
        <row r="447">
          <cell r="C447" t="str">
            <v>CW156-WA-1A</v>
          </cell>
          <cell r="D447" t="str">
            <v>CW156-WA-1</v>
          </cell>
          <cell r="E447">
            <v>1144</v>
          </cell>
          <cell r="F447" t="str">
            <v>mm</v>
          </cell>
          <cell r="G447" t="str">
            <v>Mitsubishi Chemical</v>
          </cell>
        </row>
        <row r="448">
          <cell r="C448" t="str">
            <v>XG012-WX-1B</v>
          </cell>
          <cell r="D448" t="str">
            <v>XG012-WX-1</v>
          </cell>
          <cell r="E448">
            <v>1168</v>
          </cell>
          <cell r="F448" t="str">
            <v>mm</v>
          </cell>
          <cell r="G448" t="str">
            <v>Mitsubishi Chemical</v>
          </cell>
        </row>
        <row r="449">
          <cell r="C449" t="str">
            <v>AX203-IL-1EA</v>
          </cell>
          <cell r="D449" t="str">
            <v>AX203-IL-1</v>
          </cell>
          <cell r="E449">
            <v>1042</v>
          </cell>
          <cell r="F449" t="str">
            <v>mm</v>
          </cell>
          <cell r="G449" t="str">
            <v>Aldila</v>
          </cell>
        </row>
        <row r="450">
          <cell r="C450" t="str">
            <v>AX202-WA-1EA</v>
          </cell>
          <cell r="D450" t="str">
            <v>AX202-WA-1</v>
          </cell>
          <cell r="E450">
            <v>1168</v>
          </cell>
          <cell r="F450" t="str">
            <v>mm</v>
          </cell>
          <cell r="G450" t="str">
            <v>Aldila</v>
          </cell>
        </row>
        <row r="451">
          <cell r="C451" t="str">
            <v>AX202-WS-1EA</v>
          </cell>
          <cell r="D451" t="str">
            <v>AX202-WS-1</v>
          </cell>
          <cell r="E451">
            <v>1168</v>
          </cell>
          <cell r="F451" t="str">
            <v>mm</v>
          </cell>
          <cell r="G451" t="str">
            <v>Aldila</v>
          </cell>
        </row>
        <row r="452">
          <cell r="C452" t="str">
            <v>AX203-IR-1EA</v>
          </cell>
          <cell r="D452" t="str">
            <v>AX203-IR-1</v>
          </cell>
          <cell r="E452">
            <v>1042</v>
          </cell>
          <cell r="F452" t="str">
            <v>mm</v>
          </cell>
          <cell r="G452" t="str">
            <v>Aldila</v>
          </cell>
        </row>
        <row r="453">
          <cell r="C453" t="str">
            <v>AX203-IS-1EA</v>
          </cell>
          <cell r="D453" t="str">
            <v>AX203-IS-1</v>
          </cell>
          <cell r="E453">
            <v>1042</v>
          </cell>
          <cell r="F453" t="str">
            <v>mm</v>
          </cell>
          <cell r="G453" t="str">
            <v>Aldila</v>
          </cell>
        </row>
        <row r="454">
          <cell r="C454" t="str">
            <v>CW156-IL-2A</v>
          </cell>
          <cell r="D454" t="str">
            <v>CW156-IL-2</v>
          </cell>
          <cell r="E454">
            <v>1004</v>
          </cell>
          <cell r="F454" t="str">
            <v>mm</v>
          </cell>
          <cell r="G454" t="str">
            <v>Mitsubishi Chemical</v>
          </cell>
        </row>
        <row r="455">
          <cell r="C455" t="str">
            <v>CW129-WS-1B</v>
          </cell>
          <cell r="D455" t="str">
            <v>CW129-WS-1</v>
          </cell>
          <cell r="E455">
            <v>1169</v>
          </cell>
          <cell r="F455" t="str">
            <v>mm</v>
          </cell>
          <cell r="G455" t="str">
            <v>Mitsubishi Chemical</v>
          </cell>
        </row>
        <row r="456">
          <cell r="C456" t="str">
            <v>CW172-IA-1A</v>
          </cell>
          <cell r="D456" t="str">
            <v>CW172-IA-1</v>
          </cell>
          <cell r="E456">
            <v>1068</v>
          </cell>
          <cell r="F456" t="str">
            <v>mm</v>
          </cell>
          <cell r="G456" t="str">
            <v>Mitsubishi Chemical</v>
          </cell>
        </row>
        <row r="457">
          <cell r="C457" t="str">
            <v>CW156-WL-1A</v>
          </cell>
          <cell r="D457" t="str">
            <v>CW156-WL-1</v>
          </cell>
          <cell r="E457">
            <v>1144</v>
          </cell>
          <cell r="F457" t="str">
            <v>mm</v>
          </cell>
          <cell r="G457" t="str">
            <v>Mitsubishi Chemical</v>
          </cell>
        </row>
        <row r="458">
          <cell r="C458" t="str">
            <v>PG057-WS-1A</v>
          </cell>
          <cell r="D458" t="str">
            <v>PG057-WS-1</v>
          </cell>
          <cell r="E458">
            <v>1168</v>
          </cell>
          <cell r="F458" t="str">
            <v>mm</v>
          </cell>
          <cell r="G458" t="str">
            <v>Mitsubishi Chemical</v>
          </cell>
        </row>
        <row r="459">
          <cell r="C459" t="str">
            <v>MZ050-IR-7A</v>
          </cell>
          <cell r="D459" t="str">
            <v>MZ050-IR-7</v>
          </cell>
          <cell r="E459">
            <v>940</v>
          </cell>
          <cell r="F459" t="str">
            <v>mm</v>
          </cell>
          <cell r="G459" t="str">
            <v>Mitsubishi Chemical</v>
          </cell>
        </row>
        <row r="460">
          <cell r="C460" t="str">
            <v>MZ050-IS-3A</v>
          </cell>
          <cell r="D460" t="str">
            <v>MZ050-IS-3</v>
          </cell>
          <cell r="E460">
            <v>991</v>
          </cell>
          <cell r="F460" t="str">
            <v>mm</v>
          </cell>
          <cell r="G460" t="str">
            <v>Mitsubishi Chemical</v>
          </cell>
        </row>
        <row r="461">
          <cell r="C461" t="str">
            <v>MZ050-IS-4A</v>
          </cell>
          <cell r="D461" t="str">
            <v>MZ050-IS-4</v>
          </cell>
          <cell r="E461">
            <v>978</v>
          </cell>
          <cell r="F461" t="str">
            <v>mm</v>
          </cell>
          <cell r="G461" t="str">
            <v>Mitsubishi Chemical</v>
          </cell>
        </row>
        <row r="462">
          <cell r="C462" t="str">
            <v>MZ051-IS-4A</v>
          </cell>
          <cell r="D462" t="str">
            <v>MZ051-IS-4</v>
          </cell>
          <cell r="E462">
            <v>978</v>
          </cell>
          <cell r="F462" t="str">
            <v>mm</v>
          </cell>
          <cell r="G462" t="str">
            <v>Mitsubishi Chemical</v>
          </cell>
        </row>
        <row r="463">
          <cell r="C463" t="str">
            <v>MZ051-IS-7A</v>
          </cell>
          <cell r="D463" t="str">
            <v>MZ051-IS-7</v>
          </cell>
          <cell r="E463">
            <v>940</v>
          </cell>
          <cell r="F463" t="str">
            <v>mm</v>
          </cell>
          <cell r="G463" t="str">
            <v>Mitsubishi Chemical</v>
          </cell>
        </row>
        <row r="464">
          <cell r="C464" t="str">
            <v>MZ051-IS-9A</v>
          </cell>
          <cell r="D464" t="str">
            <v>MZ051-IS-9</v>
          </cell>
          <cell r="E464">
            <v>914</v>
          </cell>
          <cell r="F464" t="str">
            <v>mm</v>
          </cell>
          <cell r="G464" t="str">
            <v>Mitsubishi Chemical</v>
          </cell>
        </row>
        <row r="465">
          <cell r="C465" t="str">
            <v>MZ051-IS-PA</v>
          </cell>
          <cell r="D465" t="str">
            <v>MZ051-IS-P</v>
          </cell>
          <cell r="E465">
            <v>902</v>
          </cell>
          <cell r="F465" t="str">
            <v>mm</v>
          </cell>
          <cell r="G465" t="str">
            <v>Mitsubishi Chemical</v>
          </cell>
        </row>
        <row r="466">
          <cell r="C466" t="str">
            <v>MZ051-IS-3A</v>
          </cell>
          <cell r="D466" t="str">
            <v>MZ051-IS-3</v>
          </cell>
          <cell r="E466">
            <v>991</v>
          </cell>
          <cell r="F466" t="str">
            <v>mm</v>
          </cell>
          <cell r="G466" t="str">
            <v>Mitsubishi Chemical</v>
          </cell>
        </row>
        <row r="467">
          <cell r="C467" t="str">
            <v>MZ051-IS-5A</v>
          </cell>
          <cell r="D467" t="str">
            <v>MZ051-IS-5</v>
          </cell>
          <cell r="E467">
            <v>965</v>
          </cell>
          <cell r="F467" t="str">
            <v>mm</v>
          </cell>
          <cell r="G467" t="str">
            <v>Mitsubishi Chemical</v>
          </cell>
        </row>
        <row r="468">
          <cell r="C468" t="str">
            <v>MZ051-IS-6A</v>
          </cell>
          <cell r="D468" t="str">
            <v>MZ051-IS-6</v>
          </cell>
          <cell r="E468">
            <v>953</v>
          </cell>
          <cell r="F468" t="str">
            <v>mm</v>
          </cell>
          <cell r="G468" t="str">
            <v>Mitsubishi Chemical</v>
          </cell>
        </row>
        <row r="469">
          <cell r="C469" t="str">
            <v>MZ051-IS-8A</v>
          </cell>
          <cell r="D469" t="str">
            <v>MZ051-IS-8</v>
          </cell>
          <cell r="E469">
            <v>927</v>
          </cell>
          <cell r="F469" t="str">
            <v>mm</v>
          </cell>
          <cell r="G469" t="str">
            <v>Mitsubishi Chemical</v>
          </cell>
        </row>
        <row r="470">
          <cell r="C470" t="str">
            <v>AX124-IR-3PA</v>
          </cell>
          <cell r="D470" t="str">
            <v>AX124-IR-3</v>
          </cell>
          <cell r="E470">
            <v>1005</v>
          </cell>
          <cell r="F470" t="str">
            <v>mm</v>
          </cell>
          <cell r="G470" t="str">
            <v>Aldila</v>
          </cell>
        </row>
        <row r="471">
          <cell r="C471" t="str">
            <v>AX124-IR-4PA</v>
          </cell>
          <cell r="D471" t="str">
            <v>AX124-IR-4</v>
          </cell>
          <cell r="E471">
            <v>991</v>
          </cell>
          <cell r="F471" t="str">
            <v>mm</v>
          </cell>
          <cell r="G471" t="str">
            <v>Aldila</v>
          </cell>
        </row>
        <row r="472">
          <cell r="C472" t="str">
            <v>AX124-IR-5PA</v>
          </cell>
          <cell r="D472" t="str">
            <v>AX124-IR-5</v>
          </cell>
          <cell r="E472">
            <v>978</v>
          </cell>
          <cell r="F472" t="str">
            <v>mm</v>
          </cell>
          <cell r="G472" t="str">
            <v>Aldila</v>
          </cell>
        </row>
        <row r="473">
          <cell r="C473" t="str">
            <v>AX124-IR-6PA</v>
          </cell>
          <cell r="D473" t="str">
            <v>AX124-IR-6</v>
          </cell>
          <cell r="E473">
            <v>965</v>
          </cell>
          <cell r="F473" t="str">
            <v>mm</v>
          </cell>
          <cell r="G473" t="str">
            <v>Aldila</v>
          </cell>
        </row>
        <row r="474">
          <cell r="C474" t="str">
            <v>AX124-IR-7PA</v>
          </cell>
          <cell r="D474" t="str">
            <v>AX124-IR-7</v>
          </cell>
          <cell r="E474">
            <v>953</v>
          </cell>
          <cell r="F474" t="str">
            <v>mm</v>
          </cell>
          <cell r="G474" t="str">
            <v>Aldila</v>
          </cell>
        </row>
        <row r="475">
          <cell r="C475" t="str">
            <v>AX124-IR-8PA</v>
          </cell>
          <cell r="D475" t="str">
            <v>AX124-IR-8</v>
          </cell>
          <cell r="E475">
            <v>940</v>
          </cell>
          <cell r="F475" t="str">
            <v>mm</v>
          </cell>
          <cell r="G475" t="str">
            <v>Aldila</v>
          </cell>
        </row>
        <row r="476">
          <cell r="C476" t="str">
            <v>AX124-IR-9PA</v>
          </cell>
          <cell r="D476" t="str">
            <v>AX124-IR-9</v>
          </cell>
          <cell r="E476">
            <v>927</v>
          </cell>
          <cell r="F476" t="str">
            <v>mm</v>
          </cell>
          <cell r="G476" t="str">
            <v>Aldila</v>
          </cell>
        </row>
        <row r="477">
          <cell r="C477" t="str">
            <v>MZ056-WX-1A</v>
          </cell>
          <cell r="D477" t="str">
            <v>MZ056-WX-1</v>
          </cell>
          <cell r="E477">
            <v>1168</v>
          </cell>
          <cell r="F477" t="str">
            <v>mm</v>
          </cell>
          <cell r="G477" t="str">
            <v>Mitsubishi Chemical</v>
          </cell>
        </row>
        <row r="478">
          <cell r="C478" t="str">
            <v>MX783-WS-1BO</v>
          </cell>
          <cell r="D478" t="str">
            <v>MX783-WS-1</v>
          </cell>
          <cell r="E478">
            <v>1168</v>
          </cell>
          <cell r="F478" t="str">
            <v>mm</v>
          </cell>
          <cell r="G478" t="str">
            <v>Mitsubishi Chemical</v>
          </cell>
        </row>
        <row r="479">
          <cell r="C479" t="str">
            <v>MX783-WX-1BO</v>
          </cell>
          <cell r="D479" t="str">
            <v>MX783-WX-1</v>
          </cell>
          <cell r="E479">
            <v>1168</v>
          </cell>
          <cell r="F479" t="str">
            <v>mm</v>
          </cell>
          <cell r="G479" t="str">
            <v>Mitsubishi Chemical</v>
          </cell>
        </row>
        <row r="480">
          <cell r="C480" t="str">
            <v>MX784-WS-1BO</v>
          </cell>
          <cell r="D480" t="str">
            <v>MX784-WS-1</v>
          </cell>
          <cell r="E480">
            <v>1168</v>
          </cell>
          <cell r="F480" t="str">
            <v>mm</v>
          </cell>
          <cell r="G480" t="str">
            <v>Mitsubishi Chemical</v>
          </cell>
        </row>
        <row r="481">
          <cell r="C481" t="str">
            <v>MZ042-WR-1A</v>
          </cell>
          <cell r="D481" t="str">
            <v>MZ042-WR-1</v>
          </cell>
          <cell r="E481">
            <v>1168</v>
          </cell>
          <cell r="F481" t="str">
            <v>mm</v>
          </cell>
          <cell r="G481" t="str">
            <v>Mitsubishi Chemical</v>
          </cell>
        </row>
        <row r="482">
          <cell r="C482" t="str">
            <v>MZ042-WX-1A</v>
          </cell>
          <cell r="D482" t="str">
            <v>MZ042-WX-1</v>
          </cell>
          <cell r="E482">
            <v>1168</v>
          </cell>
          <cell r="F482" t="str">
            <v>mm</v>
          </cell>
          <cell r="G482" t="str">
            <v>Mitsubishi Chemical</v>
          </cell>
        </row>
        <row r="483">
          <cell r="C483" t="str">
            <v>MZ046-IS-1A</v>
          </cell>
          <cell r="D483" t="str">
            <v>MZ046-IS-1</v>
          </cell>
          <cell r="E483">
            <v>1067</v>
          </cell>
          <cell r="F483" t="str">
            <v>mm</v>
          </cell>
          <cell r="G483" t="str">
            <v>Mitsubishi Chemical</v>
          </cell>
        </row>
        <row r="484">
          <cell r="C484" t="str">
            <v>MZ047-IS-1A</v>
          </cell>
          <cell r="D484" t="str">
            <v>MZ047-IS-1</v>
          </cell>
          <cell r="E484">
            <v>1067</v>
          </cell>
          <cell r="F484" t="str">
            <v>mm</v>
          </cell>
          <cell r="G484" t="str">
            <v>Mitsubishi Chemical</v>
          </cell>
        </row>
        <row r="485">
          <cell r="C485" t="str">
            <v>MZ047-IX-1A</v>
          </cell>
          <cell r="D485" t="str">
            <v>MZ047-IX-1</v>
          </cell>
          <cell r="E485">
            <v>1067</v>
          </cell>
          <cell r="F485" t="str">
            <v>mm</v>
          </cell>
          <cell r="G485" t="str">
            <v>Mitsubishi Chemical</v>
          </cell>
        </row>
        <row r="486">
          <cell r="C486" t="str">
            <v>MZ055-WX-1A</v>
          </cell>
          <cell r="D486" t="str">
            <v>MZ055-WX-1</v>
          </cell>
          <cell r="E486">
            <v>1168</v>
          </cell>
          <cell r="F486" t="str">
            <v>mm</v>
          </cell>
          <cell r="G486" t="str">
            <v>Mitsubishi Chemical</v>
          </cell>
        </row>
        <row r="487">
          <cell r="C487" t="str">
            <v>MZ056-WS-1A</v>
          </cell>
          <cell r="D487" t="str">
            <v>MZ056-WS-1</v>
          </cell>
          <cell r="E487">
            <v>1168</v>
          </cell>
          <cell r="F487" t="str">
            <v>mm</v>
          </cell>
          <cell r="G487" t="str">
            <v>Mitsubishi Chemical</v>
          </cell>
        </row>
        <row r="488">
          <cell r="C488" t="str">
            <v>MZ059-IX-2A</v>
          </cell>
          <cell r="D488" t="str">
            <v>MZ059-IX-2</v>
          </cell>
          <cell r="E488">
            <v>1067</v>
          </cell>
          <cell r="F488" t="str">
            <v>mm</v>
          </cell>
          <cell r="G488" t="str">
            <v>Mitsubishi Chemical</v>
          </cell>
        </row>
        <row r="489">
          <cell r="C489" t="str">
            <v>MX933-IS-1AO</v>
          </cell>
          <cell r="D489" t="str">
            <v>MX933-IS-1</v>
          </cell>
          <cell r="E489">
            <v>1067</v>
          </cell>
          <cell r="F489" t="str">
            <v>mm</v>
          </cell>
          <cell r="G489" t="str">
            <v>Mitsubishi Chemical</v>
          </cell>
        </row>
        <row r="490">
          <cell r="C490" t="str">
            <v>MX934-IX-1AO</v>
          </cell>
          <cell r="D490" t="str">
            <v>MX934-IX-1</v>
          </cell>
          <cell r="E490">
            <v>1067</v>
          </cell>
          <cell r="F490" t="str">
            <v>mm</v>
          </cell>
          <cell r="G490" t="str">
            <v>Mitsubishi Chemical</v>
          </cell>
        </row>
        <row r="491">
          <cell r="C491" t="str">
            <v>YR185-IL-6A</v>
          </cell>
          <cell r="D491" t="str">
            <v>YR185-IL-6</v>
          </cell>
          <cell r="E491">
            <v>928</v>
          </cell>
          <cell r="F491" t="str">
            <v>mm</v>
          </cell>
          <cell r="G491" t="str">
            <v>Mitsubishi Chemical</v>
          </cell>
        </row>
        <row r="492">
          <cell r="C492" t="str">
            <v>YR185-ILA6A</v>
          </cell>
          <cell r="D492" t="str">
            <v>YR185-ILA6</v>
          </cell>
          <cell r="E492">
            <v>928</v>
          </cell>
          <cell r="F492" t="str">
            <v>mm</v>
          </cell>
          <cell r="G492" t="str">
            <v>Mitsubishi Chemical</v>
          </cell>
        </row>
        <row r="493">
          <cell r="C493" t="str">
            <v>MR126-IR-5A</v>
          </cell>
          <cell r="D493" t="str">
            <v>MR126-IR-5</v>
          </cell>
          <cell r="E493">
            <v>1003</v>
          </cell>
          <cell r="F493" t="str">
            <v>mm</v>
          </cell>
          <cell r="G493" t="str">
            <v>Mitsubishi Chemical</v>
          </cell>
        </row>
        <row r="494">
          <cell r="C494" t="str">
            <v>MR126-IR-5B</v>
          </cell>
          <cell r="D494" t="str">
            <v>MR126-IR-5</v>
          </cell>
          <cell r="E494">
            <v>1003</v>
          </cell>
          <cell r="F494" t="str">
            <v>mm</v>
          </cell>
          <cell r="G494" t="str">
            <v>Mitsubishi Chemical</v>
          </cell>
        </row>
        <row r="495">
          <cell r="C495" t="str">
            <v>MR126-IR-9A</v>
          </cell>
          <cell r="D495" t="str">
            <v>MR126-IR-9</v>
          </cell>
          <cell r="E495">
            <v>953</v>
          </cell>
          <cell r="F495" t="str">
            <v>mm</v>
          </cell>
          <cell r="G495" t="str">
            <v>Mitsubishi Chemical</v>
          </cell>
        </row>
        <row r="496">
          <cell r="C496" t="str">
            <v>MR126-IR-9B</v>
          </cell>
          <cell r="D496" t="str">
            <v>MR126-IR-9</v>
          </cell>
          <cell r="E496">
            <v>953</v>
          </cell>
          <cell r="F496" t="str">
            <v>mm</v>
          </cell>
          <cell r="G496" t="str">
            <v>Mitsubishi Chemical</v>
          </cell>
        </row>
        <row r="497">
          <cell r="C497" t="str">
            <v>MR145-US-3A</v>
          </cell>
          <cell r="D497" t="str">
            <v>MR145-US-3</v>
          </cell>
          <cell r="E497">
            <v>1092</v>
          </cell>
          <cell r="F497" t="str">
            <v>mm</v>
          </cell>
          <cell r="G497" t="str">
            <v>Mitsubishi Chemical</v>
          </cell>
        </row>
        <row r="498">
          <cell r="C498" t="str">
            <v>MR145-WS-3A</v>
          </cell>
          <cell r="D498" t="str">
            <v>MR145-WS-3</v>
          </cell>
          <cell r="E498">
            <v>1118</v>
          </cell>
          <cell r="F498" t="str">
            <v>mm</v>
          </cell>
          <cell r="G498" t="str">
            <v>Mitsubishi Chemical</v>
          </cell>
        </row>
        <row r="499">
          <cell r="C499" t="str">
            <v>MX550-WTX1AR</v>
          </cell>
          <cell r="D499" t="str">
            <v>MX550-WTX1</v>
          </cell>
          <cell r="E499" t="str">
            <v>1168</v>
          </cell>
          <cell r="F499" t="str">
            <v>mm</v>
          </cell>
          <cell r="G499" t="str">
            <v>Mitsubishi Chemical</v>
          </cell>
        </row>
        <row r="500">
          <cell r="C500" t="str">
            <v>SF306-WA-1A</v>
          </cell>
          <cell r="D500" t="str">
            <v>SF306-WA-1</v>
          </cell>
          <cell r="E500">
            <v>1143</v>
          </cell>
          <cell r="F500" t="str">
            <v>mm</v>
          </cell>
          <cell r="G500" t="str">
            <v>Mitsubishi Chemical</v>
          </cell>
        </row>
        <row r="501">
          <cell r="C501" t="str">
            <v>SF307-IA-1A</v>
          </cell>
          <cell r="D501" t="str">
            <v>SF307-IA-1</v>
          </cell>
          <cell r="E501">
            <v>1067</v>
          </cell>
          <cell r="F501" t="str">
            <v>mm</v>
          </cell>
          <cell r="G501" t="str">
            <v>Mitsubishi Chemical</v>
          </cell>
        </row>
        <row r="502">
          <cell r="C502" t="str">
            <v>CW106-IR-PA</v>
          </cell>
          <cell r="D502" t="str">
            <v>CW106-IR-P</v>
          </cell>
          <cell r="E502">
            <v>902</v>
          </cell>
          <cell r="F502" t="str">
            <v>mm</v>
          </cell>
          <cell r="G502" t="str">
            <v>Mitsubishi Chemical</v>
          </cell>
        </row>
        <row r="503">
          <cell r="C503" t="str">
            <v>AX204-WA-1SA</v>
          </cell>
          <cell r="D503" t="str">
            <v>AX204-WA-1</v>
          </cell>
          <cell r="E503">
            <v>1143</v>
          </cell>
          <cell r="F503" t="str">
            <v>mm</v>
          </cell>
          <cell r="G503" t="str">
            <v>Aldila</v>
          </cell>
        </row>
        <row r="504">
          <cell r="C504" t="str">
            <v>AX204-WR-1SA</v>
          </cell>
          <cell r="D504" t="str">
            <v>AX204-WR-1</v>
          </cell>
          <cell r="E504">
            <v>1143</v>
          </cell>
          <cell r="F504" t="str">
            <v>mm</v>
          </cell>
          <cell r="G504" t="str">
            <v>Aldila</v>
          </cell>
        </row>
        <row r="505">
          <cell r="C505" t="str">
            <v>AX204-WS-1SA</v>
          </cell>
          <cell r="D505" t="str">
            <v>AX204-WS-1</v>
          </cell>
          <cell r="E505">
            <v>1143</v>
          </cell>
          <cell r="F505" t="str">
            <v>mm</v>
          </cell>
          <cell r="G505" t="str">
            <v>Aldila</v>
          </cell>
        </row>
        <row r="506">
          <cell r="C506" t="str">
            <v>AX207-IA-1SA</v>
          </cell>
          <cell r="D506" t="str">
            <v>AX207-IA-1</v>
          </cell>
          <cell r="E506">
            <v>1067</v>
          </cell>
          <cell r="F506" t="str">
            <v>mm</v>
          </cell>
          <cell r="G506" t="str">
            <v>Aldila</v>
          </cell>
        </row>
        <row r="507">
          <cell r="C507" t="str">
            <v>SF288-WA-1A</v>
          </cell>
          <cell r="D507" t="str">
            <v>SF288-WA-1</v>
          </cell>
          <cell r="E507">
            <v>1118</v>
          </cell>
          <cell r="F507" t="str">
            <v>mm</v>
          </cell>
          <cell r="G507" t="str">
            <v>Mitsubishi Chemical</v>
          </cell>
        </row>
        <row r="508">
          <cell r="C508" t="str">
            <v>SF288-WL-1A</v>
          </cell>
          <cell r="D508" t="str">
            <v>SF288-WL-1</v>
          </cell>
          <cell r="E508">
            <v>1118</v>
          </cell>
          <cell r="F508" t="str">
            <v>mm</v>
          </cell>
          <cell r="G508" t="str">
            <v>Mitsubishi Chemical</v>
          </cell>
        </row>
        <row r="509">
          <cell r="C509" t="str">
            <v>SF248-IA-1D</v>
          </cell>
          <cell r="D509" t="str">
            <v>SF248-IA-1</v>
          </cell>
          <cell r="E509">
            <v>1054</v>
          </cell>
          <cell r="F509" t="str">
            <v>mm</v>
          </cell>
          <cell r="G509" t="str">
            <v>Mitsubishi Chemical</v>
          </cell>
        </row>
        <row r="510">
          <cell r="C510" t="str">
            <v>SU031-IS-PA</v>
          </cell>
          <cell r="D510" t="str">
            <v>SU031-IS-P</v>
          </cell>
          <cell r="E510">
            <v>902</v>
          </cell>
          <cell r="F510" t="str">
            <v>mm</v>
          </cell>
          <cell r="G510" t="str">
            <v>Mitsubishi Chemical</v>
          </cell>
        </row>
        <row r="511">
          <cell r="C511" t="str">
            <v>MX902-IS-2A</v>
          </cell>
          <cell r="D511" t="str">
            <v>MX902-IS-2</v>
          </cell>
          <cell r="E511">
            <v>1003</v>
          </cell>
          <cell r="F511" t="str">
            <v>mm</v>
          </cell>
          <cell r="G511" t="str">
            <v>Mitsubishi Chemical</v>
          </cell>
        </row>
        <row r="512">
          <cell r="C512" t="str">
            <v>MX902-IS-3A</v>
          </cell>
          <cell r="D512" t="str">
            <v>MX902-IS-3</v>
          </cell>
          <cell r="E512">
            <v>991</v>
          </cell>
          <cell r="F512" t="str">
            <v>mm</v>
          </cell>
          <cell r="G512" t="str">
            <v>Mitsubishi Chemical</v>
          </cell>
        </row>
        <row r="513">
          <cell r="C513" t="str">
            <v>MX902-IS-4A</v>
          </cell>
          <cell r="D513" t="str">
            <v>MX902-IS-4</v>
          </cell>
          <cell r="E513">
            <v>978</v>
          </cell>
          <cell r="F513" t="str">
            <v>mm</v>
          </cell>
          <cell r="G513" t="str">
            <v>Mitsubishi Chemical</v>
          </cell>
        </row>
        <row r="514">
          <cell r="C514" t="str">
            <v>MX903-IS-PA</v>
          </cell>
          <cell r="D514" t="str">
            <v>MX903-IS-P</v>
          </cell>
          <cell r="E514">
            <v>902</v>
          </cell>
          <cell r="F514" t="str">
            <v>mm</v>
          </cell>
          <cell r="G514" t="str">
            <v>Mitsubishi Chemical</v>
          </cell>
        </row>
        <row r="515">
          <cell r="C515" t="str">
            <v>MX903-IX-2A</v>
          </cell>
          <cell r="D515" t="str">
            <v>MX903-IX-2</v>
          </cell>
          <cell r="E515">
            <v>1003</v>
          </cell>
          <cell r="F515" t="str">
            <v>mm</v>
          </cell>
          <cell r="G515" t="str">
            <v>Mitsubishi Chemical</v>
          </cell>
        </row>
        <row r="516">
          <cell r="C516" t="str">
            <v>MX904-IS-6A</v>
          </cell>
          <cell r="D516" t="str">
            <v>MX904-IS-6</v>
          </cell>
          <cell r="E516">
            <v>953</v>
          </cell>
          <cell r="F516" t="str">
            <v>mm</v>
          </cell>
          <cell r="G516" t="str">
            <v>Mitsubishi Chemical</v>
          </cell>
        </row>
        <row r="517">
          <cell r="C517" t="str">
            <v>MX944-IR-4A</v>
          </cell>
          <cell r="D517" t="str">
            <v>MX944-IR-4</v>
          </cell>
          <cell r="E517">
            <v>994</v>
          </cell>
          <cell r="F517" t="str">
            <v>mm</v>
          </cell>
          <cell r="G517" t="str">
            <v>Mitsubishi Chemical</v>
          </cell>
        </row>
        <row r="518">
          <cell r="C518" t="str">
            <v>MX944-IR-8A</v>
          </cell>
          <cell r="D518" t="str">
            <v>MX944-IR-8</v>
          </cell>
          <cell r="E518">
            <v>940</v>
          </cell>
          <cell r="F518" t="str">
            <v>mm</v>
          </cell>
          <cell r="G518" t="str">
            <v>Mitsubishi Chemical</v>
          </cell>
        </row>
        <row r="519">
          <cell r="C519" t="str">
            <v>MX944-IR-9A</v>
          </cell>
          <cell r="D519" t="str">
            <v>MX944-IR-9</v>
          </cell>
          <cell r="E519">
            <v>927</v>
          </cell>
          <cell r="F519" t="str">
            <v>mm</v>
          </cell>
          <cell r="G519" t="str">
            <v>Mitsubishi Chemical</v>
          </cell>
        </row>
        <row r="520">
          <cell r="C520" t="str">
            <v>MX944-IR-PA</v>
          </cell>
          <cell r="D520" t="str">
            <v>MX944-IR-P</v>
          </cell>
          <cell r="E520">
            <v>912</v>
          </cell>
          <cell r="F520" t="str">
            <v>mm</v>
          </cell>
          <cell r="G520" t="str">
            <v>Mitsubishi Chemical</v>
          </cell>
        </row>
        <row r="521">
          <cell r="C521" t="str">
            <v>MX944-IS-PA</v>
          </cell>
          <cell r="D521" t="str">
            <v>MX944-IS-P</v>
          </cell>
          <cell r="E521">
            <v>912</v>
          </cell>
          <cell r="F521" t="str">
            <v>mm</v>
          </cell>
          <cell r="G521" t="str">
            <v>Mitsubishi Chemical</v>
          </cell>
        </row>
        <row r="522">
          <cell r="C522" t="str">
            <v>MX945-IR-4A</v>
          </cell>
          <cell r="D522" t="str">
            <v>MX945-IR-4</v>
          </cell>
          <cell r="E522">
            <v>994</v>
          </cell>
          <cell r="F522" t="str">
            <v>mm</v>
          </cell>
          <cell r="G522" t="str">
            <v>Mitsubishi Chemical</v>
          </cell>
        </row>
        <row r="523">
          <cell r="C523" t="str">
            <v>MX945-IR-5A</v>
          </cell>
          <cell r="D523" t="str">
            <v>MX945-IR-5</v>
          </cell>
          <cell r="E523">
            <v>979</v>
          </cell>
          <cell r="F523" t="str">
            <v>mm</v>
          </cell>
          <cell r="G523" t="str">
            <v>Mitsubishi Chemical</v>
          </cell>
        </row>
        <row r="524">
          <cell r="C524" t="str">
            <v>MX945-IR-6A</v>
          </cell>
          <cell r="D524" t="str">
            <v>MX945-IR-6</v>
          </cell>
          <cell r="E524">
            <v>966</v>
          </cell>
          <cell r="F524" t="str">
            <v>mm</v>
          </cell>
          <cell r="G524" t="str">
            <v>Mitsubishi Chemical</v>
          </cell>
        </row>
        <row r="525">
          <cell r="C525" t="str">
            <v>MX945-IR-8A</v>
          </cell>
          <cell r="D525" t="str">
            <v>MX945-IR-8</v>
          </cell>
          <cell r="E525">
            <v>940</v>
          </cell>
          <cell r="F525" t="str">
            <v>mm</v>
          </cell>
          <cell r="G525" t="str">
            <v>Mitsubishi Chemical</v>
          </cell>
        </row>
        <row r="526">
          <cell r="C526" t="str">
            <v>MX945-IR-9A</v>
          </cell>
          <cell r="D526" t="str">
            <v>MX945-IR-9</v>
          </cell>
          <cell r="E526">
            <v>927</v>
          </cell>
          <cell r="F526" t="str">
            <v>mm</v>
          </cell>
          <cell r="G526" t="str">
            <v>Mitsubishi Chemical</v>
          </cell>
        </row>
        <row r="527">
          <cell r="C527" t="str">
            <v>MX945-IS-4A</v>
          </cell>
          <cell r="D527" t="str">
            <v>MX945-IS-4</v>
          </cell>
          <cell r="E527">
            <v>994</v>
          </cell>
          <cell r="F527" t="str">
            <v>mm</v>
          </cell>
          <cell r="G527" t="str">
            <v>Mitsubishi Chemical</v>
          </cell>
        </row>
        <row r="528">
          <cell r="C528" t="str">
            <v>MX945-IS-5A</v>
          </cell>
          <cell r="D528" t="str">
            <v>MX945-IS-5</v>
          </cell>
          <cell r="E528">
            <v>979</v>
          </cell>
          <cell r="F528" t="str">
            <v>mm</v>
          </cell>
          <cell r="G528" t="str">
            <v>Mitsubishi Chemical</v>
          </cell>
        </row>
        <row r="529">
          <cell r="C529" t="str">
            <v>MX945-IS-6A</v>
          </cell>
          <cell r="D529" t="str">
            <v>MX945-IS-6</v>
          </cell>
          <cell r="E529">
            <v>966</v>
          </cell>
          <cell r="F529" t="str">
            <v>mm</v>
          </cell>
          <cell r="G529" t="str">
            <v>Mitsubishi Chemical</v>
          </cell>
        </row>
        <row r="530">
          <cell r="C530" t="str">
            <v>MX945-IS-7A</v>
          </cell>
          <cell r="D530" t="str">
            <v>MX945-IS-7</v>
          </cell>
          <cell r="E530">
            <v>953</v>
          </cell>
          <cell r="F530" t="str">
            <v>mm</v>
          </cell>
          <cell r="G530" t="str">
            <v>Mitsubishi Chemical</v>
          </cell>
        </row>
        <row r="531">
          <cell r="C531" t="str">
            <v>MX945-IS-8A</v>
          </cell>
          <cell r="D531" t="str">
            <v>MX945-IS-8</v>
          </cell>
          <cell r="E531">
            <v>940</v>
          </cell>
          <cell r="F531" t="str">
            <v>mm</v>
          </cell>
          <cell r="G531" t="str">
            <v>Mitsubishi Chemical</v>
          </cell>
        </row>
        <row r="532">
          <cell r="C532" t="str">
            <v>MX945-IS-9A</v>
          </cell>
          <cell r="D532" t="str">
            <v>MX945-IS-9</v>
          </cell>
          <cell r="E532">
            <v>927</v>
          </cell>
          <cell r="F532" t="str">
            <v>mm</v>
          </cell>
          <cell r="G532" t="str">
            <v>Mitsubishi Chemical</v>
          </cell>
        </row>
        <row r="533">
          <cell r="C533" t="str">
            <v>MX945-IS-PA</v>
          </cell>
          <cell r="D533" t="str">
            <v>MX945-IS-P</v>
          </cell>
          <cell r="E533">
            <v>912</v>
          </cell>
          <cell r="F533" t="str">
            <v>mm</v>
          </cell>
          <cell r="G533" t="str">
            <v>Mitsubishi Chemical</v>
          </cell>
        </row>
        <row r="534">
          <cell r="C534" t="str">
            <v>MX906-IS-1A</v>
          </cell>
          <cell r="D534" t="str">
            <v>MX906-IS-1</v>
          </cell>
          <cell r="E534">
            <v>1067</v>
          </cell>
          <cell r="F534" t="str">
            <v>mm</v>
          </cell>
          <cell r="G534" t="str">
            <v>Mitsubishi Chemical</v>
          </cell>
        </row>
        <row r="535">
          <cell r="C535" t="str">
            <v>MX906-IX-1A</v>
          </cell>
          <cell r="D535" t="str">
            <v>MX906-IX-1</v>
          </cell>
          <cell r="E535">
            <v>1067</v>
          </cell>
          <cell r="F535" t="str">
            <v>mm</v>
          </cell>
          <cell r="G535" t="str">
            <v>Mitsubishi Chemical</v>
          </cell>
        </row>
        <row r="536">
          <cell r="C536" t="str">
            <v>HI001-WA-1A</v>
          </cell>
          <cell r="D536" t="str">
            <v>HI001-WA-1</v>
          </cell>
          <cell r="E536">
            <v>1168</v>
          </cell>
          <cell r="F536" t="str">
            <v>mm</v>
          </cell>
          <cell r="G536" t="str">
            <v>Mitsubishi Chemical</v>
          </cell>
        </row>
        <row r="537">
          <cell r="C537" t="str">
            <v>HI002-WR-1A</v>
          </cell>
          <cell r="D537" t="str">
            <v>HI002-WR-1</v>
          </cell>
          <cell r="E537">
            <v>1168</v>
          </cell>
          <cell r="F537" t="str">
            <v>mm</v>
          </cell>
          <cell r="G537" t="str">
            <v>Mitsubishi Chemical</v>
          </cell>
        </row>
        <row r="538">
          <cell r="C538" t="str">
            <v>HI003-WR-1A</v>
          </cell>
          <cell r="D538" t="str">
            <v>HI003-WR-1</v>
          </cell>
          <cell r="E538">
            <v>1168</v>
          </cell>
          <cell r="F538" t="str">
            <v>mm</v>
          </cell>
          <cell r="G538" t="str">
            <v>Mitsubishi Chemical</v>
          </cell>
        </row>
        <row r="539">
          <cell r="C539" t="str">
            <v>HI005-IA-1A</v>
          </cell>
          <cell r="D539" t="str">
            <v>HI005-IA-1</v>
          </cell>
          <cell r="E539">
            <v>1067</v>
          </cell>
          <cell r="F539" t="str">
            <v>mm</v>
          </cell>
          <cell r="G539" t="str">
            <v>Mitsubishi Chemical</v>
          </cell>
        </row>
        <row r="540">
          <cell r="C540" t="str">
            <v>HI006-IA-3A</v>
          </cell>
          <cell r="D540" t="str">
            <v>HI006-IA-3</v>
          </cell>
          <cell r="E540">
            <v>1016</v>
          </cell>
          <cell r="F540" t="str">
            <v>mm</v>
          </cell>
          <cell r="G540" t="str">
            <v>Mitsubishi Chemical</v>
          </cell>
        </row>
        <row r="541">
          <cell r="C541" t="str">
            <v>HI006-IS-3A</v>
          </cell>
          <cell r="D541" t="str">
            <v>HI006-IS-3</v>
          </cell>
          <cell r="E541">
            <v>1016</v>
          </cell>
          <cell r="F541" t="str">
            <v>mm</v>
          </cell>
          <cell r="G541" t="str">
            <v>Mitsubishi Chemical</v>
          </cell>
        </row>
        <row r="542">
          <cell r="C542" t="str">
            <v>MR145-IR-5A</v>
          </cell>
          <cell r="D542" t="str">
            <v>MR145-IR-5</v>
          </cell>
          <cell r="E542">
            <v>1003</v>
          </cell>
          <cell r="F542" t="str">
            <v>mm</v>
          </cell>
          <cell r="G542" t="str">
            <v>Mitsubishi Chemical</v>
          </cell>
        </row>
        <row r="543">
          <cell r="C543" t="str">
            <v>MR145-ISR9A</v>
          </cell>
          <cell r="D543" t="str">
            <v>MR145-ISR9</v>
          </cell>
          <cell r="E543">
            <v>953</v>
          </cell>
          <cell r="F543" t="str">
            <v>mm</v>
          </cell>
          <cell r="G543" t="str">
            <v>Mitsubishi Chemical</v>
          </cell>
        </row>
        <row r="544">
          <cell r="C544" t="str">
            <v>MR145-UR-3A</v>
          </cell>
          <cell r="D544" t="str">
            <v>MR145-UR-3</v>
          </cell>
          <cell r="E544">
            <v>1092</v>
          </cell>
          <cell r="F544" t="str">
            <v>mm</v>
          </cell>
          <cell r="G544" t="str">
            <v>Mitsubishi Chemical</v>
          </cell>
        </row>
        <row r="545">
          <cell r="C545" t="str">
            <v>MR145-US-3B</v>
          </cell>
          <cell r="D545" t="str">
            <v>MR145-US-3</v>
          </cell>
          <cell r="E545">
            <v>1092</v>
          </cell>
          <cell r="F545" t="str">
            <v>mm</v>
          </cell>
          <cell r="G545" t="str">
            <v>Mitsubishi Chemical</v>
          </cell>
        </row>
        <row r="546">
          <cell r="C546" t="str">
            <v>MR145-WS-1B</v>
          </cell>
          <cell r="D546" t="str">
            <v>MR145-WS-1</v>
          </cell>
          <cell r="E546">
            <v>1194</v>
          </cell>
          <cell r="F546" t="str">
            <v>mm</v>
          </cell>
          <cell r="G546" t="str">
            <v>Mitsubishi Chemical</v>
          </cell>
        </row>
        <row r="547">
          <cell r="C547" t="str">
            <v>MR145-USR3A</v>
          </cell>
          <cell r="D547" t="str">
            <v>MR145-USR3</v>
          </cell>
          <cell r="E547">
            <v>1092</v>
          </cell>
          <cell r="F547" t="str">
            <v>mm</v>
          </cell>
          <cell r="G547" t="str">
            <v>Mitsubishi Chemical</v>
          </cell>
        </row>
        <row r="548">
          <cell r="C548" t="str">
            <v>MR145-WR-1A</v>
          </cell>
          <cell r="D548" t="str">
            <v>MR145-WR-1</v>
          </cell>
          <cell r="E548">
            <v>1194</v>
          </cell>
          <cell r="F548" t="str">
            <v>mm</v>
          </cell>
          <cell r="G548" t="str">
            <v>Mitsubishi Chemical</v>
          </cell>
        </row>
        <row r="549">
          <cell r="C549" t="str">
            <v>MR145-WR-3A</v>
          </cell>
          <cell r="D549" t="str">
            <v>MR145-WR-3</v>
          </cell>
          <cell r="E549">
            <v>1118</v>
          </cell>
          <cell r="F549" t="str">
            <v>mm</v>
          </cell>
          <cell r="G549" t="str">
            <v>Mitsubishi Chemical</v>
          </cell>
        </row>
        <row r="550">
          <cell r="C550" t="str">
            <v>MR145-WR-3B</v>
          </cell>
          <cell r="D550" t="str">
            <v>MR145-WR-3</v>
          </cell>
          <cell r="E550">
            <v>1118</v>
          </cell>
          <cell r="F550" t="str">
            <v>mm</v>
          </cell>
          <cell r="G550" t="str">
            <v>Mitsubishi Chemical</v>
          </cell>
        </row>
        <row r="551">
          <cell r="C551" t="str">
            <v>MR145-WS-1A</v>
          </cell>
          <cell r="D551" t="str">
            <v>MR145-WS-1</v>
          </cell>
          <cell r="E551">
            <v>1194</v>
          </cell>
          <cell r="F551" t="str">
            <v>mm</v>
          </cell>
          <cell r="G551" t="str">
            <v>Mitsubishi Chemical</v>
          </cell>
        </row>
        <row r="552">
          <cell r="C552" t="str">
            <v>MR145-WS-3B</v>
          </cell>
          <cell r="D552" t="str">
            <v>MR145-WS-3</v>
          </cell>
          <cell r="E552">
            <v>1118</v>
          </cell>
          <cell r="F552" t="str">
            <v>mm</v>
          </cell>
          <cell r="G552" t="str">
            <v>Mitsubishi Chemical</v>
          </cell>
        </row>
        <row r="553">
          <cell r="C553" t="str">
            <v>MR145-WSR1A</v>
          </cell>
          <cell r="D553" t="str">
            <v>MR145-WSR1</v>
          </cell>
          <cell r="E553">
            <v>1194</v>
          </cell>
          <cell r="F553" t="str">
            <v>mm</v>
          </cell>
          <cell r="G553" t="str">
            <v>Mitsubishi Chemical</v>
          </cell>
        </row>
        <row r="554">
          <cell r="C554" t="str">
            <v>MR145-WSR3A</v>
          </cell>
          <cell r="D554" t="str">
            <v>MR145-WSR3</v>
          </cell>
          <cell r="E554">
            <v>1118</v>
          </cell>
          <cell r="F554" t="str">
            <v>mm</v>
          </cell>
          <cell r="G554" t="str">
            <v>Mitsubishi Chemical</v>
          </cell>
        </row>
        <row r="555">
          <cell r="C555" t="str">
            <v>MR148-IA-5A</v>
          </cell>
          <cell r="D555" t="str">
            <v>MR148-IA-5</v>
          </cell>
          <cell r="E555">
            <v>991</v>
          </cell>
          <cell r="F555" t="str">
            <v>mm</v>
          </cell>
          <cell r="G555" t="str">
            <v>Mitsubishi Chemical</v>
          </cell>
        </row>
        <row r="556">
          <cell r="C556" t="str">
            <v>MR148-WA-1A</v>
          </cell>
          <cell r="D556" t="str">
            <v>MR148-WA-1</v>
          </cell>
          <cell r="E556">
            <v>1145</v>
          </cell>
          <cell r="F556" t="str">
            <v>mm</v>
          </cell>
          <cell r="G556" t="str">
            <v>Mitsubishi Chemical</v>
          </cell>
        </row>
        <row r="557">
          <cell r="C557" t="str">
            <v>MR148-WA-3A</v>
          </cell>
          <cell r="D557" t="str">
            <v>MR148-WA-3</v>
          </cell>
          <cell r="E557">
            <v>1092</v>
          </cell>
          <cell r="F557" t="str">
            <v>mm</v>
          </cell>
          <cell r="G557" t="str">
            <v>Mitsubishi Chemical</v>
          </cell>
        </row>
        <row r="558">
          <cell r="C558" t="str">
            <v>MR145-IR-5B</v>
          </cell>
          <cell r="D558" t="str">
            <v>MR145-IR-5</v>
          </cell>
          <cell r="E558">
            <v>1003</v>
          </cell>
          <cell r="F558" t="str">
            <v>mm</v>
          </cell>
          <cell r="G558" t="str">
            <v>Mitsubishi Chemical</v>
          </cell>
        </row>
        <row r="559">
          <cell r="C559" t="str">
            <v>MR145-IR-9A</v>
          </cell>
          <cell r="D559" t="str">
            <v>MR145-IR-9</v>
          </cell>
          <cell r="E559">
            <v>953</v>
          </cell>
          <cell r="F559" t="str">
            <v>mm</v>
          </cell>
          <cell r="G559" t="str">
            <v>Mitsubishi Chemical</v>
          </cell>
        </row>
        <row r="560">
          <cell r="C560" t="str">
            <v>MR148-IL-5A</v>
          </cell>
          <cell r="D560" t="str">
            <v>MR148-IL-5</v>
          </cell>
          <cell r="E560">
            <v>991</v>
          </cell>
          <cell r="F560" t="str">
            <v>mm</v>
          </cell>
          <cell r="G560" t="str">
            <v>Mitsubishi Chemical</v>
          </cell>
        </row>
        <row r="561">
          <cell r="C561" t="str">
            <v>MR148-UL-4A</v>
          </cell>
          <cell r="D561" t="str">
            <v>MR148-UL-4</v>
          </cell>
          <cell r="E561">
            <v>1016</v>
          </cell>
          <cell r="F561" t="str">
            <v>mm</v>
          </cell>
          <cell r="G561" t="str">
            <v>Mitsubishi Chemical</v>
          </cell>
        </row>
        <row r="562">
          <cell r="C562" t="str">
            <v>MR148-WL-3A</v>
          </cell>
          <cell r="D562" t="str">
            <v>MR148-WL-3</v>
          </cell>
          <cell r="E562">
            <v>1092</v>
          </cell>
          <cell r="F562" t="str">
            <v>mm</v>
          </cell>
          <cell r="G562" t="str">
            <v>Mitsubishi Chemical</v>
          </cell>
        </row>
        <row r="563">
          <cell r="C563" t="str">
            <v>MR148-WL-1A</v>
          </cell>
          <cell r="D563" t="str">
            <v>MR148-WL-1</v>
          </cell>
          <cell r="E563">
            <v>1145</v>
          </cell>
          <cell r="F563" t="str">
            <v>mm</v>
          </cell>
          <cell r="G563" t="str">
            <v>Mitsubishi Chemical</v>
          </cell>
        </row>
        <row r="564">
          <cell r="C564" t="str">
            <v>MR148-UA-4A</v>
          </cell>
          <cell r="D564" t="str">
            <v>MR148-UA-4</v>
          </cell>
          <cell r="E564">
            <v>1016</v>
          </cell>
          <cell r="F564" t="str">
            <v>mm</v>
          </cell>
          <cell r="G564" t="str">
            <v>Mitsubishi Chemical</v>
          </cell>
        </row>
        <row r="565">
          <cell r="C565" t="str">
            <v>MR145-WSR3B</v>
          </cell>
          <cell r="D565" t="str">
            <v>MR145-WSR3</v>
          </cell>
          <cell r="E565">
            <v>1118</v>
          </cell>
          <cell r="F565" t="str">
            <v>mm</v>
          </cell>
          <cell r="G565" t="str">
            <v>Mitsubishi Chemical</v>
          </cell>
        </row>
        <row r="566">
          <cell r="C566" t="str">
            <v>MR145-WSR1B</v>
          </cell>
          <cell r="D566" t="str">
            <v>MR145-WSR1</v>
          </cell>
          <cell r="E566">
            <v>1194</v>
          </cell>
          <cell r="F566" t="str">
            <v>mm</v>
          </cell>
          <cell r="G566" t="str">
            <v>Mitsubishi Chemical</v>
          </cell>
        </row>
        <row r="567">
          <cell r="C567" t="str">
            <v>MR145-WR-1B</v>
          </cell>
          <cell r="D567" t="str">
            <v>MR145-WR-1</v>
          </cell>
          <cell r="E567">
            <v>1194</v>
          </cell>
          <cell r="F567" t="str">
            <v>mm</v>
          </cell>
          <cell r="G567" t="str">
            <v>Mitsubishi Chemical</v>
          </cell>
        </row>
        <row r="568">
          <cell r="C568" t="str">
            <v>MR145-USR3B</v>
          </cell>
          <cell r="D568" t="str">
            <v>MR145-USR3</v>
          </cell>
          <cell r="E568">
            <v>1092</v>
          </cell>
          <cell r="F568" t="str">
            <v>mm</v>
          </cell>
          <cell r="G568" t="str">
            <v>Mitsubishi Chemical</v>
          </cell>
        </row>
        <row r="569">
          <cell r="C569" t="str">
            <v>MR145-UR-3B</v>
          </cell>
          <cell r="D569" t="str">
            <v>MR145-UR-3</v>
          </cell>
          <cell r="E569">
            <v>1092</v>
          </cell>
          <cell r="F569" t="str">
            <v>mm</v>
          </cell>
          <cell r="G569" t="str">
            <v>Mitsubishi Chemical</v>
          </cell>
        </row>
        <row r="570">
          <cell r="C570" t="str">
            <v>MR145-ISR9B</v>
          </cell>
          <cell r="D570" t="str">
            <v>MR145-ISR9</v>
          </cell>
          <cell r="E570">
            <v>953</v>
          </cell>
          <cell r="F570" t="str">
            <v>mm</v>
          </cell>
          <cell r="G570" t="str">
            <v>Mitsubishi Chemical</v>
          </cell>
        </row>
        <row r="571">
          <cell r="C571" t="str">
            <v>MR145-IR-9B</v>
          </cell>
          <cell r="D571" t="str">
            <v>MR145-IR-9</v>
          </cell>
          <cell r="E571">
            <v>953</v>
          </cell>
          <cell r="F571" t="str">
            <v>mm</v>
          </cell>
          <cell r="G571" t="str">
            <v>Mitsubishi Chemical</v>
          </cell>
        </row>
        <row r="572">
          <cell r="C572" t="str">
            <v>MR145-ISR5A</v>
          </cell>
          <cell r="D572" t="str">
            <v>MR145-ISR5</v>
          </cell>
          <cell r="E572">
            <v>1003</v>
          </cell>
          <cell r="F572" t="str">
            <v>mm</v>
          </cell>
          <cell r="G572" t="str">
            <v>Mitsubishi Chemical</v>
          </cell>
        </row>
        <row r="573">
          <cell r="C573" t="str">
            <v>MR145-ISR5B</v>
          </cell>
          <cell r="D573" t="str">
            <v>MR145-ISR5</v>
          </cell>
          <cell r="E573">
            <v>1003</v>
          </cell>
          <cell r="F573" t="str">
            <v>mm</v>
          </cell>
          <cell r="G573" t="str">
            <v>Mitsubishi Chemical</v>
          </cell>
        </row>
        <row r="574">
          <cell r="C574" t="str">
            <v>YR187-IA-6A</v>
          </cell>
          <cell r="D574" t="str">
            <v>YR187-IA-6</v>
          </cell>
          <cell r="E574" t="str">
            <v>965</v>
          </cell>
          <cell r="F574" t="str">
            <v>mm</v>
          </cell>
          <cell r="G574" t="str">
            <v>Mitsubishi Chemical</v>
          </cell>
        </row>
        <row r="575">
          <cell r="C575" t="str">
            <v>YR187-IA-7A</v>
          </cell>
          <cell r="D575" t="str">
            <v>YR187-IA-7</v>
          </cell>
          <cell r="E575" t="str">
            <v>953</v>
          </cell>
          <cell r="F575" t="str">
            <v>mm</v>
          </cell>
          <cell r="G575" t="str">
            <v>Mitsubishi Chemical</v>
          </cell>
        </row>
        <row r="576">
          <cell r="C576" t="str">
            <v>YR187-IA-8A</v>
          </cell>
          <cell r="D576" t="str">
            <v>YR187-IA-8</v>
          </cell>
          <cell r="E576" t="str">
            <v>940</v>
          </cell>
          <cell r="F576" t="str">
            <v>mm</v>
          </cell>
          <cell r="G576" t="str">
            <v>Mitsubishi Chemical</v>
          </cell>
        </row>
        <row r="577">
          <cell r="C577" t="str">
            <v>CW104-WX-1A</v>
          </cell>
          <cell r="D577" t="str">
            <v>CW104-WX-1</v>
          </cell>
          <cell r="E577">
            <v>1169</v>
          </cell>
          <cell r="F577" t="str">
            <v>mm</v>
          </cell>
          <cell r="G577" t="str">
            <v>Mitsubishi Chemical</v>
          </cell>
        </row>
        <row r="578">
          <cell r="C578" t="str">
            <v>CW161-WS-1A</v>
          </cell>
          <cell r="D578" t="str">
            <v>CW161-WS-1</v>
          </cell>
          <cell r="E578">
            <v>1169</v>
          </cell>
          <cell r="F578" t="str">
            <v>mm</v>
          </cell>
          <cell r="G578" t="str">
            <v>Mitsubishi Chemical</v>
          </cell>
        </row>
        <row r="579">
          <cell r="C579" t="str">
            <v>CW162-WTX1A</v>
          </cell>
          <cell r="D579" t="str">
            <v>CW162-WTX1</v>
          </cell>
          <cell r="E579">
            <v>1169</v>
          </cell>
          <cell r="F579" t="str">
            <v>mm</v>
          </cell>
          <cell r="G579" t="str">
            <v>Mitsubishi Chemical</v>
          </cell>
        </row>
        <row r="580">
          <cell r="C580" t="str">
            <v>CW160-WTX1A</v>
          </cell>
          <cell r="D580" t="str">
            <v>CW160-WTX1</v>
          </cell>
          <cell r="E580">
            <v>1169</v>
          </cell>
          <cell r="F580" t="str">
            <v>mm</v>
          </cell>
          <cell r="G580" t="str">
            <v>Mitsubishi Chemical</v>
          </cell>
        </row>
        <row r="581">
          <cell r="C581" t="str">
            <v>CW105-WX-1A</v>
          </cell>
          <cell r="D581" t="str">
            <v>CW105-WX-1</v>
          </cell>
          <cell r="E581">
            <v>1169</v>
          </cell>
          <cell r="F581" t="str">
            <v>mm</v>
          </cell>
          <cell r="G581" t="str">
            <v>Mitsubishi Chemical</v>
          </cell>
        </row>
        <row r="582">
          <cell r="C582" t="str">
            <v>CW128-WR-1B</v>
          </cell>
          <cell r="D582" t="str">
            <v>CW128-WR-1</v>
          </cell>
          <cell r="E582">
            <v>1169</v>
          </cell>
          <cell r="F582" t="str">
            <v>mm</v>
          </cell>
          <cell r="G582" t="str">
            <v>Mitsubishi Chemical</v>
          </cell>
        </row>
        <row r="583">
          <cell r="C583" t="str">
            <v>CW128-WS-1B</v>
          </cell>
          <cell r="D583" t="str">
            <v>CW128-WS-1</v>
          </cell>
          <cell r="E583">
            <v>1169</v>
          </cell>
          <cell r="F583" t="str">
            <v>mm</v>
          </cell>
          <cell r="G583" t="str">
            <v>Mitsubishi Chemical</v>
          </cell>
        </row>
        <row r="584">
          <cell r="C584" t="str">
            <v>CW162-WS-1A</v>
          </cell>
          <cell r="D584" t="str">
            <v>CW162-WS-1</v>
          </cell>
          <cell r="E584">
            <v>1169</v>
          </cell>
          <cell r="F584" t="str">
            <v>mm</v>
          </cell>
          <cell r="G584" t="str">
            <v>Mitsubishi Chemical</v>
          </cell>
        </row>
        <row r="585">
          <cell r="C585" t="str">
            <v>CW166-WA-1A</v>
          </cell>
          <cell r="D585" t="str">
            <v>CW166-WA-1</v>
          </cell>
          <cell r="E585">
            <v>1169</v>
          </cell>
          <cell r="F585" t="str">
            <v>mm</v>
          </cell>
          <cell r="G585" t="str">
            <v>Mitsubishi Chemical</v>
          </cell>
        </row>
        <row r="586">
          <cell r="C586" t="str">
            <v>CW166-WR-1A</v>
          </cell>
          <cell r="D586" t="str">
            <v>CW166-WR-1</v>
          </cell>
          <cell r="E586">
            <v>1169</v>
          </cell>
          <cell r="F586" t="str">
            <v>mm</v>
          </cell>
          <cell r="G586" t="str">
            <v>Mitsubishi Chemical</v>
          </cell>
        </row>
        <row r="587">
          <cell r="C587" t="str">
            <v>CW166-WS-1A</v>
          </cell>
          <cell r="D587" t="str">
            <v>CW166-WS-1</v>
          </cell>
          <cell r="E587">
            <v>1169</v>
          </cell>
          <cell r="F587" t="str">
            <v>mm</v>
          </cell>
          <cell r="G587" t="str">
            <v>Mitsubishi Chemical</v>
          </cell>
        </row>
        <row r="588">
          <cell r="C588" t="str">
            <v>CW106-IR-6A</v>
          </cell>
          <cell r="D588" t="str">
            <v>CW106-IR-6</v>
          </cell>
          <cell r="E588">
            <v>953</v>
          </cell>
          <cell r="F588" t="str">
            <v>mm</v>
          </cell>
          <cell r="G588" t="str">
            <v>Mitsubishi Chemical</v>
          </cell>
        </row>
        <row r="589">
          <cell r="C589" t="str">
            <v>CW106-IR-8A</v>
          </cell>
          <cell r="D589" t="str">
            <v>CW106-IR-8</v>
          </cell>
          <cell r="E589">
            <v>927</v>
          </cell>
          <cell r="F589" t="str">
            <v>mm</v>
          </cell>
          <cell r="G589" t="str">
            <v>Mitsubishi Chemical</v>
          </cell>
        </row>
        <row r="590">
          <cell r="C590" t="str">
            <v>CW106-IR-9A</v>
          </cell>
          <cell r="D590" t="str">
            <v>CW106-IR-9</v>
          </cell>
          <cell r="E590">
            <v>914</v>
          </cell>
          <cell r="F590" t="str">
            <v>mm</v>
          </cell>
          <cell r="G590" t="str">
            <v>Mitsubishi Chemical</v>
          </cell>
        </row>
        <row r="591">
          <cell r="C591" t="str">
            <v>CW107-IS-5A</v>
          </cell>
          <cell r="D591" t="str">
            <v>CW107-IS-5</v>
          </cell>
          <cell r="E591">
            <v>965</v>
          </cell>
          <cell r="F591" t="str">
            <v>mm</v>
          </cell>
          <cell r="G591" t="str">
            <v>Mitsubishi Chemical</v>
          </cell>
        </row>
        <row r="592">
          <cell r="C592" t="str">
            <v>CW107-IS-6A</v>
          </cell>
          <cell r="D592" t="str">
            <v>CW107-IS-6</v>
          </cell>
          <cell r="E592">
            <v>953</v>
          </cell>
          <cell r="F592" t="str">
            <v>mm</v>
          </cell>
          <cell r="G592" t="str">
            <v>Mitsubishi Chemical</v>
          </cell>
        </row>
        <row r="593">
          <cell r="C593" t="str">
            <v>CW107-IS-PA</v>
          </cell>
          <cell r="D593" t="str">
            <v>CW107-IS-P</v>
          </cell>
          <cell r="E593">
            <v>902</v>
          </cell>
          <cell r="F593" t="str">
            <v>mm</v>
          </cell>
          <cell r="G593" t="str">
            <v>Mitsubishi Chemical</v>
          </cell>
        </row>
        <row r="594">
          <cell r="C594" t="str">
            <v>CW106-IR-7A</v>
          </cell>
          <cell r="D594" t="str">
            <v>CW106-IR-7</v>
          </cell>
          <cell r="E594">
            <v>940</v>
          </cell>
          <cell r="F594" t="str">
            <v>mm</v>
          </cell>
          <cell r="G594" t="str">
            <v>Mitsubishi Chemical</v>
          </cell>
        </row>
        <row r="595">
          <cell r="C595" t="str">
            <v>CW107-IS-7A</v>
          </cell>
          <cell r="D595" t="str">
            <v>CW107-IS-7</v>
          </cell>
          <cell r="E595">
            <v>940</v>
          </cell>
          <cell r="F595" t="str">
            <v>mm</v>
          </cell>
          <cell r="G595" t="str">
            <v>Mitsubishi Chemical</v>
          </cell>
        </row>
        <row r="596">
          <cell r="C596" t="str">
            <v>CW106-IR-5A</v>
          </cell>
          <cell r="D596" t="str">
            <v>CW106-IR-5</v>
          </cell>
          <cell r="E596">
            <v>965</v>
          </cell>
          <cell r="F596" t="str">
            <v>mm</v>
          </cell>
          <cell r="G596" t="str">
            <v>Mitsubishi Chemical</v>
          </cell>
        </row>
        <row r="597">
          <cell r="C597" t="str">
            <v>CW161-WTX1A</v>
          </cell>
          <cell r="D597" t="str">
            <v>CW161-WTX1</v>
          </cell>
          <cell r="E597">
            <v>1169</v>
          </cell>
          <cell r="F597" t="str">
            <v>mm</v>
          </cell>
          <cell r="G597" t="str">
            <v>Mitsubishi Chemical</v>
          </cell>
        </row>
        <row r="598">
          <cell r="C598" t="str">
            <v>CW160-WX-1A</v>
          </cell>
          <cell r="D598" t="str">
            <v>CW160-WX-1</v>
          </cell>
          <cell r="E598">
            <v>1169</v>
          </cell>
          <cell r="F598" t="str">
            <v>mm</v>
          </cell>
          <cell r="G598" t="str">
            <v>Mitsubishi Chemical</v>
          </cell>
        </row>
        <row r="599">
          <cell r="C599" t="str">
            <v>CW159-WW-1B</v>
          </cell>
          <cell r="D599" t="str">
            <v>CW159-WW-1</v>
          </cell>
          <cell r="E599">
            <v>1144</v>
          </cell>
          <cell r="F599" t="str">
            <v>mm</v>
          </cell>
          <cell r="G599" t="str">
            <v>Mitsubishi Chemical</v>
          </cell>
        </row>
        <row r="600">
          <cell r="C600" t="str">
            <v>CW160-WS-1A</v>
          </cell>
          <cell r="D600" t="str">
            <v>CW160-WS-1</v>
          </cell>
          <cell r="E600">
            <v>1169</v>
          </cell>
          <cell r="F600" t="str">
            <v>mm</v>
          </cell>
          <cell r="G600" t="str">
            <v>Mitsubishi Chemical</v>
          </cell>
        </row>
        <row r="601">
          <cell r="C601" t="str">
            <v>CW107-IS-8A</v>
          </cell>
          <cell r="D601" t="str">
            <v>CW107-IS-8</v>
          </cell>
          <cell r="E601">
            <v>927</v>
          </cell>
          <cell r="F601" t="str">
            <v>mm</v>
          </cell>
          <cell r="G601" t="str">
            <v>Mitsubishi Chemical</v>
          </cell>
        </row>
        <row r="602">
          <cell r="C602" t="str">
            <v>CW107-IS-9A</v>
          </cell>
          <cell r="D602" t="str">
            <v>CW107-IS-9</v>
          </cell>
          <cell r="E602">
            <v>914</v>
          </cell>
          <cell r="F602" t="str">
            <v>mm</v>
          </cell>
          <cell r="G602" t="str">
            <v>Mitsubishi Chemical</v>
          </cell>
        </row>
        <row r="603">
          <cell r="C603" t="str">
            <v>MZ043-WS-1A</v>
          </cell>
          <cell r="D603" t="str">
            <v>MZ043-WS-1</v>
          </cell>
          <cell r="E603">
            <v>1168</v>
          </cell>
          <cell r="F603" t="str">
            <v>mm</v>
          </cell>
          <cell r="G603" t="str">
            <v>Mitsubishi Chemical</v>
          </cell>
        </row>
        <row r="604">
          <cell r="C604" t="str">
            <v>MZ048-IA-6A</v>
          </cell>
          <cell r="D604" t="str">
            <v>MZ048-IA-6</v>
          </cell>
          <cell r="E604">
            <v>978</v>
          </cell>
          <cell r="F604" t="str">
            <v>mm</v>
          </cell>
          <cell r="G604" t="str">
            <v>Mitsubishi Chemical</v>
          </cell>
        </row>
        <row r="605">
          <cell r="C605" t="str">
            <v>MZ048-IA-8A</v>
          </cell>
          <cell r="D605" t="str">
            <v>MZ048-IA-8</v>
          </cell>
          <cell r="E605">
            <v>953</v>
          </cell>
          <cell r="F605" t="str">
            <v>mm</v>
          </cell>
          <cell r="G605" t="str">
            <v>Mitsubishi Chemical</v>
          </cell>
        </row>
        <row r="606">
          <cell r="C606" t="str">
            <v>MZ048-IA-9A</v>
          </cell>
          <cell r="D606" t="str">
            <v>MZ048-IA-9</v>
          </cell>
          <cell r="E606">
            <v>940</v>
          </cell>
          <cell r="F606" t="str">
            <v>mm</v>
          </cell>
          <cell r="G606" t="str">
            <v>Mitsubishi Chemical</v>
          </cell>
        </row>
        <row r="607">
          <cell r="C607" t="str">
            <v>MZ048-IA-PA</v>
          </cell>
          <cell r="D607" t="str">
            <v>MZ048-IA-P</v>
          </cell>
          <cell r="E607">
            <v>927</v>
          </cell>
          <cell r="F607" t="str">
            <v>mm</v>
          </cell>
          <cell r="G607" t="str">
            <v>Mitsubishi Chemical</v>
          </cell>
        </row>
        <row r="608">
          <cell r="C608" t="str">
            <v>MZ049-IR-4A</v>
          </cell>
          <cell r="D608" t="str">
            <v>MZ049-IR-4</v>
          </cell>
          <cell r="E608">
            <v>1003</v>
          </cell>
          <cell r="F608" t="str">
            <v>mm</v>
          </cell>
          <cell r="G608" t="str">
            <v>Mitsubishi Chemical</v>
          </cell>
        </row>
        <row r="609">
          <cell r="C609" t="str">
            <v>MZ049-IR-6A</v>
          </cell>
          <cell r="D609" t="str">
            <v>MZ049-IR-6</v>
          </cell>
          <cell r="E609">
            <v>978</v>
          </cell>
          <cell r="F609" t="str">
            <v>mm</v>
          </cell>
          <cell r="G609" t="str">
            <v>Mitsubishi Chemical</v>
          </cell>
        </row>
        <row r="610">
          <cell r="C610" t="str">
            <v>MZ049-IR-5A</v>
          </cell>
          <cell r="D610" t="str">
            <v>MZ049-IR-5</v>
          </cell>
          <cell r="E610">
            <v>991</v>
          </cell>
          <cell r="F610" t="str">
            <v>mm</v>
          </cell>
          <cell r="G610" t="str">
            <v>Mitsubishi Chemical</v>
          </cell>
        </row>
        <row r="611">
          <cell r="C611" t="str">
            <v>MZ048-IA-7A</v>
          </cell>
          <cell r="D611" t="str">
            <v>MZ048-IA-7</v>
          </cell>
          <cell r="E611">
            <v>965</v>
          </cell>
          <cell r="F611" t="str">
            <v>mm</v>
          </cell>
          <cell r="G611" t="str">
            <v>Mitsubishi Chemical</v>
          </cell>
        </row>
        <row r="612">
          <cell r="C612" t="str">
            <v>MZ048-IA-4A</v>
          </cell>
          <cell r="D612" t="str">
            <v>MZ048-IA-4</v>
          </cell>
          <cell r="E612">
            <v>1003</v>
          </cell>
          <cell r="F612" t="str">
            <v>mm</v>
          </cell>
          <cell r="G612" t="str">
            <v>Mitsubishi Chemical</v>
          </cell>
        </row>
        <row r="613">
          <cell r="C613" t="str">
            <v>MZ048-IA-5A</v>
          </cell>
          <cell r="D613" t="str">
            <v>MZ048-IA-5</v>
          </cell>
          <cell r="E613">
            <v>991</v>
          </cell>
          <cell r="F613" t="str">
            <v>mm</v>
          </cell>
          <cell r="G613" t="str">
            <v>Mitsubishi Chemical</v>
          </cell>
        </row>
        <row r="614">
          <cell r="C614" t="str">
            <v>MX889-WS-1AO</v>
          </cell>
          <cell r="D614" t="str">
            <v>MX889-WS-1</v>
          </cell>
          <cell r="E614">
            <v>1168</v>
          </cell>
          <cell r="F614" t="str">
            <v>mm</v>
          </cell>
          <cell r="G614" t="str">
            <v>Mitsubishi Chemical</v>
          </cell>
        </row>
        <row r="615">
          <cell r="C615" t="str">
            <v>MX889-WX-1AO</v>
          </cell>
          <cell r="D615" t="str">
            <v>MX889-WX-1</v>
          </cell>
          <cell r="E615">
            <v>1168</v>
          </cell>
          <cell r="F615" t="str">
            <v>mm</v>
          </cell>
          <cell r="G615" t="str">
            <v>Mitsubishi Chemical</v>
          </cell>
        </row>
        <row r="616">
          <cell r="C616" t="str">
            <v>MX890-WS-1AO</v>
          </cell>
          <cell r="D616" t="str">
            <v>MX890-WS-1</v>
          </cell>
          <cell r="E616">
            <v>1168</v>
          </cell>
          <cell r="F616" t="str">
            <v>mm</v>
          </cell>
          <cell r="G616" t="str">
            <v>Mitsubishi Chemical</v>
          </cell>
        </row>
        <row r="617">
          <cell r="C617" t="str">
            <v>MX890-WX-1AO</v>
          </cell>
          <cell r="D617" t="str">
            <v>MX890-WX-1</v>
          </cell>
          <cell r="E617">
            <v>1168</v>
          </cell>
          <cell r="F617" t="str">
            <v>mm</v>
          </cell>
          <cell r="G617" t="str">
            <v>Mitsubishi Chemical</v>
          </cell>
        </row>
        <row r="618">
          <cell r="C618" t="str">
            <v>MX891-WX-1AO</v>
          </cell>
          <cell r="D618" t="str">
            <v>MX891-WX-1</v>
          </cell>
          <cell r="E618">
            <v>1168</v>
          </cell>
          <cell r="F618" t="str">
            <v>mm</v>
          </cell>
          <cell r="G618" t="str">
            <v>Mitsubishi Chemical</v>
          </cell>
        </row>
        <row r="619">
          <cell r="C619" t="str">
            <v>MX969-WR-1AO</v>
          </cell>
          <cell r="D619" t="str">
            <v>MX969-WR-1</v>
          </cell>
          <cell r="E619">
            <v>1168</v>
          </cell>
          <cell r="F619" t="str">
            <v>mm</v>
          </cell>
          <cell r="G619" t="str">
            <v>Mitsubishi Chemical</v>
          </cell>
        </row>
        <row r="620">
          <cell r="C620" t="str">
            <v>MX969-WS-1AO</v>
          </cell>
          <cell r="D620" t="str">
            <v>MX969-WS-1</v>
          </cell>
          <cell r="E620">
            <v>1168</v>
          </cell>
          <cell r="F620" t="str">
            <v>mm</v>
          </cell>
          <cell r="G620" t="str">
            <v>Mitsubishi Chemical</v>
          </cell>
        </row>
        <row r="621">
          <cell r="C621" t="str">
            <v>SF240-IA-5A</v>
          </cell>
          <cell r="D621" t="str">
            <v>SF240-IA-5</v>
          </cell>
          <cell r="E621">
            <v>991</v>
          </cell>
          <cell r="F621" t="str">
            <v>mm</v>
          </cell>
          <cell r="G621" t="str">
            <v>Mitsubishi Chemical</v>
          </cell>
        </row>
        <row r="622">
          <cell r="C622" t="str">
            <v>SF240-IA-6A</v>
          </cell>
          <cell r="D622" t="str">
            <v>SF240-IA-6</v>
          </cell>
          <cell r="E622">
            <v>978</v>
          </cell>
          <cell r="F622" t="str">
            <v>mm</v>
          </cell>
          <cell r="G622" t="str">
            <v>Mitsubishi Chemical</v>
          </cell>
        </row>
        <row r="623">
          <cell r="C623" t="str">
            <v>SF240-IA-7A</v>
          </cell>
          <cell r="D623" t="str">
            <v>SF240-IA-7</v>
          </cell>
          <cell r="E623">
            <v>965</v>
          </cell>
          <cell r="F623" t="str">
            <v>mm</v>
          </cell>
          <cell r="G623" t="str">
            <v>Mitsubishi Chemical</v>
          </cell>
        </row>
        <row r="624">
          <cell r="C624" t="str">
            <v>SF240-IA-8A</v>
          </cell>
          <cell r="D624" t="str">
            <v>SF240-IA-8</v>
          </cell>
          <cell r="E624">
            <v>953</v>
          </cell>
          <cell r="F624" t="str">
            <v>mm</v>
          </cell>
          <cell r="G624" t="str">
            <v>Mitsubishi Chemical</v>
          </cell>
        </row>
        <row r="625">
          <cell r="C625" t="str">
            <v>SF240-IA-9A</v>
          </cell>
          <cell r="D625" t="str">
            <v>SF240-IA-9</v>
          </cell>
          <cell r="E625">
            <v>940</v>
          </cell>
          <cell r="F625" t="str">
            <v>mm</v>
          </cell>
          <cell r="G625" t="str">
            <v>Mitsubishi Chemical</v>
          </cell>
        </row>
        <row r="626">
          <cell r="C626" t="str">
            <v>SF240-IA-PA</v>
          </cell>
          <cell r="D626" t="str">
            <v>SF240-IA-P</v>
          </cell>
          <cell r="E626">
            <v>927</v>
          </cell>
          <cell r="F626" t="str">
            <v>mm</v>
          </cell>
          <cell r="G626" t="str">
            <v>Mitsubishi Chemical</v>
          </cell>
        </row>
        <row r="627">
          <cell r="C627" t="str">
            <v>SF250-IS-3D</v>
          </cell>
          <cell r="D627" t="str">
            <v>SF250-IS-3</v>
          </cell>
          <cell r="E627">
            <v>1067</v>
          </cell>
          <cell r="F627" t="str">
            <v>mm</v>
          </cell>
          <cell r="G627" t="str">
            <v>Mitsubishi Chemical</v>
          </cell>
        </row>
        <row r="628">
          <cell r="C628" t="str">
            <v>SF268-IS-9A</v>
          </cell>
          <cell r="D628" t="str">
            <v>SF268-IS-9</v>
          </cell>
          <cell r="E628">
            <v>914</v>
          </cell>
          <cell r="F628" t="str">
            <v>mm</v>
          </cell>
          <cell r="G628" t="str">
            <v>Mitsubishi Chemical</v>
          </cell>
        </row>
        <row r="629">
          <cell r="C629" t="str">
            <v>SF268-ITX3A</v>
          </cell>
          <cell r="D629" t="str">
            <v>SF268-ITX3</v>
          </cell>
          <cell r="E629">
            <v>991</v>
          </cell>
          <cell r="F629" t="str">
            <v>mm</v>
          </cell>
          <cell r="G629" t="str">
            <v>Mitsubishi Chemical</v>
          </cell>
        </row>
        <row r="630">
          <cell r="C630" t="str">
            <v>SF268-ITX5A</v>
          </cell>
          <cell r="D630" t="str">
            <v>SF268-ITX5</v>
          </cell>
          <cell r="E630">
            <v>965</v>
          </cell>
          <cell r="F630" t="str">
            <v>mm</v>
          </cell>
          <cell r="G630" t="str">
            <v>Mitsubishi Chemical</v>
          </cell>
        </row>
        <row r="631">
          <cell r="C631" t="str">
            <v>SF268-ITX6A</v>
          </cell>
          <cell r="D631" t="str">
            <v>SF268-ITX6</v>
          </cell>
          <cell r="E631">
            <v>953</v>
          </cell>
          <cell r="F631" t="str">
            <v>mm</v>
          </cell>
          <cell r="G631" t="str">
            <v>Mitsubishi Chemical</v>
          </cell>
        </row>
        <row r="632">
          <cell r="C632" t="str">
            <v>SF268-ITX9A</v>
          </cell>
          <cell r="D632" t="str">
            <v>SF268-ITX9</v>
          </cell>
          <cell r="E632">
            <v>914</v>
          </cell>
          <cell r="F632" t="str">
            <v>mm</v>
          </cell>
          <cell r="G632" t="str">
            <v>Mitsubishi Chemical</v>
          </cell>
        </row>
        <row r="633">
          <cell r="C633" t="str">
            <v>SF305-WS-1A</v>
          </cell>
          <cell r="D633" t="str">
            <v>SF305-WS-1</v>
          </cell>
          <cell r="E633">
            <v>1168</v>
          </cell>
          <cell r="F633" t="str">
            <v>mm</v>
          </cell>
          <cell r="G633" t="str">
            <v>Mitsubishi Chemical</v>
          </cell>
        </row>
        <row r="634">
          <cell r="C634" t="str">
            <v>SF305-WX-1A</v>
          </cell>
          <cell r="D634" t="str">
            <v>SF305-WX-1</v>
          </cell>
          <cell r="E634">
            <v>1168</v>
          </cell>
          <cell r="F634" t="str">
            <v>mm</v>
          </cell>
          <cell r="G634" t="str">
            <v>Mitsubishi Chemical</v>
          </cell>
        </row>
        <row r="635">
          <cell r="C635" t="str">
            <v>SF268-IS-5A</v>
          </cell>
          <cell r="D635" t="str">
            <v>SF268-IS-5</v>
          </cell>
          <cell r="E635">
            <v>965</v>
          </cell>
          <cell r="F635" t="str">
            <v>mm</v>
          </cell>
          <cell r="G635" t="str">
            <v>Mitsubishi Chemical</v>
          </cell>
        </row>
        <row r="636">
          <cell r="C636" t="str">
            <v>SF268-IS-PA</v>
          </cell>
          <cell r="D636" t="str">
            <v>SF268-IS-P</v>
          </cell>
          <cell r="E636">
            <v>902</v>
          </cell>
          <cell r="F636" t="str">
            <v>mm</v>
          </cell>
          <cell r="G636" t="str">
            <v>Mitsubishi Chemical</v>
          </cell>
        </row>
        <row r="637">
          <cell r="C637" t="str">
            <v>SF268-ITX7A</v>
          </cell>
          <cell r="D637" t="str">
            <v>SF268-ITX7</v>
          </cell>
          <cell r="E637">
            <v>940</v>
          </cell>
          <cell r="F637" t="str">
            <v>mm</v>
          </cell>
          <cell r="G637" t="str">
            <v>Mitsubishi Chemical</v>
          </cell>
        </row>
        <row r="638">
          <cell r="C638" t="str">
            <v>SF268-ITX8A</v>
          </cell>
          <cell r="D638" t="str">
            <v>SF268-ITX8</v>
          </cell>
          <cell r="E638">
            <v>927</v>
          </cell>
          <cell r="F638" t="str">
            <v>mm</v>
          </cell>
          <cell r="G638" t="str">
            <v>Mitsubishi Chemical</v>
          </cell>
        </row>
        <row r="639">
          <cell r="C639" t="str">
            <v>SF268-ITXPA</v>
          </cell>
          <cell r="D639" t="str">
            <v>SF268-ITXP</v>
          </cell>
          <cell r="E639">
            <v>902</v>
          </cell>
          <cell r="F639" t="str">
            <v>mm</v>
          </cell>
          <cell r="G639" t="str">
            <v>Mitsubishi Chemical</v>
          </cell>
        </row>
        <row r="640">
          <cell r="C640" t="str">
            <v>YR187-IA-5A</v>
          </cell>
          <cell r="D640" t="str">
            <v>YR187-IA-5</v>
          </cell>
          <cell r="E640" t="str">
            <v>978</v>
          </cell>
          <cell r="F640" t="str">
            <v>mm</v>
          </cell>
          <cell r="G640" t="str">
            <v>Mitsubishi Chemical</v>
          </cell>
        </row>
        <row r="641">
          <cell r="C641" t="str">
            <v>YR187-IA-9A</v>
          </cell>
          <cell r="D641" t="str">
            <v>YR187-IA-9</v>
          </cell>
          <cell r="E641" t="str">
            <v>927</v>
          </cell>
          <cell r="F641" t="str">
            <v>mm</v>
          </cell>
          <cell r="G641" t="str">
            <v>Mitsubishi Chemical</v>
          </cell>
        </row>
        <row r="642">
          <cell r="C642" t="str">
            <v>YR187-IA-AA</v>
          </cell>
          <cell r="D642" t="str">
            <v>YR187-IA-A</v>
          </cell>
          <cell r="E642" t="str">
            <v>902</v>
          </cell>
          <cell r="F642" t="str">
            <v>mm</v>
          </cell>
          <cell r="G642" t="str">
            <v>Mitsubishi Chemical</v>
          </cell>
        </row>
        <row r="643">
          <cell r="C643" t="str">
            <v>YR187-IA-PA</v>
          </cell>
          <cell r="D643" t="str">
            <v>YR187-IA-P</v>
          </cell>
          <cell r="E643" t="str">
            <v>914</v>
          </cell>
          <cell r="F643" t="str">
            <v>mm</v>
          </cell>
          <cell r="G643" t="str">
            <v>Mitsubishi Chemical</v>
          </cell>
        </row>
        <row r="644">
          <cell r="C644" t="str">
            <v>YR187-IA-SA</v>
          </cell>
          <cell r="D644" t="str">
            <v>YR187-IA-S</v>
          </cell>
          <cell r="E644" t="str">
            <v>889</v>
          </cell>
          <cell r="F644" t="str">
            <v>mm</v>
          </cell>
          <cell r="G644" t="str">
            <v>Mitsubishi Chemical</v>
          </cell>
        </row>
        <row r="645">
          <cell r="C645" t="str">
            <v>MX700-IR-1A</v>
          </cell>
          <cell r="D645" t="str">
            <v>MX700-IR-1</v>
          </cell>
          <cell r="E645">
            <v>1067</v>
          </cell>
          <cell r="F645" t="str">
            <v>mm</v>
          </cell>
          <cell r="G645" t="str">
            <v>Mitsubishi Chemical</v>
          </cell>
        </row>
        <row r="646">
          <cell r="C646" t="str">
            <v>MX701-IR-1A</v>
          </cell>
          <cell r="D646" t="str">
            <v>MX701-IR-1</v>
          </cell>
          <cell r="E646">
            <v>1067</v>
          </cell>
          <cell r="F646" t="str">
            <v>mm</v>
          </cell>
          <cell r="G646" t="str">
            <v>Mitsubishi Chemical</v>
          </cell>
        </row>
        <row r="647">
          <cell r="C647" t="str">
            <v>MX701-IS-1A</v>
          </cell>
          <cell r="D647" t="str">
            <v>MX701-IS-1</v>
          </cell>
          <cell r="E647">
            <v>1067</v>
          </cell>
          <cell r="F647" t="str">
            <v>mm</v>
          </cell>
          <cell r="G647" t="str">
            <v>Mitsubishi Chemical</v>
          </cell>
        </row>
        <row r="648">
          <cell r="C648" t="str">
            <v>MX721-IS-7A</v>
          </cell>
          <cell r="D648" t="str">
            <v>MX721-IS-7</v>
          </cell>
          <cell r="E648">
            <v>940</v>
          </cell>
          <cell r="F648" t="str">
            <v>mm</v>
          </cell>
          <cell r="G648" t="str">
            <v>Mitsubishi Chemical</v>
          </cell>
        </row>
        <row r="649">
          <cell r="C649" t="str">
            <v>MX721-IS-PA</v>
          </cell>
          <cell r="D649" t="str">
            <v>MX721-IS-P</v>
          </cell>
          <cell r="E649">
            <v>902</v>
          </cell>
          <cell r="F649" t="str">
            <v>mm</v>
          </cell>
          <cell r="G649" t="str">
            <v>Mitsubishi Chemical</v>
          </cell>
        </row>
        <row r="650">
          <cell r="C650" t="str">
            <v>MX728-IA-6A</v>
          </cell>
          <cell r="D650" t="str">
            <v>MX728-IA-6</v>
          </cell>
          <cell r="E650">
            <v>978</v>
          </cell>
          <cell r="F650" t="str">
            <v>mm</v>
          </cell>
          <cell r="G650" t="str">
            <v>Mitsubishi Chemical</v>
          </cell>
        </row>
        <row r="651">
          <cell r="C651" t="str">
            <v>MX729-IR-5A</v>
          </cell>
          <cell r="D651" t="str">
            <v>MX729-IR-5</v>
          </cell>
          <cell r="E651">
            <v>991</v>
          </cell>
          <cell r="F651" t="str">
            <v>mm</v>
          </cell>
          <cell r="G651" t="str">
            <v>Mitsubishi Chemical</v>
          </cell>
        </row>
        <row r="652">
          <cell r="C652" t="str">
            <v>MX729-IR-6A</v>
          </cell>
          <cell r="D652" t="str">
            <v>MX729-IR-6</v>
          </cell>
          <cell r="E652">
            <v>978</v>
          </cell>
          <cell r="F652" t="str">
            <v>mm</v>
          </cell>
          <cell r="G652" t="str">
            <v>Mitsubishi Chemical</v>
          </cell>
        </row>
        <row r="653">
          <cell r="C653" t="str">
            <v>MX729-IR-7A</v>
          </cell>
          <cell r="D653" t="str">
            <v>MX729-IR-7</v>
          </cell>
          <cell r="E653">
            <v>965</v>
          </cell>
          <cell r="F653" t="str">
            <v>mm</v>
          </cell>
          <cell r="G653" t="str">
            <v>Mitsubishi Chemical</v>
          </cell>
        </row>
        <row r="654">
          <cell r="C654" t="str">
            <v>MX729-IR-8A</v>
          </cell>
          <cell r="D654" t="str">
            <v>MX729-IR-8</v>
          </cell>
          <cell r="E654">
            <v>953</v>
          </cell>
          <cell r="F654" t="str">
            <v>mm</v>
          </cell>
          <cell r="G654" t="str">
            <v>Mitsubishi Chemical</v>
          </cell>
        </row>
        <row r="655">
          <cell r="C655" t="str">
            <v>MX729-IR-9A</v>
          </cell>
          <cell r="D655" t="str">
            <v>MX729-IR-9</v>
          </cell>
          <cell r="E655">
            <v>940</v>
          </cell>
          <cell r="F655" t="str">
            <v>mm</v>
          </cell>
          <cell r="G655" t="str">
            <v>Mitsubishi Chemical</v>
          </cell>
        </row>
        <row r="656">
          <cell r="C656" t="str">
            <v>MX890-WS-1A</v>
          </cell>
          <cell r="D656" t="str">
            <v>MX890-WS-1</v>
          </cell>
          <cell r="E656">
            <v>1168</v>
          </cell>
          <cell r="F656" t="str">
            <v>mm</v>
          </cell>
          <cell r="G656" t="str">
            <v>Mitsubishi Chemical</v>
          </cell>
        </row>
        <row r="657">
          <cell r="C657" t="str">
            <v>MX945-IR-PA</v>
          </cell>
          <cell r="D657" t="str">
            <v>MX945-IR-P</v>
          </cell>
          <cell r="E657">
            <v>912</v>
          </cell>
          <cell r="F657" t="str">
            <v>mm</v>
          </cell>
          <cell r="G657" t="str">
            <v>Mitsubishi Chemical</v>
          </cell>
        </row>
        <row r="658">
          <cell r="C658" t="str">
            <v>MX993-WS-1A</v>
          </cell>
          <cell r="D658" t="str">
            <v>MX993-WS-1</v>
          </cell>
          <cell r="E658">
            <v>1168</v>
          </cell>
          <cell r="F658" t="str">
            <v>mm</v>
          </cell>
          <cell r="G658" t="str">
            <v>Mitsubishi Chemical</v>
          </cell>
        </row>
        <row r="659">
          <cell r="C659" t="str">
            <v>MX893-IS-1AO</v>
          </cell>
          <cell r="D659" t="str">
            <v>MX893-IS-1</v>
          </cell>
          <cell r="E659">
            <v>1067</v>
          </cell>
          <cell r="F659" t="str">
            <v>mm</v>
          </cell>
          <cell r="G659" t="str">
            <v>Mitsubishi Chemical</v>
          </cell>
        </row>
        <row r="660">
          <cell r="C660" t="str">
            <v>MX944-IR-3A</v>
          </cell>
          <cell r="D660" t="str">
            <v>MX944-IR-3</v>
          </cell>
          <cell r="E660">
            <v>1005</v>
          </cell>
          <cell r="F660" t="str">
            <v>mm</v>
          </cell>
          <cell r="G660" t="str">
            <v>Mitsubishi Chemical</v>
          </cell>
        </row>
        <row r="661">
          <cell r="C661" t="str">
            <v>MX944-IS-9A</v>
          </cell>
          <cell r="D661" t="str">
            <v>MX944-IS-9</v>
          </cell>
          <cell r="E661">
            <v>927</v>
          </cell>
          <cell r="F661" t="str">
            <v>mm</v>
          </cell>
          <cell r="G661" t="str">
            <v>Mitsubishi Chemical</v>
          </cell>
        </row>
        <row r="662">
          <cell r="C662" t="str">
            <v>CW150-WR-1A</v>
          </cell>
          <cell r="D662" t="str">
            <v>CW150-WR-1</v>
          </cell>
          <cell r="E662">
            <v>1169</v>
          </cell>
          <cell r="F662" t="str">
            <v>mm</v>
          </cell>
          <cell r="G662" t="str">
            <v>Mitsubishi Chemical</v>
          </cell>
        </row>
        <row r="663">
          <cell r="C663" t="str">
            <v>CW151-WS-3A</v>
          </cell>
          <cell r="D663" t="str">
            <v>CW151-WS-3</v>
          </cell>
          <cell r="E663">
            <v>1119</v>
          </cell>
          <cell r="F663" t="str">
            <v>mm</v>
          </cell>
          <cell r="G663" t="str">
            <v>Mitsubishi Chemical</v>
          </cell>
        </row>
        <row r="664">
          <cell r="C664" t="str">
            <v>CW151-WR-3A</v>
          </cell>
          <cell r="D664" t="str">
            <v>CW151-WR-3</v>
          </cell>
          <cell r="E664">
            <v>1119</v>
          </cell>
          <cell r="F664" t="str">
            <v>mm</v>
          </cell>
          <cell r="G664" t="str">
            <v>Mitsubishi Chemical</v>
          </cell>
        </row>
        <row r="665">
          <cell r="C665" t="str">
            <v>CB047-WR-1A</v>
          </cell>
          <cell r="D665" t="str">
            <v>CB047-WR-1</v>
          </cell>
          <cell r="E665">
            <v>1168</v>
          </cell>
          <cell r="F665" t="str">
            <v>mm</v>
          </cell>
          <cell r="G665" t="str">
            <v>Mitsubishi Chemical</v>
          </cell>
        </row>
        <row r="666">
          <cell r="C666" t="str">
            <v>CB034-IS-3A</v>
          </cell>
          <cell r="D666" t="str">
            <v>CB034-IS-3</v>
          </cell>
          <cell r="E666">
            <v>1068</v>
          </cell>
          <cell r="F666" t="str">
            <v>mm</v>
          </cell>
          <cell r="G666" t="str">
            <v>Mitsubishi Chemical</v>
          </cell>
        </row>
        <row r="667">
          <cell r="C667" t="str">
            <v>CB047-WS-1A</v>
          </cell>
          <cell r="D667" t="str">
            <v>CB047-WS-1</v>
          </cell>
          <cell r="E667">
            <v>1168</v>
          </cell>
          <cell r="F667" t="str">
            <v>mm</v>
          </cell>
          <cell r="G667" t="str">
            <v>Mitsubishi Chemical</v>
          </cell>
        </row>
        <row r="668">
          <cell r="C668" t="str">
            <v>SF287-IL-6A</v>
          </cell>
          <cell r="D668" t="str">
            <v>SF287-IL-6</v>
          </cell>
          <cell r="E668">
            <v>953</v>
          </cell>
          <cell r="F668" t="str">
            <v>mm</v>
          </cell>
          <cell r="G668" t="str">
            <v>Mitsubishi Chemical</v>
          </cell>
        </row>
        <row r="669">
          <cell r="C669" t="str">
            <v>SF287-IL-7A</v>
          </cell>
          <cell r="D669" t="str">
            <v>SF287-IL-7</v>
          </cell>
          <cell r="E669">
            <v>940</v>
          </cell>
          <cell r="F669" t="str">
            <v>mm</v>
          </cell>
          <cell r="G669" t="str">
            <v>Mitsubishi Chemical</v>
          </cell>
        </row>
        <row r="670">
          <cell r="C670" t="str">
            <v>SF287-IL-8A</v>
          </cell>
          <cell r="D670" t="str">
            <v>SF287-IL-8</v>
          </cell>
          <cell r="E670">
            <v>927</v>
          </cell>
          <cell r="F670" t="str">
            <v>mm</v>
          </cell>
          <cell r="G670" t="str">
            <v>Mitsubishi Chemical</v>
          </cell>
        </row>
        <row r="671">
          <cell r="C671" t="str">
            <v>SF287-IL-PA</v>
          </cell>
          <cell r="D671" t="str">
            <v>SF287-IL-P</v>
          </cell>
          <cell r="E671">
            <v>889</v>
          </cell>
          <cell r="F671" t="str">
            <v>mm</v>
          </cell>
          <cell r="G671" t="str">
            <v>Mitsubishi Chemical</v>
          </cell>
        </row>
        <row r="672">
          <cell r="C672" t="str">
            <v>SF287-IL-9A</v>
          </cell>
          <cell r="D672" t="str">
            <v>SF287-IL-9</v>
          </cell>
          <cell r="E672">
            <v>914</v>
          </cell>
          <cell r="F672" t="str">
            <v>mm</v>
          </cell>
          <cell r="G672" t="str">
            <v>Mitsubishi Chemical</v>
          </cell>
        </row>
        <row r="673">
          <cell r="C673" t="str">
            <v>SF287-IL-AA</v>
          </cell>
          <cell r="D673" t="str">
            <v>SF287-IL-A</v>
          </cell>
          <cell r="E673">
            <v>889</v>
          </cell>
          <cell r="F673" t="str">
            <v>mm</v>
          </cell>
          <cell r="G673" t="str">
            <v>Mitsubishi Chemical</v>
          </cell>
        </row>
        <row r="674">
          <cell r="C674" t="str">
            <v>SF240-IS-8A</v>
          </cell>
          <cell r="D674" t="str">
            <v>SF240-IS-8</v>
          </cell>
          <cell r="E674">
            <v>953</v>
          </cell>
          <cell r="F674" t="str">
            <v>mm</v>
          </cell>
          <cell r="G674" t="str">
            <v>Mitsubishi Chemical</v>
          </cell>
        </row>
        <row r="675">
          <cell r="C675" t="str">
            <v>SF240-IS-9A</v>
          </cell>
          <cell r="D675" t="str">
            <v>SF240-IS-9</v>
          </cell>
          <cell r="E675">
            <v>940</v>
          </cell>
          <cell r="F675" t="str">
            <v>mm</v>
          </cell>
          <cell r="G675" t="str">
            <v>Mitsubishi Chemical</v>
          </cell>
        </row>
        <row r="676">
          <cell r="C676" t="str">
            <v>SF240-IS-PA</v>
          </cell>
          <cell r="D676" t="str">
            <v>SF240-IS-P</v>
          </cell>
          <cell r="E676">
            <v>927</v>
          </cell>
          <cell r="F676" t="str">
            <v>mm</v>
          </cell>
          <cell r="G676" t="str">
            <v>Mitsubishi Chemical</v>
          </cell>
        </row>
        <row r="677">
          <cell r="C677" t="str">
            <v>SF240-IS-4A</v>
          </cell>
          <cell r="D677" t="str">
            <v>SF240-IS-4</v>
          </cell>
          <cell r="E677">
            <v>1003</v>
          </cell>
          <cell r="F677" t="str">
            <v>mm</v>
          </cell>
          <cell r="G677" t="str">
            <v>Mitsubishi Chemical</v>
          </cell>
        </row>
        <row r="678">
          <cell r="C678" t="str">
            <v>SF240-IS-5A</v>
          </cell>
          <cell r="D678" t="str">
            <v>SF240-IS-5</v>
          </cell>
          <cell r="E678">
            <v>991</v>
          </cell>
          <cell r="F678" t="str">
            <v>mm</v>
          </cell>
          <cell r="G678" t="str">
            <v>Mitsubishi Chemical</v>
          </cell>
        </row>
        <row r="679">
          <cell r="C679" t="str">
            <v>SF240-IS-6A</v>
          </cell>
          <cell r="D679" t="str">
            <v>SF240-IS-6</v>
          </cell>
          <cell r="E679">
            <v>978</v>
          </cell>
          <cell r="F679" t="str">
            <v>mm</v>
          </cell>
          <cell r="G679" t="str">
            <v>Mitsubishi Chemical</v>
          </cell>
        </row>
        <row r="680">
          <cell r="C680" t="str">
            <v>YR174-IA-5A</v>
          </cell>
          <cell r="D680" t="str">
            <v>YR174-IA-5</v>
          </cell>
          <cell r="E680">
            <v>994</v>
          </cell>
          <cell r="F680" t="str">
            <v>mm</v>
          </cell>
          <cell r="G680" t="str">
            <v>Mitsubishi Chemical</v>
          </cell>
        </row>
        <row r="681">
          <cell r="C681" t="str">
            <v>MX681-IS-6A</v>
          </cell>
          <cell r="D681" t="str">
            <v>MX681-IS-6</v>
          </cell>
          <cell r="E681">
            <v>953</v>
          </cell>
          <cell r="F681" t="str">
            <v>mm</v>
          </cell>
          <cell r="G681" t="str">
            <v>Mitsubishi Chemical</v>
          </cell>
        </row>
        <row r="682">
          <cell r="C682" t="str">
            <v>MX681-IS-9A</v>
          </cell>
          <cell r="D682" t="str">
            <v>MX681-IS-9</v>
          </cell>
          <cell r="E682">
            <v>914</v>
          </cell>
          <cell r="F682" t="str">
            <v>mm</v>
          </cell>
          <cell r="G682" t="str">
            <v>Mitsubishi Chemical</v>
          </cell>
        </row>
        <row r="683">
          <cell r="C683" t="str">
            <v>MX726-IS-PA</v>
          </cell>
          <cell r="D683" t="str">
            <v>MX726-IS-P</v>
          </cell>
          <cell r="E683">
            <v>902</v>
          </cell>
          <cell r="F683" t="str">
            <v>mm</v>
          </cell>
          <cell r="G683" t="str">
            <v>Mitsubishi Chemical</v>
          </cell>
        </row>
        <row r="684">
          <cell r="C684" t="str">
            <v>MY001-IS-2A</v>
          </cell>
          <cell r="D684" t="str">
            <v>MY001-IS-2</v>
          </cell>
          <cell r="E684">
            <v>1067</v>
          </cell>
          <cell r="F684" t="str">
            <v>mm</v>
          </cell>
          <cell r="G684" t="str">
            <v>Mitsubishi Chemical</v>
          </cell>
        </row>
        <row r="685">
          <cell r="C685" t="str">
            <v>MY002-IR-2A</v>
          </cell>
          <cell r="D685" t="str">
            <v>MY002-IR-2</v>
          </cell>
          <cell r="E685">
            <v>1067</v>
          </cell>
          <cell r="F685" t="str">
            <v>mm</v>
          </cell>
          <cell r="G685" t="str">
            <v>Mitsubishi Chemical</v>
          </cell>
        </row>
        <row r="686">
          <cell r="C686" t="str">
            <v>MY001-IR-2A</v>
          </cell>
          <cell r="D686" t="str">
            <v>MY001-IR-2</v>
          </cell>
          <cell r="E686">
            <v>1067</v>
          </cell>
          <cell r="F686" t="str">
            <v>mm</v>
          </cell>
          <cell r="G686" t="str">
            <v>Mitsubishi Chemical</v>
          </cell>
        </row>
        <row r="687">
          <cell r="C687" t="str">
            <v>MY002-IS-2A</v>
          </cell>
          <cell r="D687" t="str">
            <v>MY002-IS-2</v>
          </cell>
          <cell r="E687">
            <v>1067</v>
          </cell>
          <cell r="F687" t="str">
            <v>mm</v>
          </cell>
          <cell r="G687" t="str">
            <v>Mitsubishi Chemical</v>
          </cell>
        </row>
        <row r="688">
          <cell r="C688" t="str">
            <v>MY003-IS-2A</v>
          </cell>
          <cell r="D688" t="str">
            <v>MY003-IS-2</v>
          </cell>
          <cell r="E688">
            <v>1067</v>
          </cell>
          <cell r="F688" t="str">
            <v>mm</v>
          </cell>
          <cell r="G688" t="str">
            <v>Mitsubishi Chemical</v>
          </cell>
        </row>
        <row r="689">
          <cell r="C689" t="str">
            <v>MY003-IX-2A</v>
          </cell>
          <cell r="D689" t="str">
            <v>MY003-IX-2</v>
          </cell>
          <cell r="E689">
            <v>1067</v>
          </cell>
          <cell r="F689" t="str">
            <v>mm</v>
          </cell>
          <cell r="G689" t="str">
            <v>Mitsubishi Chemical</v>
          </cell>
        </row>
        <row r="690">
          <cell r="C690" t="str">
            <v>MX904-IS-5A</v>
          </cell>
          <cell r="D690" t="str">
            <v>MX904-IS-5</v>
          </cell>
          <cell r="E690">
            <v>965</v>
          </cell>
          <cell r="F690" t="str">
            <v>mm</v>
          </cell>
          <cell r="G690" t="str">
            <v>Mitsubishi Chemical</v>
          </cell>
        </row>
        <row r="691">
          <cell r="C691" t="str">
            <v>MX904-IS-7A</v>
          </cell>
          <cell r="D691" t="str">
            <v>MX904-IS-7</v>
          </cell>
          <cell r="E691">
            <v>940</v>
          </cell>
          <cell r="F691" t="str">
            <v>mm</v>
          </cell>
          <cell r="G691" t="str">
            <v>Mitsubishi Chemical</v>
          </cell>
        </row>
        <row r="692">
          <cell r="C692" t="str">
            <v>MX904-IS-8A</v>
          </cell>
          <cell r="D692" t="str">
            <v>MX904-IS-8</v>
          </cell>
          <cell r="E692">
            <v>927</v>
          </cell>
          <cell r="F692" t="str">
            <v>mm</v>
          </cell>
          <cell r="G692" t="str">
            <v>Mitsubishi Chemical</v>
          </cell>
        </row>
        <row r="693">
          <cell r="C693" t="str">
            <v>MX904-IS-9A</v>
          </cell>
          <cell r="D693" t="str">
            <v>MX904-IS-9</v>
          </cell>
          <cell r="E693">
            <v>914</v>
          </cell>
          <cell r="F693" t="str">
            <v>mm</v>
          </cell>
          <cell r="G693" t="str">
            <v>Mitsubishi Chemical</v>
          </cell>
        </row>
        <row r="694">
          <cell r="C694" t="str">
            <v>MX904-IS-PA</v>
          </cell>
          <cell r="D694" t="str">
            <v>MX904-IS-P</v>
          </cell>
          <cell r="E694">
            <v>902</v>
          </cell>
          <cell r="F694" t="str">
            <v>mm</v>
          </cell>
          <cell r="G694" t="str">
            <v>Mitsubishi Chemical</v>
          </cell>
        </row>
        <row r="695">
          <cell r="C695" t="str">
            <v>MX729-IR-PAO</v>
          </cell>
          <cell r="D695" t="str">
            <v>MX729-IR-P</v>
          </cell>
          <cell r="E695">
            <v>927</v>
          </cell>
          <cell r="F695" t="str">
            <v>mm</v>
          </cell>
          <cell r="G695" t="str">
            <v>Mitsubishi Chemical</v>
          </cell>
        </row>
        <row r="696">
          <cell r="C696" t="str">
            <v>XG004-IR-1A</v>
          </cell>
          <cell r="D696" t="str">
            <v>XG004-IR-1</v>
          </cell>
          <cell r="E696">
            <v>1067</v>
          </cell>
          <cell r="F696" t="str">
            <v>mm</v>
          </cell>
          <cell r="G696" t="str">
            <v>Mitsubishi Chemical</v>
          </cell>
        </row>
        <row r="697">
          <cell r="C697" t="str">
            <v>XG041-IS-1A</v>
          </cell>
          <cell r="D697" t="str">
            <v>XG041-IS-1</v>
          </cell>
          <cell r="E697">
            <v>1067</v>
          </cell>
          <cell r="F697" t="str">
            <v>mm</v>
          </cell>
          <cell r="G697" t="str">
            <v>Mitsubishi Chemical</v>
          </cell>
        </row>
        <row r="698">
          <cell r="C698" t="str">
            <v>XG041-IX-1A</v>
          </cell>
          <cell r="D698" t="str">
            <v>XG041-IX-1</v>
          </cell>
          <cell r="E698">
            <v>1067</v>
          </cell>
          <cell r="F698" t="str">
            <v>mm</v>
          </cell>
          <cell r="G698" t="str">
            <v>Mitsubishi Chemical</v>
          </cell>
        </row>
        <row r="699">
          <cell r="C699" t="str">
            <v>CW139-IL-2B</v>
          </cell>
          <cell r="D699" t="str">
            <v>CW139-IL-2</v>
          </cell>
          <cell r="E699" t="str">
            <v>903</v>
          </cell>
          <cell r="F699" t="str">
            <v>mm</v>
          </cell>
          <cell r="G699" t="str">
            <v>Mitsubishi Chemical</v>
          </cell>
        </row>
        <row r="700">
          <cell r="C700" t="str">
            <v>MX934-IX-1AT</v>
          </cell>
          <cell r="D700" t="str">
            <v>MX934-IX-1</v>
          </cell>
          <cell r="E700">
            <v>1067</v>
          </cell>
          <cell r="F700" t="str">
            <v>mm</v>
          </cell>
          <cell r="G700" t="str">
            <v>Mitsubishi Chemical</v>
          </cell>
        </row>
        <row r="701">
          <cell r="C701" t="str">
            <v>SF240-IR-4A</v>
          </cell>
          <cell r="D701" t="str">
            <v>SF240-IR-4</v>
          </cell>
          <cell r="E701">
            <v>1003</v>
          </cell>
          <cell r="F701" t="str">
            <v>mm</v>
          </cell>
          <cell r="G701" t="str">
            <v>Mitsubishi Chemical</v>
          </cell>
        </row>
        <row r="702">
          <cell r="C702" t="str">
            <v>SF240-IR-5A</v>
          </cell>
          <cell r="D702" t="str">
            <v>SF240-IR-5</v>
          </cell>
          <cell r="E702">
            <v>991</v>
          </cell>
          <cell r="F702" t="str">
            <v>mm</v>
          </cell>
          <cell r="G702" t="str">
            <v>Mitsubishi Chemical</v>
          </cell>
        </row>
        <row r="703">
          <cell r="C703" t="str">
            <v>SF240-IR-6A</v>
          </cell>
          <cell r="D703" t="str">
            <v>SF240-IR-6</v>
          </cell>
          <cell r="E703">
            <v>978</v>
          </cell>
          <cell r="F703" t="str">
            <v>mm</v>
          </cell>
          <cell r="G703" t="str">
            <v>Mitsubishi Chemical</v>
          </cell>
        </row>
        <row r="704">
          <cell r="C704" t="str">
            <v>SF240-IR-8A</v>
          </cell>
          <cell r="D704" t="str">
            <v>SF240-IR-8</v>
          </cell>
          <cell r="E704">
            <v>953</v>
          </cell>
          <cell r="F704" t="str">
            <v>mm</v>
          </cell>
          <cell r="G704" t="str">
            <v>Mitsubishi Chemical</v>
          </cell>
        </row>
        <row r="705">
          <cell r="C705" t="str">
            <v>SF240-IR-9A</v>
          </cell>
          <cell r="D705" t="str">
            <v>SF240-IR-9</v>
          </cell>
          <cell r="E705">
            <v>940</v>
          </cell>
          <cell r="F705" t="str">
            <v>mm</v>
          </cell>
          <cell r="G705" t="str">
            <v>Mitsubishi Chemical</v>
          </cell>
        </row>
        <row r="706">
          <cell r="C706" t="str">
            <v>SF240-IR-PA</v>
          </cell>
          <cell r="D706" t="str">
            <v>SF240-IR-P</v>
          </cell>
          <cell r="E706">
            <v>927</v>
          </cell>
          <cell r="F706" t="str">
            <v>mm</v>
          </cell>
          <cell r="G706" t="str">
            <v>Mitsubishi Chemical</v>
          </cell>
        </row>
        <row r="707">
          <cell r="C707" t="str">
            <v>SF299-WS-1B</v>
          </cell>
          <cell r="D707" t="str">
            <v>SF299-WS-1</v>
          </cell>
          <cell r="E707">
            <v>1143</v>
          </cell>
          <cell r="F707" t="str">
            <v>mm</v>
          </cell>
          <cell r="G707" t="str">
            <v>Mitsubishi Chemical</v>
          </cell>
        </row>
        <row r="708">
          <cell r="C708" t="str">
            <v>SF240-IR-7A</v>
          </cell>
          <cell r="D708" t="str">
            <v>SF240-IR-7</v>
          </cell>
          <cell r="E708">
            <v>965</v>
          </cell>
          <cell r="F708" t="str">
            <v>mm</v>
          </cell>
          <cell r="G708" t="str">
            <v>Mitsubishi Chemical</v>
          </cell>
        </row>
        <row r="709">
          <cell r="C709" t="str">
            <v>SF240-IS-7A</v>
          </cell>
          <cell r="D709" t="str">
            <v>SF240-IS-7</v>
          </cell>
          <cell r="E709">
            <v>965</v>
          </cell>
          <cell r="F709" t="str">
            <v>mm</v>
          </cell>
          <cell r="G709" t="str">
            <v>Mitsubishi Chemical</v>
          </cell>
        </row>
        <row r="710">
          <cell r="C710" t="str">
            <v>SF248-IA-1E</v>
          </cell>
          <cell r="D710" t="str">
            <v>SF248-IA-1</v>
          </cell>
          <cell r="E710">
            <v>1054</v>
          </cell>
          <cell r="F710" t="str">
            <v>mm</v>
          </cell>
          <cell r="G710" t="str">
            <v>Mitsubishi Chemical</v>
          </cell>
        </row>
        <row r="711">
          <cell r="C711" t="str">
            <v>SF248-IL-1D</v>
          </cell>
          <cell r="D711" t="str">
            <v>SF248-IL-1</v>
          </cell>
          <cell r="E711">
            <v>1054</v>
          </cell>
          <cell r="F711" t="str">
            <v>mm</v>
          </cell>
          <cell r="G711" t="str">
            <v>Mitsubishi Chemical</v>
          </cell>
        </row>
        <row r="712">
          <cell r="C712" t="str">
            <v>SF248-IL-1E</v>
          </cell>
          <cell r="D712" t="str">
            <v>SF248-IL-1</v>
          </cell>
          <cell r="E712">
            <v>1054</v>
          </cell>
          <cell r="F712" t="str">
            <v>mm</v>
          </cell>
          <cell r="G712" t="str">
            <v>Mitsubishi Chemical</v>
          </cell>
        </row>
        <row r="713">
          <cell r="C713" t="str">
            <v>MX915-IS-PA</v>
          </cell>
          <cell r="D713" t="str">
            <v>MX915-IS-P</v>
          </cell>
          <cell r="E713">
            <v>914</v>
          </cell>
          <cell r="F713" t="str">
            <v>mm</v>
          </cell>
          <cell r="G713" t="str">
            <v>Mitsubishi Chemical</v>
          </cell>
        </row>
        <row r="714">
          <cell r="C714" t="str">
            <v>MX931-IS-PA</v>
          </cell>
          <cell r="D714" t="str">
            <v>MX931-IS-P</v>
          </cell>
          <cell r="E714">
            <v>914</v>
          </cell>
          <cell r="F714" t="str">
            <v>mm</v>
          </cell>
          <cell r="G714" t="str">
            <v>Mitsubishi Chemical</v>
          </cell>
        </row>
        <row r="715">
          <cell r="C715" t="str">
            <v>MX914-IS-PA</v>
          </cell>
          <cell r="D715" t="str">
            <v>MX914-IS-P</v>
          </cell>
          <cell r="E715">
            <v>914</v>
          </cell>
          <cell r="F715" t="str">
            <v>mm</v>
          </cell>
          <cell r="G715" t="str">
            <v>Mitsubishi Chemical</v>
          </cell>
        </row>
        <row r="716">
          <cell r="C716" t="str">
            <v>MX932-IS-PA</v>
          </cell>
          <cell r="D716" t="str">
            <v>MX932-IS-P</v>
          </cell>
          <cell r="E716">
            <v>914</v>
          </cell>
          <cell r="F716" t="str">
            <v>mm</v>
          </cell>
          <cell r="G716" t="str">
            <v>Mitsubishi Chemical</v>
          </cell>
        </row>
        <row r="717">
          <cell r="C717" t="str">
            <v>AU176-IA-5A</v>
          </cell>
          <cell r="D717" t="str">
            <v>AU176-IA-5</v>
          </cell>
          <cell r="E717">
            <v>991</v>
          </cell>
          <cell r="F717" t="str">
            <v>mm</v>
          </cell>
          <cell r="G717" t="str">
            <v>Mitsubishi Chemical</v>
          </cell>
        </row>
        <row r="718">
          <cell r="C718" t="str">
            <v>AU176-IA-7A</v>
          </cell>
          <cell r="D718" t="str">
            <v>AU176-IA-7</v>
          </cell>
          <cell r="E718">
            <v>965</v>
          </cell>
          <cell r="F718" t="str">
            <v>mm</v>
          </cell>
          <cell r="G718" t="str">
            <v>Mitsubishi Chemical</v>
          </cell>
        </row>
        <row r="719">
          <cell r="C719" t="str">
            <v>AU176-IA-8A</v>
          </cell>
          <cell r="D719" t="str">
            <v>AU176-IA-8</v>
          </cell>
          <cell r="E719">
            <v>953</v>
          </cell>
          <cell r="F719" t="str">
            <v>mm</v>
          </cell>
          <cell r="G719" t="str">
            <v>Mitsubishi Chemical</v>
          </cell>
        </row>
        <row r="720">
          <cell r="C720" t="str">
            <v>AU176-IA-9A</v>
          </cell>
          <cell r="D720" t="str">
            <v>AU176-IA-9</v>
          </cell>
          <cell r="E720">
            <v>940</v>
          </cell>
          <cell r="F720" t="str">
            <v>mm</v>
          </cell>
          <cell r="G720" t="str">
            <v>Mitsubishi Chemical</v>
          </cell>
        </row>
        <row r="721">
          <cell r="C721" t="str">
            <v>AU176-IA-AA</v>
          </cell>
          <cell r="D721" t="str">
            <v>AU176-IA-A</v>
          </cell>
          <cell r="E721">
            <v>927</v>
          </cell>
          <cell r="F721" t="str">
            <v>mm</v>
          </cell>
          <cell r="G721" t="str">
            <v>Mitsubishi Chemical</v>
          </cell>
        </row>
        <row r="722">
          <cell r="C722" t="str">
            <v>AU176-IA-PA</v>
          </cell>
          <cell r="D722" t="str">
            <v>AU176-IA-P</v>
          </cell>
          <cell r="E722">
            <v>933</v>
          </cell>
          <cell r="F722" t="str">
            <v>mm</v>
          </cell>
          <cell r="G722" t="str">
            <v>Mitsubishi Chemical</v>
          </cell>
        </row>
        <row r="723">
          <cell r="C723" t="str">
            <v>AU176-IL-6A</v>
          </cell>
          <cell r="D723" t="str">
            <v>AU176-IL-6</v>
          </cell>
          <cell r="E723">
            <v>978</v>
          </cell>
          <cell r="F723" t="str">
            <v>mm</v>
          </cell>
          <cell r="G723" t="str">
            <v>Mitsubishi Chemical</v>
          </cell>
        </row>
        <row r="724">
          <cell r="C724" t="str">
            <v>AU176-IL-PA</v>
          </cell>
          <cell r="D724" t="str">
            <v>AU176-IL-P</v>
          </cell>
          <cell r="E724">
            <v>933</v>
          </cell>
          <cell r="F724" t="str">
            <v>mm</v>
          </cell>
          <cell r="G724" t="str">
            <v>Mitsubishi Chemical</v>
          </cell>
        </row>
        <row r="725">
          <cell r="C725" t="str">
            <v>AU176-IR-5A</v>
          </cell>
          <cell r="D725" t="str">
            <v>AU176-IR-5</v>
          </cell>
          <cell r="E725">
            <v>991</v>
          </cell>
          <cell r="F725" t="str">
            <v>mm</v>
          </cell>
          <cell r="G725" t="str">
            <v>Mitsubishi Chemical</v>
          </cell>
        </row>
        <row r="726">
          <cell r="C726" t="str">
            <v>AU176-IR-6A</v>
          </cell>
          <cell r="D726" t="str">
            <v>AU176-IR-6</v>
          </cell>
          <cell r="E726">
            <v>978</v>
          </cell>
          <cell r="F726" t="str">
            <v>mm</v>
          </cell>
          <cell r="G726" t="str">
            <v>Mitsubishi Chemical</v>
          </cell>
        </row>
        <row r="727">
          <cell r="C727" t="str">
            <v>AU176-IR-7A</v>
          </cell>
          <cell r="D727" t="str">
            <v>AU176-IR-7</v>
          </cell>
          <cell r="E727">
            <v>965</v>
          </cell>
          <cell r="F727" t="str">
            <v>mm</v>
          </cell>
          <cell r="G727" t="str">
            <v>Mitsubishi Chemical</v>
          </cell>
        </row>
        <row r="728">
          <cell r="C728" t="str">
            <v>AU176-IR-8A</v>
          </cell>
          <cell r="D728" t="str">
            <v>AU176-IR-8</v>
          </cell>
          <cell r="E728">
            <v>953</v>
          </cell>
          <cell r="F728" t="str">
            <v>mm</v>
          </cell>
          <cell r="G728" t="str">
            <v>Mitsubishi Chemical</v>
          </cell>
        </row>
        <row r="729">
          <cell r="C729" t="str">
            <v>AU176-IR-9A</v>
          </cell>
          <cell r="D729" t="str">
            <v>AU176-IR-9</v>
          </cell>
          <cell r="E729">
            <v>940</v>
          </cell>
          <cell r="F729" t="str">
            <v>mm</v>
          </cell>
          <cell r="G729" t="str">
            <v>Mitsubishi Chemical</v>
          </cell>
        </row>
        <row r="730">
          <cell r="C730" t="str">
            <v>AU176-IR-AA</v>
          </cell>
          <cell r="D730" t="str">
            <v>AU176-IR-A</v>
          </cell>
          <cell r="E730">
            <v>927</v>
          </cell>
          <cell r="F730" t="str">
            <v>mm</v>
          </cell>
          <cell r="G730" t="str">
            <v>Mitsubishi Chemical</v>
          </cell>
        </row>
        <row r="731">
          <cell r="C731" t="str">
            <v>AU176-IR-PA</v>
          </cell>
          <cell r="D731" t="str">
            <v>AU176-IR-P</v>
          </cell>
          <cell r="E731">
            <v>933</v>
          </cell>
          <cell r="F731" t="str">
            <v>mm</v>
          </cell>
          <cell r="G731" t="str">
            <v>Mitsubishi Chemical</v>
          </cell>
        </row>
        <row r="732">
          <cell r="C732" t="str">
            <v>AU205-WS-1A</v>
          </cell>
          <cell r="D732" t="str">
            <v>AU205-WS-1</v>
          </cell>
          <cell r="E732">
            <v>1168</v>
          </cell>
          <cell r="F732" t="str">
            <v>mm</v>
          </cell>
          <cell r="G732" t="str">
            <v>Mitsubishi Chemical</v>
          </cell>
        </row>
        <row r="733">
          <cell r="C733" t="str">
            <v>AU205-WX-1A</v>
          </cell>
          <cell r="D733" t="str">
            <v>AU205-WX-1</v>
          </cell>
          <cell r="E733">
            <v>1168</v>
          </cell>
          <cell r="F733" t="str">
            <v>mm</v>
          </cell>
          <cell r="G733" t="str">
            <v>Mitsubishi Chemical</v>
          </cell>
        </row>
        <row r="734">
          <cell r="C734" t="str">
            <v>AU206-WS-1A</v>
          </cell>
          <cell r="D734" t="str">
            <v>AU206-WS-1</v>
          </cell>
          <cell r="E734">
            <v>1168</v>
          </cell>
          <cell r="F734" t="str">
            <v>mm</v>
          </cell>
          <cell r="G734" t="str">
            <v>Mitsubishi Chemical</v>
          </cell>
        </row>
        <row r="735">
          <cell r="C735" t="str">
            <v>AU206-WX-1A</v>
          </cell>
          <cell r="D735" t="str">
            <v>AU206-WX-1</v>
          </cell>
          <cell r="E735">
            <v>1168</v>
          </cell>
          <cell r="F735" t="str">
            <v>mm</v>
          </cell>
          <cell r="G735" t="str">
            <v>Mitsubishi Chemical</v>
          </cell>
        </row>
        <row r="736">
          <cell r="C736" t="str">
            <v>AU176-IL-7A</v>
          </cell>
          <cell r="D736" t="str">
            <v>AU176-IL-7</v>
          </cell>
          <cell r="E736">
            <v>965</v>
          </cell>
          <cell r="F736" t="str">
            <v>mm</v>
          </cell>
          <cell r="G736" t="str">
            <v>Mitsubishi Chemical</v>
          </cell>
        </row>
        <row r="737">
          <cell r="C737" t="str">
            <v>AU176-IL-8A</v>
          </cell>
          <cell r="D737" t="str">
            <v>AU176-IL-8</v>
          </cell>
          <cell r="E737">
            <v>953</v>
          </cell>
          <cell r="F737" t="str">
            <v>mm</v>
          </cell>
          <cell r="G737" t="str">
            <v>Mitsubishi Chemical</v>
          </cell>
        </row>
        <row r="738">
          <cell r="C738" t="str">
            <v>AU176-IL-9A</v>
          </cell>
          <cell r="D738" t="str">
            <v>AU176-IL-9</v>
          </cell>
          <cell r="E738">
            <v>940</v>
          </cell>
          <cell r="F738" t="str">
            <v>mm</v>
          </cell>
          <cell r="G738" t="str">
            <v>Mitsubishi Chemical</v>
          </cell>
        </row>
        <row r="739">
          <cell r="C739" t="str">
            <v>AU176-IL-AA</v>
          </cell>
          <cell r="D739" t="str">
            <v>AU176-IL-A</v>
          </cell>
          <cell r="E739">
            <v>927</v>
          </cell>
          <cell r="F739" t="str">
            <v>mm</v>
          </cell>
          <cell r="G739" t="str">
            <v>Mitsubishi Chemical</v>
          </cell>
        </row>
        <row r="740">
          <cell r="C740" t="str">
            <v>AU176-IL-5A</v>
          </cell>
          <cell r="D740" t="str">
            <v>AU176-IL-5</v>
          </cell>
          <cell r="E740">
            <v>991</v>
          </cell>
          <cell r="F740" t="str">
            <v>mm</v>
          </cell>
          <cell r="G740" t="str">
            <v>Mitsubishi Chemical</v>
          </cell>
        </row>
        <row r="741">
          <cell r="C741" t="str">
            <v>AU176-IA-6A</v>
          </cell>
          <cell r="D741" t="str">
            <v>AU176-IA-6</v>
          </cell>
          <cell r="E741">
            <v>978</v>
          </cell>
          <cell r="F741" t="str">
            <v>mm</v>
          </cell>
          <cell r="G741" t="str">
            <v>Mitsubishi Chemical</v>
          </cell>
        </row>
        <row r="742">
          <cell r="C742" t="str">
            <v>MZ041-WR-1A</v>
          </cell>
          <cell r="D742" t="str">
            <v>MZ041-WR-1</v>
          </cell>
          <cell r="E742">
            <v>1168</v>
          </cell>
          <cell r="F742" t="str">
            <v>mm</v>
          </cell>
          <cell r="G742" t="str">
            <v>Mitsubishi Chemical</v>
          </cell>
        </row>
        <row r="743">
          <cell r="C743" t="str">
            <v>MZ041-WS-1A</v>
          </cell>
          <cell r="D743" t="str">
            <v>MZ041-WS-1</v>
          </cell>
          <cell r="E743">
            <v>1168</v>
          </cell>
          <cell r="F743" t="str">
            <v>mm</v>
          </cell>
          <cell r="G743" t="str">
            <v>Mitsubishi Chemical</v>
          </cell>
        </row>
        <row r="744">
          <cell r="C744" t="str">
            <v>MZ042-WS-1A</v>
          </cell>
          <cell r="D744" t="str">
            <v>MZ042-WS-1</v>
          </cell>
          <cell r="E744">
            <v>1168</v>
          </cell>
          <cell r="F744" t="str">
            <v>mm</v>
          </cell>
          <cell r="G744" t="str">
            <v>Mitsubishi Chemical</v>
          </cell>
        </row>
        <row r="745">
          <cell r="C745" t="str">
            <v>MZ050-IS-6A</v>
          </cell>
          <cell r="D745" t="str">
            <v>MZ050-IS-6</v>
          </cell>
          <cell r="E745">
            <v>953</v>
          </cell>
          <cell r="F745" t="str">
            <v>mm</v>
          </cell>
          <cell r="G745" t="str">
            <v>Mitsubishi Chemical</v>
          </cell>
        </row>
        <row r="746">
          <cell r="C746" t="str">
            <v>MZ050-IS-7A</v>
          </cell>
          <cell r="D746" t="str">
            <v>MZ050-IS-7</v>
          </cell>
          <cell r="E746">
            <v>940</v>
          </cell>
          <cell r="F746" t="str">
            <v>mm</v>
          </cell>
          <cell r="G746" t="str">
            <v>Mitsubishi Chemical</v>
          </cell>
        </row>
        <row r="747">
          <cell r="C747" t="str">
            <v>MZ050-IS-8A</v>
          </cell>
          <cell r="D747" t="str">
            <v>MZ050-IS-8</v>
          </cell>
          <cell r="E747">
            <v>927</v>
          </cell>
          <cell r="F747" t="str">
            <v>mm</v>
          </cell>
          <cell r="G747" t="str">
            <v>Mitsubishi Chemical</v>
          </cell>
        </row>
        <row r="748">
          <cell r="C748" t="str">
            <v>MZ050-IS-9A</v>
          </cell>
          <cell r="D748" t="str">
            <v>MZ050-IS-9</v>
          </cell>
          <cell r="E748">
            <v>914</v>
          </cell>
          <cell r="F748" t="str">
            <v>mm</v>
          </cell>
          <cell r="G748" t="str">
            <v>Mitsubishi Chemical</v>
          </cell>
        </row>
        <row r="749">
          <cell r="C749" t="str">
            <v>MZ050-IS-PA</v>
          </cell>
          <cell r="D749" t="str">
            <v>MZ050-IS-P</v>
          </cell>
          <cell r="E749">
            <v>902</v>
          </cell>
          <cell r="F749" t="str">
            <v>mm</v>
          </cell>
          <cell r="G749" t="str">
            <v>Mitsubishi Chemical</v>
          </cell>
        </row>
        <row r="750">
          <cell r="C750" t="str">
            <v>MZ052-WS-1A</v>
          </cell>
          <cell r="D750" t="str">
            <v>MZ052-WS-1</v>
          </cell>
          <cell r="E750">
            <v>1168</v>
          </cell>
          <cell r="F750" t="str">
            <v>mm</v>
          </cell>
          <cell r="G750" t="str">
            <v>Mitsubishi Chemical</v>
          </cell>
        </row>
        <row r="751">
          <cell r="C751" t="str">
            <v>MZ052-WX-1A</v>
          </cell>
          <cell r="D751" t="str">
            <v>MZ052-WX-1</v>
          </cell>
          <cell r="E751">
            <v>1168</v>
          </cell>
          <cell r="F751" t="str">
            <v>mm</v>
          </cell>
          <cell r="G751" t="str">
            <v>Mitsubishi Chemical</v>
          </cell>
        </row>
        <row r="752">
          <cell r="C752" t="str">
            <v>MZ053-WS-1A</v>
          </cell>
          <cell r="D752" t="str">
            <v>MZ053-WS-1</v>
          </cell>
          <cell r="E752">
            <v>1168</v>
          </cell>
          <cell r="F752" t="str">
            <v>mm</v>
          </cell>
          <cell r="G752" t="str">
            <v>Mitsubishi Chemical</v>
          </cell>
        </row>
        <row r="753">
          <cell r="C753" t="str">
            <v>MZ053-WX-1A</v>
          </cell>
          <cell r="D753" t="str">
            <v>MZ053-WX-1</v>
          </cell>
          <cell r="E753">
            <v>1168</v>
          </cell>
          <cell r="F753" t="str">
            <v>mm</v>
          </cell>
          <cell r="G753" t="str">
            <v>Mitsubishi Chemical</v>
          </cell>
        </row>
        <row r="754">
          <cell r="C754" t="str">
            <v>MZ054-WR-1A</v>
          </cell>
          <cell r="D754" t="str">
            <v>MZ054-WR-1</v>
          </cell>
          <cell r="E754">
            <v>1168</v>
          </cell>
          <cell r="F754" t="str">
            <v>mm</v>
          </cell>
          <cell r="G754" t="str">
            <v>Mitsubishi Chemical</v>
          </cell>
        </row>
        <row r="755">
          <cell r="C755" t="str">
            <v>MZ054-WS-1A</v>
          </cell>
          <cell r="D755" t="str">
            <v>MZ054-WS-1</v>
          </cell>
          <cell r="E755">
            <v>1168</v>
          </cell>
          <cell r="F755" t="str">
            <v>mm</v>
          </cell>
          <cell r="G755" t="str">
            <v>Mitsubishi Chemical</v>
          </cell>
        </row>
        <row r="756">
          <cell r="C756" t="str">
            <v>MZ055-WR-1A</v>
          </cell>
          <cell r="D756" t="str">
            <v>MZ055-WR-1</v>
          </cell>
          <cell r="E756">
            <v>1168</v>
          </cell>
          <cell r="F756" t="str">
            <v>mm</v>
          </cell>
          <cell r="G756" t="str">
            <v>Mitsubishi Chemical</v>
          </cell>
        </row>
        <row r="757">
          <cell r="C757" t="str">
            <v>MZ055-WS-1A</v>
          </cell>
          <cell r="D757" t="str">
            <v>MZ055-WS-1</v>
          </cell>
          <cell r="E757">
            <v>1168</v>
          </cell>
          <cell r="F757" t="str">
            <v>mm</v>
          </cell>
          <cell r="G757" t="str">
            <v>Mitsubishi Chemical</v>
          </cell>
        </row>
        <row r="758">
          <cell r="C758" t="str">
            <v>MZ058-IR-2A</v>
          </cell>
          <cell r="D758" t="str">
            <v>MZ058-IR-2</v>
          </cell>
          <cell r="E758">
            <v>1067</v>
          </cell>
          <cell r="F758" t="str">
            <v>mm</v>
          </cell>
          <cell r="G758" t="str">
            <v>Mitsubishi Chemical</v>
          </cell>
        </row>
        <row r="759">
          <cell r="C759" t="str">
            <v>MZ058-IS-2A</v>
          </cell>
          <cell r="D759" t="str">
            <v>MZ058-IS-2</v>
          </cell>
          <cell r="E759">
            <v>1067</v>
          </cell>
          <cell r="F759" t="str">
            <v>mm</v>
          </cell>
          <cell r="G759" t="str">
            <v>Mitsubishi Chemical</v>
          </cell>
        </row>
        <row r="760">
          <cell r="C760" t="str">
            <v>MZ059-IS-2A</v>
          </cell>
          <cell r="D760" t="str">
            <v>MZ059-IS-2</v>
          </cell>
          <cell r="E760">
            <v>1067</v>
          </cell>
          <cell r="F760" t="str">
            <v>mm</v>
          </cell>
          <cell r="G760" t="str">
            <v>Mitsubishi Chemical</v>
          </cell>
        </row>
        <row r="761">
          <cell r="C761" t="str">
            <v>MZ050-IS-5A</v>
          </cell>
          <cell r="D761" t="str">
            <v>MZ050-IS-5</v>
          </cell>
          <cell r="E761">
            <v>965</v>
          </cell>
          <cell r="F761" t="str">
            <v>mm</v>
          </cell>
          <cell r="G761" t="str">
            <v>Mitsubishi Chemical</v>
          </cell>
        </row>
        <row r="762">
          <cell r="C762" t="str">
            <v>MX729-IR-6AO</v>
          </cell>
          <cell r="D762" t="str">
            <v>MX729-IR-6</v>
          </cell>
          <cell r="E762">
            <v>978</v>
          </cell>
          <cell r="F762" t="str">
            <v>mm</v>
          </cell>
          <cell r="G762" t="str">
            <v>Mitsubishi Chemical</v>
          </cell>
        </row>
        <row r="763">
          <cell r="C763" t="str">
            <v>MX729-IR-8AO</v>
          </cell>
          <cell r="D763" t="str">
            <v>MX729-IR-8</v>
          </cell>
          <cell r="E763">
            <v>953</v>
          </cell>
          <cell r="F763" t="str">
            <v>mm</v>
          </cell>
          <cell r="G763" t="str">
            <v>Mitsubishi Chemical</v>
          </cell>
        </row>
        <row r="764">
          <cell r="C764" t="str">
            <v>MX729-IR-9AO</v>
          </cell>
          <cell r="D764" t="str">
            <v>MX729-IR-9</v>
          </cell>
          <cell r="E764">
            <v>940</v>
          </cell>
          <cell r="F764" t="str">
            <v>mm</v>
          </cell>
          <cell r="G764" t="str">
            <v>Mitsubishi Chemical</v>
          </cell>
        </row>
        <row r="765">
          <cell r="C765" t="str">
            <v>MX729-IR-5AO</v>
          </cell>
          <cell r="D765" t="str">
            <v>MX729-IR-5</v>
          </cell>
          <cell r="E765">
            <v>991</v>
          </cell>
          <cell r="F765" t="str">
            <v>mm</v>
          </cell>
          <cell r="G765" t="str">
            <v>Mitsubishi Chemical</v>
          </cell>
        </row>
        <row r="766">
          <cell r="C766" t="str">
            <v>MX729-IR-7AO</v>
          </cell>
          <cell r="D766" t="str">
            <v>MX729-IR-7</v>
          </cell>
          <cell r="E766">
            <v>965</v>
          </cell>
          <cell r="F766" t="str">
            <v>mm</v>
          </cell>
          <cell r="G766" t="str">
            <v>Mitsubishi Chemical</v>
          </cell>
        </row>
        <row r="767">
          <cell r="C767" t="str">
            <v>AU232-IS-2</v>
          </cell>
          <cell r="D767" t="str">
            <v>AU232-IS-2</v>
          </cell>
          <cell r="E767" t="str">
            <v>1029</v>
          </cell>
          <cell r="F767" t="str">
            <v>mm</v>
          </cell>
          <cell r="G767" t="str">
            <v>Mitsubishi Chemical</v>
          </cell>
        </row>
        <row r="768">
          <cell r="C768" t="str">
            <v>AU232-IS-3</v>
          </cell>
          <cell r="D768" t="str">
            <v>AU232-IS-3</v>
          </cell>
          <cell r="E768" t="str">
            <v>1016</v>
          </cell>
          <cell r="F768" t="str">
            <v>mm</v>
          </cell>
          <cell r="G768" t="str">
            <v>Mitsubishi Chemical</v>
          </cell>
        </row>
        <row r="769">
          <cell r="C769" t="str">
            <v>AU232-IS-4</v>
          </cell>
          <cell r="D769" t="str">
            <v>AU232-IS-4</v>
          </cell>
          <cell r="E769" t="str">
            <v>1003</v>
          </cell>
          <cell r="F769" t="str">
            <v>mm</v>
          </cell>
          <cell r="G769" t="str">
            <v>Mitsubishi Chemical</v>
          </cell>
        </row>
        <row r="770">
          <cell r="C770" t="str">
            <v>AU232-IS-5</v>
          </cell>
          <cell r="D770" t="str">
            <v>AU232-IS-5</v>
          </cell>
          <cell r="E770" t="str">
            <v>991</v>
          </cell>
          <cell r="F770" t="str">
            <v>mm</v>
          </cell>
          <cell r="G770" t="str">
            <v>Mitsubishi Chemical</v>
          </cell>
        </row>
        <row r="771">
          <cell r="C771" t="str">
            <v>AU232-IS-6</v>
          </cell>
          <cell r="D771" t="str">
            <v>AU232-IS-6</v>
          </cell>
          <cell r="E771" t="str">
            <v>978</v>
          </cell>
          <cell r="F771" t="str">
            <v>mm</v>
          </cell>
          <cell r="G771" t="str">
            <v>Mitsubishi Chemical</v>
          </cell>
        </row>
        <row r="772">
          <cell r="C772" t="str">
            <v>AU232-IS-8</v>
          </cell>
          <cell r="D772" t="str">
            <v>AU232-IS-8</v>
          </cell>
          <cell r="E772" t="str">
            <v>953</v>
          </cell>
          <cell r="F772" t="str">
            <v>mm</v>
          </cell>
          <cell r="G772" t="str">
            <v>Mitsubishi Chemical</v>
          </cell>
        </row>
        <row r="773">
          <cell r="C773" t="str">
            <v>AU232-IS-9</v>
          </cell>
          <cell r="D773" t="str">
            <v>AU232-IS-9</v>
          </cell>
          <cell r="E773" t="str">
            <v>940</v>
          </cell>
          <cell r="F773" t="str">
            <v>mm</v>
          </cell>
          <cell r="G773" t="str">
            <v>Mitsubishi Chemical</v>
          </cell>
        </row>
        <row r="774">
          <cell r="C774" t="str">
            <v>AU232-IS-P</v>
          </cell>
          <cell r="D774" t="str">
            <v>AU232-IS-P</v>
          </cell>
          <cell r="E774" t="str">
            <v>927</v>
          </cell>
          <cell r="F774" t="str">
            <v>mm</v>
          </cell>
          <cell r="G774" t="str">
            <v>Mitsubishi Chemical</v>
          </cell>
        </row>
        <row r="775">
          <cell r="C775" t="str">
            <v>MX726-IR-4AO</v>
          </cell>
          <cell r="D775" t="str">
            <v>MX726-IR-4</v>
          </cell>
          <cell r="E775">
            <v>978</v>
          </cell>
          <cell r="F775" t="str">
            <v>mm</v>
          </cell>
          <cell r="G775" t="str">
            <v>Mitsubishi Chemical</v>
          </cell>
        </row>
        <row r="776">
          <cell r="C776" t="str">
            <v>MX726-IS-4AO</v>
          </cell>
          <cell r="D776" t="str">
            <v>MX726-IS-4</v>
          </cell>
          <cell r="E776">
            <v>978</v>
          </cell>
          <cell r="F776" t="str">
            <v>mm</v>
          </cell>
          <cell r="G776" t="str">
            <v>Mitsubishi Chemical</v>
          </cell>
        </row>
        <row r="777">
          <cell r="C777" t="str">
            <v>MX726-IS-3AO</v>
          </cell>
          <cell r="D777" t="str">
            <v>MX726-IS-3</v>
          </cell>
          <cell r="E777">
            <v>991</v>
          </cell>
          <cell r="F777" t="str">
            <v>mm</v>
          </cell>
          <cell r="G777" t="str">
            <v>Mitsubishi Chemical</v>
          </cell>
        </row>
        <row r="778">
          <cell r="C778" t="str">
            <v>MX681-IS-3AO</v>
          </cell>
          <cell r="D778" t="str">
            <v>MX681-IS-3</v>
          </cell>
          <cell r="E778">
            <v>991</v>
          </cell>
          <cell r="F778" t="str">
            <v>mm</v>
          </cell>
          <cell r="G778" t="str">
            <v>Mitsubishi Chemical</v>
          </cell>
        </row>
        <row r="779">
          <cell r="C779" t="str">
            <v>MX721-ITX3AO</v>
          </cell>
          <cell r="D779" t="str">
            <v>MX721-ITX3</v>
          </cell>
          <cell r="E779">
            <v>991</v>
          </cell>
          <cell r="F779" t="str">
            <v>mm</v>
          </cell>
          <cell r="G779" t="str">
            <v>Mitsubishi Chemical</v>
          </cell>
        </row>
        <row r="780">
          <cell r="C780" t="str">
            <v>CW108-ITXPA</v>
          </cell>
          <cell r="D780" t="str">
            <v>CW108-ITXP</v>
          </cell>
          <cell r="E780">
            <v>902</v>
          </cell>
          <cell r="F780" t="str">
            <v>mm</v>
          </cell>
          <cell r="G780" t="str">
            <v>Mitsubishi Chemical</v>
          </cell>
        </row>
        <row r="781">
          <cell r="C781" t="str">
            <v>CW173-IL-2</v>
          </cell>
          <cell r="D781" t="str">
            <v>CW173-IL-2</v>
          </cell>
          <cell r="E781">
            <v>1004</v>
          </cell>
          <cell r="F781" t="str">
            <v>mm</v>
          </cell>
          <cell r="G781" t="str">
            <v>Mitsubishi Chemical</v>
          </cell>
        </row>
        <row r="782">
          <cell r="C782" t="str">
            <v>CW173-WL-1</v>
          </cell>
          <cell r="D782" t="str">
            <v>CW173-WL-1</v>
          </cell>
          <cell r="E782">
            <v>1144</v>
          </cell>
          <cell r="F782" t="str">
            <v>mm</v>
          </cell>
          <cell r="G782" t="str">
            <v>Mitsubishi Chemical</v>
          </cell>
        </row>
        <row r="783">
          <cell r="C783" t="str">
            <v>SF301-WR-1B</v>
          </cell>
          <cell r="D783" t="str">
            <v>SF301-WR-1</v>
          </cell>
          <cell r="E783" t="str">
            <v>1143</v>
          </cell>
          <cell r="F783" t="str">
            <v>mm</v>
          </cell>
          <cell r="G783" t="str">
            <v>Mitsubishi Chemical</v>
          </cell>
        </row>
        <row r="784">
          <cell r="C784" t="str">
            <v>SF301-WSR1B</v>
          </cell>
          <cell r="D784" t="str">
            <v>SF301-WSR1</v>
          </cell>
          <cell r="E784" t="str">
            <v>1143</v>
          </cell>
          <cell r="F784" t="str">
            <v>mm</v>
          </cell>
          <cell r="G784" t="str">
            <v>Mitsubishi Chemical</v>
          </cell>
        </row>
        <row r="785">
          <cell r="C785" t="str">
            <v>AX188-WR-1VF</v>
          </cell>
          <cell r="D785" t="str">
            <v>AX188-WR-1</v>
          </cell>
          <cell r="E785">
            <v>1168</v>
          </cell>
          <cell r="F785" t="str">
            <v>mm</v>
          </cell>
          <cell r="G785" t="str">
            <v>Aldila</v>
          </cell>
        </row>
        <row r="786">
          <cell r="C786" t="str">
            <v>MZ043-WX-1A</v>
          </cell>
          <cell r="D786" t="str">
            <v>MZ043-WX-1</v>
          </cell>
          <cell r="E786">
            <v>1168</v>
          </cell>
          <cell r="F786" t="str">
            <v>mm</v>
          </cell>
          <cell r="G786" t="str">
            <v>Mitsubishi Chemical</v>
          </cell>
        </row>
        <row r="787">
          <cell r="C787" t="str">
            <v>MX892-IS-1AO</v>
          </cell>
          <cell r="D787" t="str">
            <v>MX892-IS-1</v>
          </cell>
          <cell r="E787">
            <v>1067</v>
          </cell>
          <cell r="F787" t="str">
            <v>mm</v>
          </cell>
          <cell r="G787" t="str">
            <v>Mitsubishi Chemical</v>
          </cell>
        </row>
        <row r="788">
          <cell r="C788" t="str">
            <v>YR180-WS-3A</v>
          </cell>
          <cell r="D788" t="str">
            <v>YR180-WS-3</v>
          </cell>
          <cell r="E788">
            <v>1087</v>
          </cell>
          <cell r="F788" t="str">
            <v>mm</v>
          </cell>
          <cell r="G788" t="str">
            <v>Mitsubishi Chemical</v>
          </cell>
        </row>
        <row r="789">
          <cell r="C789" t="str">
            <v>YR185-IL-7A</v>
          </cell>
          <cell r="D789" t="str">
            <v>YR185-IL-7</v>
          </cell>
          <cell r="E789">
            <v>917</v>
          </cell>
          <cell r="F789" t="str">
            <v>mm</v>
          </cell>
          <cell r="G789" t="str">
            <v>Mitsubishi Chemical</v>
          </cell>
        </row>
        <row r="790">
          <cell r="C790" t="str">
            <v>YR185-IL-8A</v>
          </cell>
          <cell r="D790" t="str">
            <v>YR185-IL-8</v>
          </cell>
          <cell r="E790">
            <v>902</v>
          </cell>
          <cell r="F790" t="str">
            <v>mm</v>
          </cell>
          <cell r="G790" t="str">
            <v>Mitsubishi Chemical</v>
          </cell>
        </row>
        <row r="791">
          <cell r="C791" t="str">
            <v>YR185-IL-9A</v>
          </cell>
          <cell r="D791" t="str">
            <v>YR185-IL-9</v>
          </cell>
          <cell r="E791">
            <v>889</v>
          </cell>
          <cell r="F791" t="str">
            <v>mm</v>
          </cell>
          <cell r="G791" t="str">
            <v>Mitsubishi Chemical</v>
          </cell>
        </row>
        <row r="792">
          <cell r="C792" t="str">
            <v>YR185-ILA7A</v>
          </cell>
          <cell r="D792" t="str">
            <v>YR185-ILA7</v>
          </cell>
          <cell r="E792">
            <v>917</v>
          </cell>
          <cell r="F792" t="str">
            <v>mm</v>
          </cell>
          <cell r="G792" t="str">
            <v>Mitsubishi Chemical</v>
          </cell>
        </row>
        <row r="793">
          <cell r="C793" t="str">
            <v>YR185-IL-AA</v>
          </cell>
          <cell r="D793" t="str">
            <v>YR185-IL-A</v>
          </cell>
          <cell r="E793">
            <v>864</v>
          </cell>
          <cell r="F793" t="str">
            <v>mm</v>
          </cell>
          <cell r="G793" t="str">
            <v>Mitsubishi Chemical</v>
          </cell>
        </row>
        <row r="794">
          <cell r="C794" t="str">
            <v>YR186-USR1A</v>
          </cell>
          <cell r="D794" t="str">
            <v>YR186-USR1</v>
          </cell>
          <cell r="E794">
            <v>1020</v>
          </cell>
          <cell r="F794" t="str">
            <v>mm</v>
          </cell>
          <cell r="G794" t="str">
            <v>Mitsubishi Chemical</v>
          </cell>
        </row>
        <row r="795">
          <cell r="C795" t="str">
            <v>YR186-WR-1A</v>
          </cell>
          <cell r="D795" t="str">
            <v>YR186-WR-1</v>
          </cell>
          <cell r="E795">
            <v>1139</v>
          </cell>
          <cell r="F795" t="str">
            <v>mm</v>
          </cell>
          <cell r="G795" t="str">
            <v>Mitsubishi Chemical</v>
          </cell>
        </row>
        <row r="796">
          <cell r="C796" t="str">
            <v>YR186-WR-3A</v>
          </cell>
          <cell r="D796" t="str">
            <v>YR186-WR-3</v>
          </cell>
          <cell r="E796">
            <v>1087</v>
          </cell>
          <cell r="F796" t="str">
            <v>mm</v>
          </cell>
          <cell r="G796" t="str">
            <v>Mitsubishi Chemical</v>
          </cell>
        </row>
        <row r="797">
          <cell r="C797" t="str">
            <v>YR186-WSR1A</v>
          </cell>
          <cell r="D797" t="str">
            <v>YR186-WSR1</v>
          </cell>
          <cell r="E797">
            <v>1139</v>
          </cell>
          <cell r="F797" t="str">
            <v>mm</v>
          </cell>
          <cell r="G797" t="str">
            <v>Mitsubishi Chemical</v>
          </cell>
        </row>
        <row r="798">
          <cell r="C798" t="str">
            <v>YR185-ILAAA</v>
          </cell>
          <cell r="D798" t="str">
            <v>YR185-ILAA</v>
          </cell>
          <cell r="E798">
            <v>864</v>
          </cell>
          <cell r="F798" t="str">
            <v>mm</v>
          </cell>
          <cell r="G798" t="str">
            <v>Mitsubishi Chemical</v>
          </cell>
        </row>
        <row r="799">
          <cell r="C799" t="str">
            <v>YR185-ILAPA</v>
          </cell>
          <cell r="D799" t="str">
            <v>YR185-ILAP</v>
          </cell>
          <cell r="E799">
            <v>876</v>
          </cell>
          <cell r="F799" t="str">
            <v>mm</v>
          </cell>
          <cell r="G799" t="str">
            <v>Mitsubishi Chemical</v>
          </cell>
        </row>
        <row r="800">
          <cell r="C800" t="str">
            <v>YR185-IL-PA</v>
          </cell>
          <cell r="D800" t="str">
            <v>YR185-IL-P</v>
          </cell>
          <cell r="E800">
            <v>876</v>
          </cell>
          <cell r="F800" t="str">
            <v>mm</v>
          </cell>
          <cell r="G800" t="str">
            <v>Mitsubishi Chemical</v>
          </cell>
        </row>
        <row r="801">
          <cell r="C801" t="str">
            <v>YR185-ILA8A</v>
          </cell>
          <cell r="D801" t="str">
            <v>YR185-ILA8</v>
          </cell>
          <cell r="E801">
            <v>902</v>
          </cell>
          <cell r="F801" t="str">
            <v>mm</v>
          </cell>
          <cell r="G801" t="str">
            <v>Mitsubishi Chemical</v>
          </cell>
        </row>
        <row r="802">
          <cell r="C802" t="str">
            <v>YR185-ILA9A</v>
          </cell>
          <cell r="D802" t="str">
            <v>YR185-ILA9</v>
          </cell>
          <cell r="E802">
            <v>889</v>
          </cell>
          <cell r="F802" t="str">
            <v>mm</v>
          </cell>
          <cell r="G802" t="str">
            <v>Mitsubishi Chemical</v>
          </cell>
        </row>
        <row r="803">
          <cell r="C803" t="str">
            <v>YR166-WL-1A</v>
          </cell>
          <cell r="D803" t="str">
            <v>YR166-WL-1</v>
          </cell>
          <cell r="E803">
            <v>1113</v>
          </cell>
          <cell r="F803" t="str">
            <v>mm</v>
          </cell>
          <cell r="G803" t="str">
            <v>Mitsubishi Chemical</v>
          </cell>
        </row>
        <row r="804">
          <cell r="C804" t="str">
            <v>YR166-IL-7A</v>
          </cell>
          <cell r="D804" t="str">
            <v>YR166-IL-7</v>
          </cell>
          <cell r="E804">
            <v>908</v>
          </cell>
          <cell r="F804" t="str">
            <v>mm</v>
          </cell>
          <cell r="G804" t="str">
            <v>Mitsubishi Chemical</v>
          </cell>
        </row>
        <row r="805">
          <cell r="C805" t="str">
            <v>YR180-US-1A</v>
          </cell>
          <cell r="D805" t="str">
            <v>YR180-US-1</v>
          </cell>
          <cell r="E805">
            <v>1020</v>
          </cell>
          <cell r="F805" t="str">
            <v>mm</v>
          </cell>
          <cell r="G805" t="str">
            <v>Mitsubishi Chemical</v>
          </cell>
        </row>
        <row r="806">
          <cell r="C806" t="str">
            <v>MX968-WR-1AO</v>
          </cell>
          <cell r="D806" t="str">
            <v>MX968-WR-1</v>
          </cell>
          <cell r="E806">
            <v>1143</v>
          </cell>
          <cell r="F806" t="str">
            <v>mm</v>
          </cell>
          <cell r="G806" t="str">
            <v>Mitsubishi Chemical</v>
          </cell>
        </row>
        <row r="807">
          <cell r="C807" t="str">
            <v>MX984-IR-1AO</v>
          </cell>
          <cell r="D807" t="str">
            <v>MX984-IR-1</v>
          </cell>
          <cell r="E807">
            <v>1067</v>
          </cell>
          <cell r="F807" t="str">
            <v>mm</v>
          </cell>
          <cell r="G807" t="str">
            <v>Mitsubishi Chemical</v>
          </cell>
        </row>
        <row r="808">
          <cell r="C808" t="str">
            <v>MX984-IS-1AO</v>
          </cell>
          <cell r="D808" t="str">
            <v>MX984-IS-1</v>
          </cell>
          <cell r="E808">
            <v>1067</v>
          </cell>
          <cell r="F808" t="str">
            <v>mm</v>
          </cell>
          <cell r="G808" t="str">
            <v>Mitsubishi Chemical</v>
          </cell>
        </row>
        <row r="809">
          <cell r="C809" t="str">
            <v>PG062-WX-1A</v>
          </cell>
          <cell r="D809" t="str">
            <v>PG062-WX-1</v>
          </cell>
          <cell r="E809">
            <v>1168</v>
          </cell>
          <cell r="F809" t="str">
            <v>mm</v>
          </cell>
          <cell r="G809" t="str">
            <v>Mitsubishi Chemical</v>
          </cell>
        </row>
        <row r="810">
          <cell r="C810" t="str">
            <v>PG063-WX-1A</v>
          </cell>
          <cell r="D810" t="str">
            <v>PG063-WX-1</v>
          </cell>
          <cell r="E810">
            <v>1168</v>
          </cell>
          <cell r="F810" t="str">
            <v>mm</v>
          </cell>
          <cell r="G810" t="str">
            <v>Mitsubishi Chemical</v>
          </cell>
        </row>
        <row r="811">
          <cell r="C811" t="str">
            <v>XG004-IS-1A</v>
          </cell>
          <cell r="D811" t="str">
            <v>XG004-IS-1</v>
          </cell>
          <cell r="E811">
            <v>1067</v>
          </cell>
          <cell r="F811" t="str">
            <v>mm</v>
          </cell>
          <cell r="G811" t="str">
            <v>Mitsubishi Chemical</v>
          </cell>
        </row>
        <row r="812">
          <cell r="C812" t="str">
            <v>AX142-IS-3AB</v>
          </cell>
          <cell r="D812" t="str">
            <v>AX142-IS-3</v>
          </cell>
          <cell r="E812">
            <v>1016</v>
          </cell>
          <cell r="F812" t="str">
            <v>mm</v>
          </cell>
          <cell r="G812" t="str">
            <v>Aldila</v>
          </cell>
        </row>
        <row r="813">
          <cell r="C813" t="str">
            <v>MX721-IS-9A</v>
          </cell>
          <cell r="D813" t="str">
            <v>MX721-IS-9</v>
          </cell>
          <cell r="E813">
            <v>914</v>
          </cell>
          <cell r="F813" t="str">
            <v>mm</v>
          </cell>
          <cell r="G813" t="str">
            <v>Mitsubishi Chemical</v>
          </cell>
        </row>
        <row r="814">
          <cell r="C814" t="str">
            <v>MX730-IS-PA</v>
          </cell>
          <cell r="D814" t="str">
            <v>MX730-IS-P</v>
          </cell>
          <cell r="E814">
            <v>927</v>
          </cell>
          <cell r="F814" t="str">
            <v>mm</v>
          </cell>
          <cell r="G814" t="str">
            <v>Mitsubishi Chemical</v>
          </cell>
        </row>
        <row r="815">
          <cell r="C815" t="str">
            <v>MX730-IS-6A</v>
          </cell>
          <cell r="D815" t="str">
            <v>MX730-IS-6</v>
          </cell>
          <cell r="E815">
            <v>978</v>
          </cell>
          <cell r="F815" t="str">
            <v>mm</v>
          </cell>
          <cell r="G815" t="str">
            <v>Mitsubishi Chemical</v>
          </cell>
        </row>
        <row r="816">
          <cell r="C816" t="str">
            <v>MX991-WR-1A</v>
          </cell>
          <cell r="D816" t="str">
            <v>MX991-WR-1</v>
          </cell>
          <cell r="E816">
            <v>1168</v>
          </cell>
          <cell r="F816" t="str">
            <v>mm</v>
          </cell>
          <cell r="G816" t="str">
            <v>Mitsubishi Chemical</v>
          </cell>
        </row>
        <row r="817">
          <cell r="C817" t="str">
            <v>CW158-IR-2</v>
          </cell>
          <cell r="D817" t="str">
            <v>CW158-IR-2</v>
          </cell>
          <cell r="E817">
            <v>1042</v>
          </cell>
          <cell r="F817" t="str">
            <v>mm</v>
          </cell>
          <cell r="G817" t="str">
            <v>Mitsubishi Chemical</v>
          </cell>
        </row>
        <row r="818">
          <cell r="C818" t="str">
            <v>CW158-IS-2</v>
          </cell>
          <cell r="D818" t="str">
            <v>CW158-IS-2</v>
          </cell>
          <cell r="E818">
            <v>1042</v>
          </cell>
          <cell r="F818" t="str">
            <v>mm</v>
          </cell>
          <cell r="G818" t="str">
            <v>Mitsubishi Chemical</v>
          </cell>
        </row>
        <row r="819">
          <cell r="C819" t="str">
            <v>CW158-ISR2</v>
          </cell>
          <cell r="D819" t="str">
            <v>CW158-ISR2</v>
          </cell>
          <cell r="E819">
            <v>1042</v>
          </cell>
          <cell r="F819" t="str">
            <v>mm</v>
          </cell>
          <cell r="G819" t="str">
            <v>Mitsubishi Chemical</v>
          </cell>
        </row>
        <row r="820">
          <cell r="C820" t="str">
            <v>MX784-WS-1CO</v>
          </cell>
          <cell r="D820" t="str">
            <v>MX784-WS-1</v>
          </cell>
          <cell r="E820">
            <v>1168</v>
          </cell>
          <cell r="F820" t="str">
            <v>mm</v>
          </cell>
          <cell r="G820" t="str">
            <v>Mitsubishi Chemical</v>
          </cell>
        </row>
        <row r="821">
          <cell r="C821" t="str">
            <v>MX784-WX-1CO</v>
          </cell>
          <cell r="D821" t="str">
            <v>MX784-WX-1</v>
          </cell>
          <cell r="E821">
            <v>1168</v>
          </cell>
          <cell r="F821" t="str">
            <v>mm</v>
          </cell>
          <cell r="G821" t="str">
            <v>Mitsubishi Chemical</v>
          </cell>
        </row>
        <row r="822">
          <cell r="C822" t="str">
            <v>YR187-IR-5A</v>
          </cell>
          <cell r="D822" t="str">
            <v>YR187-IR-5</v>
          </cell>
          <cell r="E822">
            <v>991</v>
          </cell>
          <cell r="F822" t="str">
            <v>mm</v>
          </cell>
          <cell r="G822" t="str">
            <v>Mitsubishi Chemical</v>
          </cell>
        </row>
        <row r="823">
          <cell r="C823" t="str">
            <v>YR187-IR-6A</v>
          </cell>
          <cell r="D823" t="str">
            <v>YR187-IR-6</v>
          </cell>
          <cell r="E823">
            <v>978</v>
          </cell>
          <cell r="F823" t="str">
            <v>mm</v>
          </cell>
          <cell r="G823" t="str">
            <v>Mitsubishi Chemical</v>
          </cell>
        </row>
        <row r="824">
          <cell r="C824" t="str">
            <v>YR187-IR-8A</v>
          </cell>
          <cell r="D824" t="str">
            <v>YR187-IR-8</v>
          </cell>
          <cell r="E824">
            <v>953</v>
          </cell>
          <cell r="F824" t="str">
            <v>mm</v>
          </cell>
          <cell r="G824" t="str">
            <v>Mitsubishi Chemical</v>
          </cell>
        </row>
        <row r="825">
          <cell r="C825" t="str">
            <v>YR187-IR-9A</v>
          </cell>
          <cell r="D825" t="str">
            <v>YR187-IR-9</v>
          </cell>
          <cell r="E825">
            <v>940</v>
          </cell>
          <cell r="F825" t="str">
            <v>mm</v>
          </cell>
          <cell r="G825" t="str">
            <v>Mitsubishi Chemical</v>
          </cell>
        </row>
        <row r="826">
          <cell r="C826" t="str">
            <v>YR187-IR-PA</v>
          </cell>
          <cell r="D826" t="str">
            <v>YR187-IR-P</v>
          </cell>
          <cell r="E826">
            <v>927</v>
          </cell>
          <cell r="F826" t="str">
            <v>mm</v>
          </cell>
          <cell r="G826" t="str">
            <v>Mitsubishi Chemical</v>
          </cell>
        </row>
        <row r="827">
          <cell r="C827" t="str">
            <v>YR187-ISR6A</v>
          </cell>
          <cell r="D827" t="str">
            <v>YR187-ISR6</v>
          </cell>
          <cell r="E827">
            <v>978</v>
          </cell>
          <cell r="F827" t="str">
            <v>mm</v>
          </cell>
          <cell r="G827" t="str">
            <v>Mitsubishi Chemical</v>
          </cell>
        </row>
        <row r="828">
          <cell r="C828" t="str">
            <v>YR187-IR-7A</v>
          </cell>
          <cell r="D828" t="str">
            <v>YR187-IR-7</v>
          </cell>
          <cell r="E828">
            <v>965</v>
          </cell>
          <cell r="F828" t="str">
            <v>mm</v>
          </cell>
          <cell r="G828" t="str">
            <v>Mitsubishi Chemical</v>
          </cell>
        </row>
        <row r="829">
          <cell r="C829" t="str">
            <v>YR187-IR-AA</v>
          </cell>
          <cell r="D829" t="str">
            <v>YR187-IR-A</v>
          </cell>
          <cell r="E829">
            <v>914</v>
          </cell>
          <cell r="F829" t="str">
            <v>mm</v>
          </cell>
          <cell r="G829" t="str">
            <v>Mitsubishi Chemical</v>
          </cell>
        </row>
        <row r="830">
          <cell r="C830" t="str">
            <v>YR187-IR-SA</v>
          </cell>
          <cell r="D830" t="str">
            <v>YR187-IR-S</v>
          </cell>
          <cell r="E830">
            <v>902</v>
          </cell>
          <cell r="F830" t="str">
            <v>mm</v>
          </cell>
          <cell r="G830" t="str">
            <v>Mitsubishi Chemical</v>
          </cell>
        </row>
        <row r="831">
          <cell r="C831" t="str">
            <v>YR187-ISR5A</v>
          </cell>
          <cell r="D831" t="str">
            <v>YR187-ISR5</v>
          </cell>
          <cell r="E831">
            <v>991</v>
          </cell>
          <cell r="F831" t="str">
            <v>mm</v>
          </cell>
          <cell r="G831" t="str">
            <v>Mitsubishi Chemical</v>
          </cell>
        </row>
        <row r="832">
          <cell r="C832" t="str">
            <v>YR187-ISRSA</v>
          </cell>
          <cell r="D832" t="str">
            <v>YR187-ISRS</v>
          </cell>
          <cell r="E832">
            <v>902</v>
          </cell>
          <cell r="F832" t="str">
            <v>mm</v>
          </cell>
          <cell r="G832" t="str">
            <v>Mitsubishi Chemical</v>
          </cell>
        </row>
        <row r="833">
          <cell r="C833" t="str">
            <v>YR185-WL-1A</v>
          </cell>
          <cell r="D833" t="str">
            <v>YR185-WL-1</v>
          </cell>
          <cell r="E833">
            <v>1119</v>
          </cell>
          <cell r="F833" t="str">
            <v>mm</v>
          </cell>
          <cell r="G833" t="str">
            <v>Mitsubishi Chemical</v>
          </cell>
        </row>
        <row r="834">
          <cell r="C834" t="str">
            <v>YR185-WLA1A</v>
          </cell>
          <cell r="D834" t="str">
            <v>YR185-WLA1</v>
          </cell>
          <cell r="E834">
            <v>1132</v>
          </cell>
          <cell r="F834" t="str">
            <v>mm</v>
          </cell>
          <cell r="G834" t="str">
            <v>Mitsubishi Chemical</v>
          </cell>
        </row>
        <row r="835">
          <cell r="C835" t="str">
            <v>CB034-IR-3A</v>
          </cell>
          <cell r="D835" t="str">
            <v>CB034-IR-3</v>
          </cell>
          <cell r="E835">
            <v>1068</v>
          </cell>
          <cell r="F835" t="str">
            <v>mm</v>
          </cell>
          <cell r="G835" t="str">
            <v>Mitsubishi Chemical</v>
          </cell>
        </row>
        <row r="836">
          <cell r="C836" t="str">
            <v>CB034-IX-3A</v>
          </cell>
          <cell r="D836" t="str">
            <v>CB034-IX-3</v>
          </cell>
          <cell r="E836">
            <v>1068</v>
          </cell>
          <cell r="F836" t="str">
            <v>mm</v>
          </cell>
          <cell r="G836" t="str">
            <v>Mitsubishi Chemical</v>
          </cell>
        </row>
        <row r="837">
          <cell r="C837" t="str">
            <v>CB043-WR-1A</v>
          </cell>
          <cell r="D837" t="str">
            <v>CB043-WR-1</v>
          </cell>
          <cell r="E837">
            <v>1168</v>
          </cell>
          <cell r="F837" t="str">
            <v>mm</v>
          </cell>
          <cell r="G837" t="str">
            <v>Mitsubishi Chemical</v>
          </cell>
        </row>
        <row r="838">
          <cell r="C838" t="str">
            <v>CB043-WS-1A</v>
          </cell>
          <cell r="D838" t="str">
            <v>CB043-WS-1</v>
          </cell>
          <cell r="E838">
            <v>1168</v>
          </cell>
          <cell r="F838" t="str">
            <v>mm</v>
          </cell>
          <cell r="G838" t="str">
            <v>Mitsubishi Chemical</v>
          </cell>
        </row>
        <row r="839">
          <cell r="C839" t="str">
            <v>CB044-WA-1A</v>
          </cell>
          <cell r="D839" t="str">
            <v>CB044-WA-1</v>
          </cell>
          <cell r="E839">
            <v>1143</v>
          </cell>
          <cell r="F839" t="str">
            <v>mm</v>
          </cell>
          <cell r="G839" t="str">
            <v>Mitsubishi Chemical</v>
          </cell>
        </row>
        <row r="840">
          <cell r="C840" t="str">
            <v>CB044-WR-1A</v>
          </cell>
          <cell r="D840" t="str">
            <v>CB044-WR-1</v>
          </cell>
          <cell r="E840">
            <v>1143</v>
          </cell>
          <cell r="F840" t="str">
            <v>mm</v>
          </cell>
          <cell r="G840" t="str">
            <v>Mitsubishi Chemical</v>
          </cell>
        </row>
        <row r="841">
          <cell r="C841" t="str">
            <v>MX681-IS-4AO</v>
          </cell>
          <cell r="D841" t="str">
            <v>MX681-IS-4</v>
          </cell>
          <cell r="E841">
            <v>978</v>
          </cell>
          <cell r="F841" t="str">
            <v>mm</v>
          </cell>
          <cell r="G841" t="str">
            <v>Mitsubishi Chemical</v>
          </cell>
        </row>
        <row r="842">
          <cell r="C842" t="str">
            <v>MX681-IS-5AO</v>
          </cell>
          <cell r="D842" t="str">
            <v>MX681-IS-5</v>
          </cell>
          <cell r="E842">
            <v>965</v>
          </cell>
          <cell r="F842" t="str">
            <v>mm</v>
          </cell>
          <cell r="G842" t="str">
            <v>Mitsubishi Chemical</v>
          </cell>
        </row>
        <row r="843">
          <cell r="C843" t="str">
            <v>MX681-IS-6AO</v>
          </cell>
          <cell r="D843" t="str">
            <v>MX681-IS-6</v>
          </cell>
          <cell r="E843">
            <v>953</v>
          </cell>
          <cell r="F843" t="str">
            <v>mm</v>
          </cell>
          <cell r="G843" t="str">
            <v>Mitsubishi Chemical</v>
          </cell>
        </row>
        <row r="844">
          <cell r="C844" t="str">
            <v>MX681-IS-7AO</v>
          </cell>
          <cell r="D844" t="str">
            <v>MX681-IS-7</v>
          </cell>
          <cell r="E844">
            <v>940</v>
          </cell>
          <cell r="F844" t="str">
            <v>mm</v>
          </cell>
          <cell r="G844" t="str">
            <v>Mitsubishi Chemical</v>
          </cell>
        </row>
        <row r="845">
          <cell r="C845" t="str">
            <v>MX681-IS-9AO</v>
          </cell>
          <cell r="D845" t="str">
            <v>MX681-IS-9</v>
          </cell>
          <cell r="E845">
            <v>914</v>
          </cell>
          <cell r="F845" t="str">
            <v>mm</v>
          </cell>
          <cell r="G845" t="str">
            <v>Mitsubishi Chemical</v>
          </cell>
        </row>
        <row r="846">
          <cell r="C846" t="str">
            <v>MX681-ITX3AO</v>
          </cell>
          <cell r="D846" t="str">
            <v>MX681-ITX3</v>
          </cell>
          <cell r="E846">
            <v>991</v>
          </cell>
          <cell r="F846" t="str">
            <v>mm</v>
          </cell>
          <cell r="G846" t="str">
            <v>Mitsubishi Chemical</v>
          </cell>
        </row>
        <row r="847">
          <cell r="C847" t="str">
            <v>MX681-ITX4AO</v>
          </cell>
          <cell r="D847" t="str">
            <v>MX681-ITX4</v>
          </cell>
          <cell r="E847">
            <v>978</v>
          </cell>
          <cell r="F847" t="str">
            <v>mm</v>
          </cell>
          <cell r="G847" t="str">
            <v>Mitsubishi Chemical</v>
          </cell>
        </row>
        <row r="848">
          <cell r="C848" t="str">
            <v>MX681-ITX5AO</v>
          </cell>
          <cell r="D848" t="str">
            <v>MX681-ITX5</v>
          </cell>
          <cell r="E848">
            <v>965</v>
          </cell>
          <cell r="F848" t="str">
            <v>mm</v>
          </cell>
          <cell r="G848" t="str">
            <v>Mitsubishi Chemical</v>
          </cell>
        </row>
        <row r="849">
          <cell r="C849" t="str">
            <v>MX681-ITX6AO</v>
          </cell>
          <cell r="D849" t="str">
            <v>MX681-ITX6</v>
          </cell>
          <cell r="E849">
            <v>953</v>
          </cell>
          <cell r="F849" t="str">
            <v>mm</v>
          </cell>
          <cell r="G849" t="str">
            <v>Mitsubishi Chemical</v>
          </cell>
        </row>
        <row r="850">
          <cell r="C850" t="str">
            <v>MX681-ITX8AO</v>
          </cell>
          <cell r="D850" t="str">
            <v>MX681-ITX8</v>
          </cell>
          <cell r="E850">
            <v>927</v>
          </cell>
          <cell r="F850" t="str">
            <v>mm</v>
          </cell>
          <cell r="G850" t="str">
            <v>Mitsubishi Chemical</v>
          </cell>
        </row>
        <row r="851">
          <cell r="C851" t="str">
            <v>MX681-ITX9AO</v>
          </cell>
          <cell r="D851" t="str">
            <v>MX681-ITX9</v>
          </cell>
          <cell r="E851">
            <v>914</v>
          </cell>
          <cell r="F851" t="str">
            <v>mm</v>
          </cell>
          <cell r="G851" t="str">
            <v>Mitsubishi Chemical</v>
          </cell>
        </row>
        <row r="852">
          <cell r="C852" t="str">
            <v>MX721-ITX4AO</v>
          </cell>
          <cell r="D852" t="str">
            <v>MX721-ITX4</v>
          </cell>
          <cell r="E852">
            <v>978</v>
          </cell>
          <cell r="F852" t="str">
            <v>mm</v>
          </cell>
          <cell r="G852" t="str">
            <v>Mitsubishi Chemical</v>
          </cell>
        </row>
        <row r="853">
          <cell r="C853" t="str">
            <v>MX721-ITX7AO</v>
          </cell>
          <cell r="D853" t="str">
            <v>MX721-ITX7</v>
          </cell>
          <cell r="E853">
            <v>940</v>
          </cell>
          <cell r="F853" t="str">
            <v>mm</v>
          </cell>
          <cell r="G853" t="str">
            <v>Mitsubishi Chemical</v>
          </cell>
        </row>
        <row r="854">
          <cell r="C854" t="str">
            <v>MX721-ITX8AO</v>
          </cell>
          <cell r="D854" t="str">
            <v>MX721-ITX8</v>
          </cell>
          <cell r="E854">
            <v>927</v>
          </cell>
          <cell r="F854" t="str">
            <v>mm</v>
          </cell>
          <cell r="G854" t="str">
            <v>Mitsubishi Chemical</v>
          </cell>
        </row>
        <row r="855">
          <cell r="C855" t="str">
            <v>MX721-ITXPAO</v>
          </cell>
          <cell r="D855" t="str">
            <v>MX721-ITXP</v>
          </cell>
          <cell r="E855">
            <v>902</v>
          </cell>
          <cell r="F855" t="str">
            <v>mm</v>
          </cell>
          <cell r="G855" t="str">
            <v>Mitsubishi Chemical</v>
          </cell>
        </row>
        <row r="856">
          <cell r="C856" t="str">
            <v>MX726-IR-6AO</v>
          </cell>
          <cell r="D856" t="str">
            <v>MX726-IR-6</v>
          </cell>
          <cell r="E856">
            <v>953</v>
          </cell>
          <cell r="F856" t="str">
            <v>mm</v>
          </cell>
          <cell r="G856" t="str">
            <v>Mitsubishi Chemical</v>
          </cell>
        </row>
        <row r="857">
          <cell r="C857" t="str">
            <v>MX726-IR-8AO</v>
          </cell>
          <cell r="D857" t="str">
            <v>MX726-IR-8</v>
          </cell>
          <cell r="E857">
            <v>927</v>
          </cell>
          <cell r="F857" t="str">
            <v>mm</v>
          </cell>
          <cell r="G857" t="str">
            <v>Mitsubishi Chemical</v>
          </cell>
        </row>
        <row r="858">
          <cell r="C858" t="str">
            <v>MX726-IR-9AO</v>
          </cell>
          <cell r="D858" t="str">
            <v>MX726-IR-9</v>
          </cell>
          <cell r="E858">
            <v>914</v>
          </cell>
          <cell r="F858" t="str">
            <v>mm</v>
          </cell>
          <cell r="G858" t="str">
            <v>Mitsubishi Chemical</v>
          </cell>
        </row>
        <row r="859">
          <cell r="C859" t="str">
            <v>MX726-IR-PAO</v>
          </cell>
          <cell r="D859" t="str">
            <v>MX726-IR-P</v>
          </cell>
          <cell r="E859">
            <v>902</v>
          </cell>
          <cell r="F859" t="str">
            <v>mm</v>
          </cell>
          <cell r="G859" t="str">
            <v>Mitsubishi Chemical</v>
          </cell>
        </row>
        <row r="860">
          <cell r="C860" t="str">
            <v>MX726-IS-5AO</v>
          </cell>
          <cell r="D860" t="str">
            <v>MX726-IS-5</v>
          </cell>
          <cell r="E860">
            <v>965</v>
          </cell>
          <cell r="F860" t="str">
            <v>mm</v>
          </cell>
          <cell r="G860" t="str">
            <v>Mitsubishi Chemical</v>
          </cell>
        </row>
        <row r="861">
          <cell r="C861" t="str">
            <v>MX726-IS-9AO</v>
          </cell>
          <cell r="D861" t="str">
            <v>MX726-IS-9</v>
          </cell>
          <cell r="E861">
            <v>914</v>
          </cell>
          <cell r="F861" t="str">
            <v>mm</v>
          </cell>
          <cell r="G861" t="str">
            <v>Mitsubishi Chemical</v>
          </cell>
        </row>
        <row r="862">
          <cell r="C862" t="str">
            <v>MX968-WW-1AO</v>
          </cell>
          <cell r="D862" t="str">
            <v>MX968-WW-1</v>
          </cell>
          <cell r="E862">
            <v>1143</v>
          </cell>
          <cell r="F862" t="str">
            <v>mm</v>
          </cell>
          <cell r="G862" t="str">
            <v>Mitsubishi Chemical</v>
          </cell>
        </row>
        <row r="863">
          <cell r="C863" t="str">
            <v>MX726-IS-PAO</v>
          </cell>
          <cell r="D863" t="str">
            <v>MX726-IS-P</v>
          </cell>
          <cell r="E863">
            <v>902</v>
          </cell>
          <cell r="F863" t="str">
            <v>mm</v>
          </cell>
          <cell r="G863" t="str">
            <v>Mitsubishi Chemical</v>
          </cell>
        </row>
        <row r="864">
          <cell r="C864" t="str">
            <v>MX726-IS-6AO</v>
          </cell>
          <cell r="D864" t="str">
            <v>MX726-IS-6</v>
          </cell>
          <cell r="E864">
            <v>953</v>
          </cell>
          <cell r="F864" t="str">
            <v>mm</v>
          </cell>
          <cell r="G864" t="str">
            <v>Mitsubishi Chemical</v>
          </cell>
        </row>
        <row r="865">
          <cell r="C865" t="str">
            <v>MX726-IS-7AO</v>
          </cell>
          <cell r="D865" t="str">
            <v>MX726-IS-7</v>
          </cell>
          <cell r="E865">
            <v>940</v>
          </cell>
          <cell r="F865" t="str">
            <v>mm</v>
          </cell>
          <cell r="G865" t="str">
            <v>Mitsubishi Chemical</v>
          </cell>
        </row>
        <row r="866">
          <cell r="C866" t="str">
            <v>MX726-IS-8AO</v>
          </cell>
          <cell r="D866" t="str">
            <v>MX726-IS-8</v>
          </cell>
          <cell r="E866">
            <v>927</v>
          </cell>
          <cell r="F866" t="str">
            <v>mm</v>
          </cell>
          <cell r="G866" t="str">
            <v>Mitsubishi Chemical</v>
          </cell>
        </row>
        <row r="867">
          <cell r="C867" t="str">
            <v>MX726-IR-7AO</v>
          </cell>
          <cell r="D867" t="str">
            <v>MX726-IR-7</v>
          </cell>
          <cell r="E867">
            <v>940</v>
          </cell>
          <cell r="F867" t="str">
            <v>mm</v>
          </cell>
          <cell r="G867" t="str">
            <v>Mitsubishi Chemical</v>
          </cell>
        </row>
        <row r="868">
          <cell r="C868" t="str">
            <v>MX726-IR-5AO</v>
          </cell>
          <cell r="D868" t="str">
            <v>MX726-IR-5</v>
          </cell>
          <cell r="E868">
            <v>965</v>
          </cell>
          <cell r="F868" t="str">
            <v>mm</v>
          </cell>
          <cell r="G868" t="str">
            <v>Mitsubishi Chemical</v>
          </cell>
        </row>
        <row r="869">
          <cell r="C869" t="str">
            <v>MX721-ITX9AO</v>
          </cell>
          <cell r="D869" t="str">
            <v>MX721-ITX9</v>
          </cell>
          <cell r="E869">
            <v>914</v>
          </cell>
          <cell r="F869" t="str">
            <v>mm</v>
          </cell>
          <cell r="G869" t="str">
            <v>Mitsubishi Chemical</v>
          </cell>
        </row>
        <row r="870">
          <cell r="C870" t="str">
            <v>MX721-ITX5AO</v>
          </cell>
          <cell r="D870" t="str">
            <v>MX721-ITX5</v>
          </cell>
          <cell r="E870">
            <v>965</v>
          </cell>
          <cell r="F870" t="str">
            <v>mm</v>
          </cell>
          <cell r="G870" t="str">
            <v>Mitsubishi Chemical</v>
          </cell>
        </row>
        <row r="871">
          <cell r="C871" t="str">
            <v>MX721-ITX6AO</v>
          </cell>
          <cell r="D871" t="str">
            <v>MX721-ITX6</v>
          </cell>
          <cell r="E871">
            <v>953</v>
          </cell>
          <cell r="F871" t="str">
            <v>mm</v>
          </cell>
          <cell r="G871" t="str">
            <v>Mitsubishi Chemical</v>
          </cell>
        </row>
        <row r="872">
          <cell r="C872" t="str">
            <v>MX681-ITXPAO</v>
          </cell>
          <cell r="D872" t="str">
            <v>MX681-ITXP</v>
          </cell>
          <cell r="E872">
            <v>902</v>
          </cell>
          <cell r="F872" t="str">
            <v>mm</v>
          </cell>
          <cell r="G872" t="str">
            <v>Mitsubishi Chemical</v>
          </cell>
        </row>
        <row r="873">
          <cell r="C873" t="str">
            <v>MX681-ITX7AO</v>
          </cell>
          <cell r="D873" t="str">
            <v>MX681-ITX7</v>
          </cell>
          <cell r="E873">
            <v>940</v>
          </cell>
          <cell r="F873" t="str">
            <v>mm</v>
          </cell>
          <cell r="G873" t="str">
            <v>Mitsubishi Chemical</v>
          </cell>
        </row>
        <row r="874">
          <cell r="C874" t="str">
            <v>MX681-IS-PAO</v>
          </cell>
          <cell r="D874" t="str">
            <v>MX681-IS-P</v>
          </cell>
          <cell r="E874">
            <v>902</v>
          </cell>
          <cell r="F874" t="str">
            <v>mm</v>
          </cell>
          <cell r="G874" t="str">
            <v>Mitsubishi Chemical</v>
          </cell>
        </row>
        <row r="875">
          <cell r="C875" t="str">
            <v>MX681-IS-8AO</v>
          </cell>
          <cell r="D875" t="str">
            <v>MX681-IS-8</v>
          </cell>
          <cell r="E875">
            <v>927</v>
          </cell>
          <cell r="F875" t="str">
            <v>mm</v>
          </cell>
          <cell r="G875" t="str">
            <v>Mitsubishi Chemical</v>
          </cell>
        </row>
        <row r="876">
          <cell r="C876" t="str">
            <v>CB045-WS-1A</v>
          </cell>
          <cell r="D876" t="str">
            <v>CB045-WS-1</v>
          </cell>
          <cell r="E876">
            <v>1168</v>
          </cell>
          <cell r="F876" t="str">
            <v>mm</v>
          </cell>
          <cell r="G876" t="str">
            <v>Mitsubishi Chemical</v>
          </cell>
        </row>
        <row r="877">
          <cell r="C877" t="str">
            <v>AU228-IR-4A</v>
          </cell>
          <cell r="D877" t="str">
            <v>AU228-IR-4</v>
          </cell>
          <cell r="E877">
            <v>1003</v>
          </cell>
          <cell r="F877" t="str">
            <v>mm</v>
          </cell>
          <cell r="G877" t="str">
            <v>Mitsubishi Chemical</v>
          </cell>
        </row>
        <row r="878">
          <cell r="C878" t="str">
            <v>AU228-IR-5A</v>
          </cell>
          <cell r="D878" t="str">
            <v>AU228-IR-5</v>
          </cell>
          <cell r="E878">
            <v>991</v>
          </cell>
          <cell r="F878" t="str">
            <v>mm</v>
          </cell>
          <cell r="G878" t="str">
            <v>Mitsubishi Chemical</v>
          </cell>
        </row>
        <row r="879">
          <cell r="C879" t="str">
            <v>AU228-IR-6A</v>
          </cell>
          <cell r="D879" t="str">
            <v>AU228-IR-6</v>
          </cell>
          <cell r="E879">
            <v>978</v>
          </cell>
          <cell r="F879" t="str">
            <v>mm</v>
          </cell>
          <cell r="G879" t="str">
            <v>Mitsubishi Chemical</v>
          </cell>
        </row>
        <row r="880">
          <cell r="C880" t="str">
            <v>AU231-ILL6A</v>
          </cell>
          <cell r="D880" t="str">
            <v>AU231-ILL6</v>
          </cell>
          <cell r="E880">
            <v>953</v>
          </cell>
          <cell r="F880" t="str">
            <v>mm</v>
          </cell>
          <cell r="G880" t="str">
            <v>Mitsubishi Chemical</v>
          </cell>
        </row>
        <row r="881">
          <cell r="C881" t="str">
            <v>AU231-ILL7A</v>
          </cell>
          <cell r="D881" t="str">
            <v>AU231-ILL7</v>
          </cell>
          <cell r="E881">
            <v>940</v>
          </cell>
          <cell r="F881" t="str">
            <v>mm</v>
          </cell>
          <cell r="G881" t="str">
            <v>Mitsubishi Chemical</v>
          </cell>
        </row>
        <row r="882">
          <cell r="C882" t="str">
            <v>AU231-ILLPA</v>
          </cell>
          <cell r="D882" t="str">
            <v>AU231-ILLP</v>
          </cell>
          <cell r="E882">
            <v>902</v>
          </cell>
          <cell r="F882" t="str">
            <v>mm</v>
          </cell>
          <cell r="G882" t="str">
            <v>Mitsubishi Chemical</v>
          </cell>
        </row>
        <row r="883">
          <cell r="C883" t="str">
            <v>AU231-ILL5A</v>
          </cell>
          <cell r="D883" t="str">
            <v>AU231-ILL5</v>
          </cell>
          <cell r="E883">
            <v>965</v>
          </cell>
          <cell r="F883" t="str">
            <v>mm</v>
          </cell>
          <cell r="G883" t="str">
            <v>Mitsubishi Chemical</v>
          </cell>
        </row>
        <row r="884">
          <cell r="C884" t="str">
            <v>AU228-IR-9A</v>
          </cell>
          <cell r="D884" t="str">
            <v>AU228-IR-9</v>
          </cell>
          <cell r="E884">
            <v>940</v>
          </cell>
          <cell r="F884" t="str">
            <v>mm</v>
          </cell>
          <cell r="G884" t="str">
            <v>Mitsubishi Chemical</v>
          </cell>
        </row>
        <row r="885">
          <cell r="C885" t="str">
            <v>AU228-IR-PA</v>
          </cell>
          <cell r="D885" t="str">
            <v>AU228-IR-P</v>
          </cell>
          <cell r="E885">
            <v>927</v>
          </cell>
          <cell r="F885" t="str">
            <v>mm</v>
          </cell>
          <cell r="G885" t="str">
            <v>Mitsubishi Chemical</v>
          </cell>
        </row>
        <row r="886">
          <cell r="C886" t="str">
            <v>AU228-IR-8A</v>
          </cell>
          <cell r="D886" t="str">
            <v>AU228-IR-8</v>
          </cell>
          <cell r="E886">
            <v>953</v>
          </cell>
          <cell r="F886" t="str">
            <v>mm</v>
          </cell>
          <cell r="G886" t="str">
            <v>Mitsubishi Chemical</v>
          </cell>
        </row>
        <row r="887">
          <cell r="C887" t="str">
            <v>AU228-IR-7A</v>
          </cell>
          <cell r="D887" t="str">
            <v>AU228-IR-7</v>
          </cell>
          <cell r="E887">
            <v>965</v>
          </cell>
          <cell r="F887" t="str">
            <v>mm</v>
          </cell>
          <cell r="G887" t="str">
            <v>Mitsubishi Chemical</v>
          </cell>
        </row>
        <row r="888">
          <cell r="C888" t="str">
            <v>SF292-WX-1A</v>
          </cell>
          <cell r="D888" t="str">
            <v>SF292-WX-1</v>
          </cell>
          <cell r="E888">
            <v>1168</v>
          </cell>
          <cell r="F888" t="str">
            <v>mm</v>
          </cell>
          <cell r="G888" t="str">
            <v>Mitsubishi Chemical</v>
          </cell>
        </row>
        <row r="889">
          <cell r="C889" t="str">
            <v>AX103-WS-1AB</v>
          </cell>
          <cell r="D889" t="str">
            <v>AX103-WS-1</v>
          </cell>
          <cell r="E889">
            <v>1169</v>
          </cell>
          <cell r="F889" t="str">
            <v>mm</v>
          </cell>
          <cell r="G889" t="str">
            <v>Aldila</v>
          </cell>
        </row>
        <row r="890">
          <cell r="C890" t="str">
            <v>AX103-WX-1AB</v>
          </cell>
          <cell r="D890" t="str">
            <v>AX103-WX-1</v>
          </cell>
          <cell r="E890">
            <v>1169</v>
          </cell>
          <cell r="F890" t="str">
            <v>mm</v>
          </cell>
          <cell r="G890" t="str">
            <v>Aldila</v>
          </cell>
        </row>
        <row r="891">
          <cell r="C891" t="str">
            <v>AX116-WR-1AB</v>
          </cell>
          <cell r="D891" t="str">
            <v>AX116-WR-1</v>
          </cell>
          <cell r="E891">
            <v>1169</v>
          </cell>
          <cell r="F891" t="str">
            <v>mm</v>
          </cell>
          <cell r="G891" t="str">
            <v>Aldila</v>
          </cell>
        </row>
        <row r="892">
          <cell r="C892" t="str">
            <v>AX116-WS-1AB</v>
          </cell>
          <cell r="D892" t="str">
            <v>AX116-WS-1</v>
          </cell>
          <cell r="E892">
            <v>1169</v>
          </cell>
          <cell r="F892" t="str">
            <v>mm</v>
          </cell>
          <cell r="G892" t="str">
            <v>Aldila</v>
          </cell>
        </row>
        <row r="893">
          <cell r="C893" t="str">
            <v>AX116-WX-1AB</v>
          </cell>
          <cell r="D893" t="str">
            <v>AX116-WX-1</v>
          </cell>
          <cell r="E893">
            <v>1169</v>
          </cell>
          <cell r="F893" t="str">
            <v>mm</v>
          </cell>
          <cell r="G893" t="str">
            <v>Aldila</v>
          </cell>
        </row>
        <row r="894">
          <cell r="C894" t="str">
            <v>AX117-WS-1AB</v>
          </cell>
          <cell r="D894" t="str">
            <v>AX117-WS-1</v>
          </cell>
          <cell r="E894">
            <v>1169</v>
          </cell>
          <cell r="F894" t="str">
            <v>mm</v>
          </cell>
          <cell r="G894" t="str">
            <v>Aldila</v>
          </cell>
        </row>
        <row r="895">
          <cell r="C895" t="str">
            <v>AX117-WX-1AB</v>
          </cell>
          <cell r="D895" t="str">
            <v>AX117-WX-1</v>
          </cell>
          <cell r="E895">
            <v>1169</v>
          </cell>
          <cell r="F895" t="str">
            <v>mm</v>
          </cell>
          <cell r="G895" t="str">
            <v>Aldila</v>
          </cell>
        </row>
        <row r="896">
          <cell r="C896" t="str">
            <v>MX944-IS-6A</v>
          </cell>
          <cell r="D896" t="str">
            <v>MX944-IS-6</v>
          </cell>
          <cell r="E896">
            <v>966</v>
          </cell>
          <cell r="F896" t="str">
            <v>mm</v>
          </cell>
          <cell r="G896" t="str">
            <v>Mitsubishi Chemical</v>
          </cell>
        </row>
        <row r="897">
          <cell r="C897" t="str">
            <v>MX944-IS-7A</v>
          </cell>
          <cell r="D897" t="str">
            <v>MX944-IS-7</v>
          </cell>
          <cell r="E897">
            <v>953</v>
          </cell>
          <cell r="F897" t="str">
            <v>mm</v>
          </cell>
          <cell r="G897" t="str">
            <v>Mitsubishi Chemical</v>
          </cell>
        </row>
        <row r="898">
          <cell r="C898" t="str">
            <v>MX944-IS-8A</v>
          </cell>
          <cell r="D898" t="str">
            <v>MX944-IS-8</v>
          </cell>
          <cell r="E898">
            <v>940</v>
          </cell>
          <cell r="F898" t="str">
            <v>mm</v>
          </cell>
          <cell r="G898" t="str">
            <v>Mitsubishi Chemical</v>
          </cell>
        </row>
        <row r="899">
          <cell r="C899" t="str">
            <v>MX944-UR-1A</v>
          </cell>
          <cell r="D899" t="str">
            <v>MX944-UR-1</v>
          </cell>
          <cell r="E899">
            <v>1067</v>
          </cell>
          <cell r="F899" t="str">
            <v>mm</v>
          </cell>
          <cell r="G899" t="str">
            <v>Mitsubishi Chemical</v>
          </cell>
        </row>
        <row r="900">
          <cell r="C900" t="str">
            <v>MX681-IS-5A</v>
          </cell>
          <cell r="D900" t="str">
            <v>MX681-IS-5</v>
          </cell>
          <cell r="E900">
            <v>965</v>
          </cell>
          <cell r="F900" t="str">
            <v>mm</v>
          </cell>
          <cell r="G900" t="str">
            <v>Mitsubishi Chemical</v>
          </cell>
        </row>
        <row r="901">
          <cell r="C901" t="str">
            <v>YR187-IS-6A</v>
          </cell>
          <cell r="D901" t="str">
            <v>YR187-IS-6</v>
          </cell>
          <cell r="E901">
            <v>978</v>
          </cell>
          <cell r="F901" t="str">
            <v>mm</v>
          </cell>
          <cell r="G901" t="str">
            <v>Mitsubishi Chemical</v>
          </cell>
        </row>
        <row r="902">
          <cell r="C902" t="str">
            <v>YR187-IS-7A</v>
          </cell>
          <cell r="D902" t="str">
            <v>YR187-IS-7</v>
          </cell>
          <cell r="E902">
            <v>965</v>
          </cell>
          <cell r="F902" t="str">
            <v>mm</v>
          </cell>
          <cell r="G902" t="str">
            <v>Mitsubishi Chemical</v>
          </cell>
        </row>
        <row r="903">
          <cell r="C903" t="str">
            <v>YR187-IS-8A</v>
          </cell>
          <cell r="D903" t="str">
            <v>YR187-IS-8</v>
          </cell>
          <cell r="E903">
            <v>953</v>
          </cell>
          <cell r="F903" t="str">
            <v>mm</v>
          </cell>
          <cell r="G903" t="str">
            <v>Mitsubishi Chemical</v>
          </cell>
        </row>
        <row r="904">
          <cell r="C904" t="str">
            <v>YR187-IS-9A</v>
          </cell>
          <cell r="D904" t="str">
            <v>YR187-IS-9</v>
          </cell>
          <cell r="E904">
            <v>940</v>
          </cell>
          <cell r="F904" t="str">
            <v>mm</v>
          </cell>
          <cell r="G904" t="str">
            <v>Mitsubishi Chemical</v>
          </cell>
        </row>
        <row r="905">
          <cell r="C905" t="str">
            <v>YR187-IS-AA</v>
          </cell>
          <cell r="D905" t="str">
            <v>YR187-IS-A</v>
          </cell>
          <cell r="E905">
            <v>914</v>
          </cell>
          <cell r="F905" t="str">
            <v>mm</v>
          </cell>
          <cell r="G905" t="str">
            <v>Mitsubishi Chemical</v>
          </cell>
        </row>
        <row r="906">
          <cell r="C906" t="str">
            <v>YR187-IS-PA</v>
          </cell>
          <cell r="D906" t="str">
            <v>YR187-IS-P</v>
          </cell>
          <cell r="E906">
            <v>927</v>
          </cell>
          <cell r="F906" t="str">
            <v>mm</v>
          </cell>
          <cell r="G906" t="str">
            <v>Mitsubishi Chemical</v>
          </cell>
        </row>
        <row r="907">
          <cell r="C907" t="str">
            <v>YR187-ISR7A</v>
          </cell>
          <cell r="D907" t="str">
            <v>YR187-ISR7</v>
          </cell>
          <cell r="E907">
            <v>965</v>
          </cell>
          <cell r="F907" t="str">
            <v>mm</v>
          </cell>
          <cell r="G907" t="str">
            <v>Mitsubishi Chemical</v>
          </cell>
        </row>
        <row r="908">
          <cell r="C908" t="str">
            <v>YR187-ISR8A</v>
          </cell>
          <cell r="D908" t="str">
            <v>YR187-ISR8</v>
          </cell>
          <cell r="E908">
            <v>953</v>
          </cell>
          <cell r="F908" t="str">
            <v>mm</v>
          </cell>
          <cell r="G908" t="str">
            <v>Mitsubishi Chemical</v>
          </cell>
        </row>
        <row r="909">
          <cell r="C909" t="str">
            <v>YR187-ISR9A</v>
          </cell>
          <cell r="D909" t="str">
            <v>YR187-ISR9</v>
          </cell>
          <cell r="E909">
            <v>940</v>
          </cell>
          <cell r="F909" t="str">
            <v>mm</v>
          </cell>
          <cell r="G909" t="str">
            <v>Mitsubishi Chemical</v>
          </cell>
        </row>
        <row r="910">
          <cell r="C910" t="str">
            <v>YR187-ISRAA</v>
          </cell>
          <cell r="D910" t="str">
            <v>YR187-ISRA</v>
          </cell>
          <cell r="E910">
            <v>914</v>
          </cell>
          <cell r="F910" t="str">
            <v>mm</v>
          </cell>
          <cell r="G910" t="str">
            <v>Mitsubishi Chemical</v>
          </cell>
        </row>
        <row r="911">
          <cell r="C911" t="str">
            <v>YR187-ISRPA</v>
          </cell>
          <cell r="D911" t="str">
            <v>YR187-ISRP</v>
          </cell>
          <cell r="E911">
            <v>927</v>
          </cell>
          <cell r="F911" t="str">
            <v>mm</v>
          </cell>
          <cell r="G911" t="str">
            <v>Mitsubishi Chemical</v>
          </cell>
        </row>
        <row r="912">
          <cell r="C912" t="str">
            <v>YR187-IS-SA</v>
          </cell>
          <cell r="D912" t="str">
            <v>YR187-IS-S</v>
          </cell>
          <cell r="E912">
            <v>902</v>
          </cell>
          <cell r="F912" t="str">
            <v>mm</v>
          </cell>
          <cell r="G912" t="str">
            <v>Mitsubishi Chemical</v>
          </cell>
        </row>
        <row r="913">
          <cell r="C913" t="str">
            <v>YR185-UL-4A</v>
          </cell>
          <cell r="D913" t="str">
            <v>YR185-UL-4</v>
          </cell>
          <cell r="E913">
            <v>988</v>
          </cell>
          <cell r="F913" t="str">
            <v>mm</v>
          </cell>
          <cell r="G913" t="str">
            <v>Mitsubishi Chemical</v>
          </cell>
        </row>
        <row r="914">
          <cell r="C914" t="str">
            <v>YR185-ULA4A</v>
          </cell>
          <cell r="D914" t="str">
            <v>YR185-ULA4</v>
          </cell>
          <cell r="E914">
            <v>988</v>
          </cell>
          <cell r="F914" t="str">
            <v>mm</v>
          </cell>
          <cell r="G914" t="str">
            <v>Mitsubishi Chemical</v>
          </cell>
        </row>
        <row r="915">
          <cell r="C915" t="str">
            <v>YR185-WL-3A</v>
          </cell>
          <cell r="D915" t="str">
            <v>YR185-WL-3</v>
          </cell>
          <cell r="E915">
            <v>1069</v>
          </cell>
          <cell r="F915" t="str">
            <v>mm</v>
          </cell>
          <cell r="G915" t="str">
            <v>Mitsubishi Chemical</v>
          </cell>
        </row>
        <row r="916">
          <cell r="C916" t="str">
            <v>YR185-WLA3A</v>
          </cell>
          <cell r="D916" t="str">
            <v>YR185-WLA3</v>
          </cell>
          <cell r="E916">
            <v>1069</v>
          </cell>
          <cell r="F916" t="str">
            <v>mm</v>
          </cell>
          <cell r="G916" t="str">
            <v>Mitsubishi Chemical</v>
          </cell>
        </row>
        <row r="917">
          <cell r="C917" t="str">
            <v>SP415-US-1A</v>
          </cell>
          <cell r="D917" t="str">
            <v>SP415-US-1</v>
          </cell>
          <cell r="E917">
            <v>1040</v>
          </cell>
          <cell r="F917" t="str">
            <v>mm</v>
          </cell>
          <cell r="G917" t="str">
            <v>Mitsubishi Chemical</v>
          </cell>
        </row>
        <row r="918">
          <cell r="C918" t="str">
            <v>SP415-WS-1A</v>
          </cell>
          <cell r="D918" t="str">
            <v>SP415-WS-1</v>
          </cell>
          <cell r="E918">
            <v>1170</v>
          </cell>
          <cell r="F918" t="str">
            <v>mm</v>
          </cell>
          <cell r="G918" t="str">
            <v>Mitsubishi Chemical</v>
          </cell>
        </row>
        <row r="919">
          <cell r="C919" t="str">
            <v>SP415-WSR1A</v>
          </cell>
          <cell r="D919" t="str">
            <v>SP415-WSR1</v>
          </cell>
          <cell r="E919">
            <v>1170</v>
          </cell>
          <cell r="F919" t="str">
            <v>mm</v>
          </cell>
          <cell r="G919" t="str">
            <v>Mitsubishi Chemical</v>
          </cell>
        </row>
        <row r="920">
          <cell r="C920" t="str">
            <v>SP397-UR-1A</v>
          </cell>
          <cell r="D920" t="str">
            <v>SP397-UR-1</v>
          </cell>
          <cell r="E920">
            <v>1040</v>
          </cell>
          <cell r="F920" t="str">
            <v>mm</v>
          </cell>
          <cell r="G920" t="str">
            <v>Mitsubishi Chemical</v>
          </cell>
        </row>
        <row r="921">
          <cell r="C921" t="str">
            <v>SP397-US-1A</v>
          </cell>
          <cell r="D921" t="str">
            <v>SP397-US-1</v>
          </cell>
          <cell r="E921">
            <v>1040</v>
          </cell>
          <cell r="F921" t="str">
            <v>mm</v>
          </cell>
          <cell r="G921" t="str">
            <v>Mitsubishi Chemical</v>
          </cell>
        </row>
        <row r="922">
          <cell r="C922" t="str">
            <v>SP397-WR-1A</v>
          </cell>
          <cell r="D922" t="str">
            <v>SP397-WR-1</v>
          </cell>
          <cell r="E922">
            <v>1170</v>
          </cell>
          <cell r="F922" t="str">
            <v>mm</v>
          </cell>
          <cell r="G922" t="str">
            <v>Mitsubishi Chemical</v>
          </cell>
        </row>
        <row r="923">
          <cell r="C923" t="str">
            <v>SP397-WS-1A</v>
          </cell>
          <cell r="D923" t="str">
            <v>SP397-WS-1</v>
          </cell>
          <cell r="E923">
            <v>1170</v>
          </cell>
          <cell r="F923" t="str">
            <v>mm</v>
          </cell>
          <cell r="G923" t="str">
            <v>Mitsubishi Chemical</v>
          </cell>
        </row>
        <row r="924">
          <cell r="C924" t="str">
            <v>SP397-IR-3A</v>
          </cell>
          <cell r="D924" t="str">
            <v>SP397-IR-3</v>
          </cell>
          <cell r="E924">
            <v>990</v>
          </cell>
          <cell r="F924" t="str">
            <v>mm</v>
          </cell>
          <cell r="G924" t="str">
            <v>Mitsubishi Chemical</v>
          </cell>
        </row>
        <row r="925">
          <cell r="C925" t="str">
            <v>MX934-IS-1AO</v>
          </cell>
          <cell r="D925" t="str">
            <v>MX934-IS-1</v>
          </cell>
          <cell r="E925">
            <v>1067</v>
          </cell>
          <cell r="F925" t="str">
            <v>mm</v>
          </cell>
          <cell r="G925" t="str">
            <v>Mitsubishi Chemical</v>
          </cell>
        </row>
        <row r="926">
          <cell r="C926" t="str">
            <v>MX726-IR-3AO</v>
          </cell>
          <cell r="D926" t="str">
            <v>MX726-IR-3</v>
          </cell>
          <cell r="E926">
            <v>991</v>
          </cell>
          <cell r="F926" t="str">
            <v>mm</v>
          </cell>
          <cell r="G926" t="str">
            <v>Mitsubishi Chemical</v>
          </cell>
        </row>
        <row r="927">
          <cell r="C927" t="str">
            <v>HI007-IR-3D</v>
          </cell>
          <cell r="D927" t="str">
            <v>HI007-IR-3</v>
          </cell>
          <cell r="E927">
            <v>1016</v>
          </cell>
          <cell r="F927" t="str">
            <v>mm</v>
          </cell>
          <cell r="G927" t="str">
            <v>Mitsubishi Chemical</v>
          </cell>
        </row>
        <row r="928">
          <cell r="C928" t="str">
            <v>MX669-IS-7CO</v>
          </cell>
          <cell r="D928" t="str">
            <v>MX669-IS-7</v>
          </cell>
          <cell r="E928">
            <v>940</v>
          </cell>
          <cell r="F928" t="str">
            <v>mm</v>
          </cell>
          <cell r="G928" t="str">
            <v>Mitsubishi Chemical</v>
          </cell>
        </row>
        <row r="929">
          <cell r="C929" t="str">
            <v>MX721-ITX7CO</v>
          </cell>
          <cell r="D929" t="str">
            <v>MX721-ITX7</v>
          </cell>
          <cell r="E929">
            <v>940</v>
          </cell>
          <cell r="F929" t="str">
            <v>mm</v>
          </cell>
          <cell r="G929" t="str">
            <v>Mitsubishi Chemical</v>
          </cell>
        </row>
        <row r="930">
          <cell r="C930" t="str">
            <v>MX721-ITXPCO</v>
          </cell>
          <cell r="D930" t="str">
            <v>MX721-ITXP</v>
          </cell>
          <cell r="E930">
            <v>902</v>
          </cell>
          <cell r="F930" t="str">
            <v>mm</v>
          </cell>
          <cell r="G930" t="str">
            <v>Mitsubishi Chemical</v>
          </cell>
        </row>
        <row r="931">
          <cell r="C931" t="str">
            <v>AU228-IR-3A</v>
          </cell>
          <cell r="D931" t="str">
            <v>AU228-IR-3</v>
          </cell>
          <cell r="E931">
            <v>1016</v>
          </cell>
          <cell r="F931" t="str">
            <v>mm</v>
          </cell>
          <cell r="G931" t="str">
            <v>Mitsubishi Chemical</v>
          </cell>
        </row>
        <row r="932">
          <cell r="C932" t="str">
            <v>AU228-IS-3A</v>
          </cell>
          <cell r="D932" t="str">
            <v>AU228-IS-3</v>
          </cell>
          <cell r="E932">
            <v>1016</v>
          </cell>
          <cell r="F932" t="str">
            <v>mm</v>
          </cell>
          <cell r="G932" t="str">
            <v>Mitsubishi Chemical</v>
          </cell>
        </row>
        <row r="933">
          <cell r="C933" t="str">
            <v>AX139-IR-3AB</v>
          </cell>
          <cell r="D933" t="str">
            <v>AX139-IR-3</v>
          </cell>
          <cell r="E933">
            <v>1016</v>
          </cell>
          <cell r="F933" t="str">
            <v>mm</v>
          </cell>
          <cell r="G933" t="str">
            <v>Aldila</v>
          </cell>
        </row>
        <row r="934">
          <cell r="C934" t="str">
            <v>DS011-WA-1A</v>
          </cell>
          <cell r="D934" t="str">
            <v>DS011-WA-1</v>
          </cell>
          <cell r="E934" t="str">
            <v>1168</v>
          </cell>
          <cell r="F934" t="str">
            <v>mm</v>
          </cell>
          <cell r="G934" t="str">
            <v>Mitsubishi Chemical</v>
          </cell>
        </row>
        <row r="935">
          <cell r="C935" t="str">
            <v>DS011-WL-1A</v>
          </cell>
          <cell r="D935" t="str">
            <v>DS011-WL-1</v>
          </cell>
          <cell r="E935">
            <v>1143</v>
          </cell>
          <cell r="F935" t="str">
            <v>mm</v>
          </cell>
          <cell r="G935" t="str">
            <v>Mitsubishi Chemical</v>
          </cell>
        </row>
        <row r="936">
          <cell r="C936" t="str">
            <v>DS011-WR-1A</v>
          </cell>
          <cell r="D936" t="str">
            <v>DS011-WR-1</v>
          </cell>
          <cell r="E936" t="str">
            <v>1168</v>
          </cell>
          <cell r="F936" t="str">
            <v>mm</v>
          </cell>
          <cell r="G936" t="str">
            <v>Mitsubishi Chemical</v>
          </cell>
        </row>
        <row r="937">
          <cell r="C937" t="str">
            <v>CW158-IS-2B</v>
          </cell>
          <cell r="D937" t="str">
            <v>CW158-IS-2</v>
          </cell>
          <cell r="E937">
            <v>1042</v>
          </cell>
          <cell r="F937" t="str">
            <v>mm</v>
          </cell>
          <cell r="G937" t="str">
            <v>Mitsubishi Chemical</v>
          </cell>
        </row>
        <row r="938">
          <cell r="C938" t="str">
            <v>CW158-ISR2B</v>
          </cell>
          <cell r="D938" t="str">
            <v>CW158-ISR2</v>
          </cell>
          <cell r="E938">
            <v>1042</v>
          </cell>
          <cell r="F938" t="str">
            <v>mm</v>
          </cell>
          <cell r="G938" t="str">
            <v>Mitsubishi Chemical</v>
          </cell>
        </row>
        <row r="939">
          <cell r="C939" t="str">
            <v>CW116-IR-3A</v>
          </cell>
          <cell r="D939" t="str">
            <v>CW116-IR-3</v>
          </cell>
          <cell r="E939">
            <v>1068</v>
          </cell>
          <cell r="F939" t="str">
            <v>mm</v>
          </cell>
          <cell r="G939" t="str">
            <v>Mitsubishi Chemical</v>
          </cell>
        </row>
        <row r="940">
          <cell r="C940" t="str">
            <v>CW116-IS-3A</v>
          </cell>
          <cell r="D940" t="str">
            <v>CW116-IS-3</v>
          </cell>
          <cell r="E940">
            <v>1068</v>
          </cell>
          <cell r="F940" t="str">
            <v>mm</v>
          </cell>
          <cell r="G940" t="str">
            <v>Mitsubishi Chemical</v>
          </cell>
        </row>
        <row r="941">
          <cell r="C941" t="str">
            <v>MX903-IS-2A</v>
          </cell>
          <cell r="D941" t="str">
            <v>MX903-IS-2</v>
          </cell>
          <cell r="E941">
            <v>1003</v>
          </cell>
          <cell r="F941" t="str">
            <v>mm</v>
          </cell>
          <cell r="G941" t="str">
            <v>Mitsubishi Chemical</v>
          </cell>
        </row>
        <row r="942">
          <cell r="C942" t="str">
            <v>MX912-IS-1A</v>
          </cell>
          <cell r="D942" t="str">
            <v>MX912-IS-1</v>
          </cell>
          <cell r="E942">
            <v>1067</v>
          </cell>
          <cell r="F942" t="str">
            <v>mm</v>
          </cell>
          <cell r="G942" t="str">
            <v>Mitsubishi Chemical</v>
          </cell>
        </row>
        <row r="943">
          <cell r="C943" t="str">
            <v>HI007-IR-3F</v>
          </cell>
          <cell r="D943" t="str">
            <v>HI007-IR-3</v>
          </cell>
          <cell r="E943">
            <v>1016</v>
          </cell>
          <cell r="F943" t="str">
            <v>mm</v>
          </cell>
          <cell r="G943" t="str">
            <v>Mitsubishi Chemical</v>
          </cell>
        </row>
        <row r="944">
          <cell r="C944" t="str">
            <v>HI007-IS-3D</v>
          </cell>
          <cell r="D944" t="str">
            <v>HI007-IS-3</v>
          </cell>
          <cell r="E944">
            <v>1016</v>
          </cell>
          <cell r="F944" t="str">
            <v>mm</v>
          </cell>
          <cell r="G944" t="str">
            <v>Mitsubishi Chemical</v>
          </cell>
        </row>
        <row r="945">
          <cell r="C945" t="str">
            <v>HI007-IS-3F</v>
          </cell>
          <cell r="D945" t="str">
            <v>HI007-IS-3</v>
          </cell>
          <cell r="E945">
            <v>1016</v>
          </cell>
          <cell r="F945" t="str">
            <v>mm</v>
          </cell>
          <cell r="G945" t="str">
            <v>Mitsubishi Chemical</v>
          </cell>
        </row>
        <row r="946">
          <cell r="C946" t="str">
            <v>MX681-IS-8A</v>
          </cell>
          <cell r="D946" t="str">
            <v>MX681-IS-8</v>
          </cell>
          <cell r="E946">
            <v>927</v>
          </cell>
          <cell r="F946" t="str">
            <v>mm</v>
          </cell>
          <cell r="G946" t="str">
            <v>Mitsubishi Chemical</v>
          </cell>
        </row>
        <row r="947">
          <cell r="C947" t="str">
            <v>MX721-IS-6A</v>
          </cell>
          <cell r="D947" t="str">
            <v>MX721-IS-6</v>
          </cell>
          <cell r="E947">
            <v>953</v>
          </cell>
          <cell r="F947" t="str">
            <v>mm</v>
          </cell>
          <cell r="G947" t="str">
            <v>Mitsubishi Chemical</v>
          </cell>
        </row>
        <row r="948">
          <cell r="C948" t="str">
            <v>MX728-IA-8A</v>
          </cell>
          <cell r="D948" t="str">
            <v>MX728-IA-8</v>
          </cell>
          <cell r="E948">
            <v>953</v>
          </cell>
          <cell r="F948" t="str">
            <v>mm</v>
          </cell>
          <cell r="G948" t="str">
            <v>Mitsubishi Chemical</v>
          </cell>
        </row>
        <row r="949">
          <cell r="C949" t="str">
            <v>MX730-IS-7A</v>
          </cell>
          <cell r="D949" t="str">
            <v>MX730-IS-7</v>
          </cell>
          <cell r="E949">
            <v>965</v>
          </cell>
          <cell r="F949" t="str">
            <v>mm</v>
          </cell>
          <cell r="G949" t="str">
            <v>Mitsubishi Chemical</v>
          </cell>
        </row>
        <row r="950">
          <cell r="C950" t="str">
            <v>MX729-IR-4AO</v>
          </cell>
          <cell r="D950" t="str">
            <v>MX729-IR-4</v>
          </cell>
          <cell r="E950">
            <v>1003</v>
          </cell>
          <cell r="F950" t="str">
            <v>mm</v>
          </cell>
          <cell r="G950" t="str">
            <v>Mitsubishi Chemical</v>
          </cell>
        </row>
        <row r="951">
          <cell r="C951" t="str">
            <v>CW108-ITX4A</v>
          </cell>
          <cell r="D951" t="str">
            <v>CW108-ITX4</v>
          </cell>
          <cell r="E951">
            <v>978</v>
          </cell>
          <cell r="F951" t="str">
            <v>mm</v>
          </cell>
          <cell r="G951" t="str">
            <v>Mitsubishi Chemical</v>
          </cell>
        </row>
        <row r="952">
          <cell r="C952" t="str">
            <v>CW108-ITX5A</v>
          </cell>
          <cell r="D952" t="str">
            <v>CW108-ITX5</v>
          </cell>
          <cell r="E952">
            <v>965</v>
          </cell>
          <cell r="F952" t="str">
            <v>mm</v>
          </cell>
          <cell r="G952" t="str">
            <v>Mitsubishi Chemical</v>
          </cell>
        </row>
        <row r="953">
          <cell r="C953" t="str">
            <v>CW108-ITX6A</v>
          </cell>
          <cell r="D953" t="str">
            <v>CW108-ITX6</v>
          </cell>
          <cell r="E953">
            <v>953</v>
          </cell>
          <cell r="F953" t="str">
            <v>mm</v>
          </cell>
          <cell r="G953" t="str">
            <v>Mitsubishi Chemical</v>
          </cell>
        </row>
        <row r="954">
          <cell r="C954" t="str">
            <v>CW108-ITX8A</v>
          </cell>
          <cell r="D954" t="str">
            <v>CW108-ITX8</v>
          </cell>
          <cell r="E954">
            <v>927</v>
          </cell>
          <cell r="F954" t="str">
            <v>mm</v>
          </cell>
          <cell r="G954" t="str">
            <v>Mitsubishi Chemical</v>
          </cell>
        </row>
        <row r="955">
          <cell r="C955" t="str">
            <v>CW108-ITX9A</v>
          </cell>
          <cell r="D955" t="str">
            <v>CW108-ITX9</v>
          </cell>
          <cell r="E955">
            <v>914</v>
          </cell>
          <cell r="F955" t="str">
            <v>mm</v>
          </cell>
          <cell r="G955" t="str">
            <v>Mitsubishi Chemical</v>
          </cell>
        </row>
        <row r="956">
          <cell r="C956" t="str">
            <v>CW108-ITX7A</v>
          </cell>
          <cell r="D956" t="str">
            <v>CW108-ITX7</v>
          </cell>
          <cell r="E956">
            <v>940</v>
          </cell>
          <cell r="F956" t="str">
            <v>mm</v>
          </cell>
          <cell r="G956" t="str">
            <v>Mitsubishi Chemical</v>
          </cell>
        </row>
        <row r="957">
          <cell r="C957" t="str">
            <v>DS011-WS-1A</v>
          </cell>
          <cell r="D957" t="str">
            <v>DS011-WS-1</v>
          </cell>
          <cell r="E957" t="str">
            <v>1168</v>
          </cell>
          <cell r="F957" t="str">
            <v>mm</v>
          </cell>
          <cell r="G957" t="str">
            <v>Mitsubishi Chemical</v>
          </cell>
        </row>
        <row r="958">
          <cell r="C958" t="str">
            <v>YR172-WA-3A</v>
          </cell>
          <cell r="D958" t="str">
            <v>YR172-WA-3</v>
          </cell>
          <cell r="E958">
            <v>1101</v>
          </cell>
          <cell r="F958" t="str">
            <v>mm</v>
          </cell>
          <cell r="G958" t="str">
            <v>Mitsubishi Chemical</v>
          </cell>
        </row>
        <row r="959">
          <cell r="C959" t="str">
            <v>YR174-ILASA</v>
          </cell>
          <cell r="D959" t="str">
            <v>YR174-ILAS</v>
          </cell>
          <cell r="E959">
            <v>893</v>
          </cell>
          <cell r="F959" t="str">
            <v>mm</v>
          </cell>
          <cell r="G959" t="str">
            <v>Mitsubishi Chemical</v>
          </cell>
        </row>
        <row r="960">
          <cell r="C960" t="str">
            <v>YR174-IR-7A</v>
          </cell>
          <cell r="D960" t="str">
            <v>YR174-IR-7</v>
          </cell>
          <cell r="E960">
            <v>968</v>
          </cell>
          <cell r="F960" t="str">
            <v>mm</v>
          </cell>
          <cell r="G960" t="str">
            <v>Mitsubishi Chemical</v>
          </cell>
        </row>
        <row r="961">
          <cell r="C961" t="str">
            <v>YR174-IR-8A</v>
          </cell>
          <cell r="D961" t="str">
            <v>YR174-IR-8</v>
          </cell>
          <cell r="E961">
            <v>956</v>
          </cell>
          <cell r="F961" t="str">
            <v>mm</v>
          </cell>
          <cell r="G961" t="str">
            <v>Mitsubishi Chemical</v>
          </cell>
        </row>
        <row r="962">
          <cell r="C962" t="str">
            <v>YR174-IR-9A</v>
          </cell>
          <cell r="D962" t="str">
            <v>YR174-IR-9</v>
          </cell>
          <cell r="E962">
            <v>943</v>
          </cell>
          <cell r="F962" t="str">
            <v>mm</v>
          </cell>
          <cell r="G962" t="str">
            <v>Mitsubishi Chemical</v>
          </cell>
        </row>
        <row r="963">
          <cell r="C963" t="str">
            <v>YR174-IR-AA</v>
          </cell>
          <cell r="D963" t="str">
            <v>YR174-IR-A</v>
          </cell>
          <cell r="E963">
            <v>911</v>
          </cell>
          <cell r="F963" t="str">
            <v>mm</v>
          </cell>
          <cell r="G963" t="str">
            <v>Mitsubishi Chemical</v>
          </cell>
        </row>
        <row r="964">
          <cell r="C964" t="str">
            <v>YR174-IR-PA</v>
          </cell>
          <cell r="D964" t="str">
            <v>YR174-IR-P</v>
          </cell>
          <cell r="E964">
            <v>930</v>
          </cell>
          <cell r="F964" t="str">
            <v>mm</v>
          </cell>
          <cell r="G964" t="str">
            <v>Mitsubishi Chemical</v>
          </cell>
        </row>
        <row r="965">
          <cell r="C965" t="str">
            <v>YR174-IR-SA</v>
          </cell>
          <cell r="D965" t="str">
            <v>YR174-IR-S</v>
          </cell>
          <cell r="E965">
            <v>899</v>
          </cell>
          <cell r="F965" t="str">
            <v>mm</v>
          </cell>
          <cell r="G965" t="str">
            <v>Mitsubishi Chemical</v>
          </cell>
        </row>
        <row r="966">
          <cell r="C966" t="str">
            <v>CW165-IS-1A</v>
          </cell>
          <cell r="D966" t="str">
            <v>CW165-IS-1</v>
          </cell>
          <cell r="E966">
            <v>1068</v>
          </cell>
          <cell r="F966" t="str">
            <v>mm</v>
          </cell>
          <cell r="G966" t="str">
            <v>Mitsubishi Chemical</v>
          </cell>
        </row>
        <row r="967">
          <cell r="C967" t="str">
            <v>SF228-WA-1A</v>
          </cell>
          <cell r="D967" t="str">
            <v>SF228-WA-1</v>
          </cell>
          <cell r="E967">
            <v>1168</v>
          </cell>
          <cell r="F967" t="str">
            <v>mm</v>
          </cell>
          <cell r="G967" t="str">
            <v>Mitsubishi Chemical</v>
          </cell>
        </row>
        <row r="968">
          <cell r="C968" t="str">
            <v>SF242-WR-1A</v>
          </cell>
          <cell r="D968" t="str">
            <v>SF242-WR-1</v>
          </cell>
          <cell r="E968">
            <v>1168</v>
          </cell>
          <cell r="F968" t="str">
            <v>mm</v>
          </cell>
          <cell r="G968" t="str">
            <v>Mitsubishi Chemical</v>
          </cell>
        </row>
        <row r="969">
          <cell r="C969" t="str">
            <v>SF271-WS-1A</v>
          </cell>
          <cell r="D969" t="str">
            <v>SF271-WS-1</v>
          </cell>
          <cell r="E969">
            <v>1168</v>
          </cell>
          <cell r="F969" t="str">
            <v>mm</v>
          </cell>
          <cell r="G969" t="str">
            <v>Mitsubishi Chemical</v>
          </cell>
        </row>
        <row r="970">
          <cell r="C970" t="str">
            <v>MZ051-ITX5A</v>
          </cell>
          <cell r="D970" t="str">
            <v>MZ051-ITX5</v>
          </cell>
          <cell r="E970">
            <v>965</v>
          </cell>
          <cell r="F970" t="str">
            <v>mm</v>
          </cell>
          <cell r="G970" t="str">
            <v>Mitsubishi Chemical</v>
          </cell>
        </row>
        <row r="971">
          <cell r="C971" t="str">
            <v>MZ051-ITX4A</v>
          </cell>
          <cell r="D971" t="str">
            <v>MZ051-ITX4</v>
          </cell>
          <cell r="E971">
            <v>978</v>
          </cell>
          <cell r="F971" t="str">
            <v>mm</v>
          </cell>
          <cell r="G971" t="str">
            <v>Mitsubishi Chemical</v>
          </cell>
        </row>
        <row r="972">
          <cell r="C972" t="str">
            <v>MZ051-ITX7A</v>
          </cell>
          <cell r="D972" t="str">
            <v>MZ051-ITX7</v>
          </cell>
          <cell r="E972">
            <v>940</v>
          </cell>
          <cell r="F972" t="str">
            <v>mm</v>
          </cell>
          <cell r="G972" t="str">
            <v>Mitsubishi Chemical</v>
          </cell>
        </row>
        <row r="973">
          <cell r="C973" t="str">
            <v>MZ051-ITX6A</v>
          </cell>
          <cell r="D973" t="str">
            <v>MZ051-ITX6</v>
          </cell>
          <cell r="E973">
            <v>953</v>
          </cell>
          <cell r="F973" t="str">
            <v>mm</v>
          </cell>
          <cell r="G973" t="str">
            <v>Mitsubishi Chemical</v>
          </cell>
        </row>
        <row r="974">
          <cell r="C974" t="str">
            <v>CW129-WS-1A</v>
          </cell>
          <cell r="D974" t="str">
            <v>CW129-WS-1</v>
          </cell>
          <cell r="E974">
            <v>1169</v>
          </cell>
          <cell r="F974" t="str">
            <v>mm</v>
          </cell>
          <cell r="G974" t="str">
            <v>Mitsubishi Chemical</v>
          </cell>
        </row>
        <row r="975">
          <cell r="C975" t="str">
            <v>CW129-WR-1A</v>
          </cell>
          <cell r="D975" t="str">
            <v>CW129-WR-1</v>
          </cell>
          <cell r="E975">
            <v>1169</v>
          </cell>
          <cell r="F975" t="str">
            <v>mm</v>
          </cell>
          <cell r="G975" t="str">
            <v>Mitsubishi Chemical</v>
          </cell>
        </row>
        <row r="976">
          <cell r="C976" t="str">
            <v>CW129-WX-1A</v>
          </cell>
          <cell r="D976" t="str">
            <v>CW129-WX-1</v>
          </cell>
          <cell r="E976">
            <v>1169</v>
          </cell>
          <cell r="F976" t="str">
            <v>mm</v>
          </cell>
          <cell r="G976" t="str">
            <v>Mitsubishi Chemical</v>
          </cell>
        </row>
        <row r="977">
          <cell r="C977" t="str">
            <v>AU232-IS-2A</v>
          </cell>
          <cell r="D977" t="str">
            <v>AU232-IS-2</v>
          </cell>
          <cell r="E977" t="str">
            <v>1029</v>
          </cell>
          <cell r="F977" t="str">
            <v>mm</v>
          </cell>
          <cell r="G977" t="str">
            <v>Mitsubishi Chemical</v>
          </cell>
        </row>
        <row r="978">
          <cell r="C978" t="str">
            <v>AU232-IS-3A</v>
          </cell>
          <cell r="D978" t="str">
            <v>AU232-IS-3</v>
          </cell>
          <cell r="E978" t="str">
            <v>1016</v>
          </cell>
          <cell r="F978" t="str">
            <v>mm</v>
          </cell>
          <cell r="G978" t="str">
            <v>Mitsubishi Chemical</v>
          </cell>
        </row>
        <row r="979">
          <cell r="C979" t="str">
            <v>AU232-IS-4A</v>
          </cell>
          <cell r="D979" t="str">
            <v>AU232-IS-4</v>
          </cell>
          <cell r="E979" t="str">
            <v>1003</v>
          </cell>
          <cell r="F979" t="str">
            <v>mm</v>
          </cell>
          <cell r="G979" t="str">
            <v>Mitsubishi Chemical</v>
          </cell>
        </row>
        <row r="980">
          <cell r="C980" t="str">
            <v>AU232-IS-5A</v>
          </cell>
          <cell r="D980" t="str">
            <v>AU232-IS-5</v>
          </cell>
          <cell r="E980" t="str">
            <v>991</v>
          </cell>
          <cell r="F980" t="str">
            <v>mm</v>
          </cell>
          <cell r="G980" t="str">
            <v>Mitsubishi Chemical</v>
          </cell>
        </row>
        <row r="981">
          <cell r="C981" t="str">
            <v>AU232-IS-6A</v>
          </cell>
          <cell r="D981" t="str">
            <v>AU232-IS-6</v>
          </cell>
          <cell r="E981" t="str">
            <v>978</v>
          </cell>
          <cell r="F981" t="str">
            <v>mm</v>
          </cell>
          <cell r="G981" t="str">
            <v>Mitsubishi Chemical</v>
          </cell>
        </row>
        <row r="982">
          <cell r="C982" t="str">
            <v>AU232-IS-8A</v>
          </cell>
          <cell r="D982" t="str">
            <v>AU232-IS-8</v>
          </cell>
          <cell r="E982" t="str">
            <v>953</v>
          </cell>
          <cell r="F982" t="str">
            <v>mm</v>
          </cell>
          <cell r="G982" t="str">
            <v>Mitsubishi Chemical</v>
          </cell>
        </row>
        <row r="983">
          <cell r="C983" t="str">
            <v>AU232-IS-9A</v>
          </cell>
          <cell r="D983" t="str">
            <v>AU232-IS-9</v>
          </cell>
          <cell r="E983" t="str">
            <v>940</v>
          </cell>
          <cell r="F983" t="str">
            <v>mm</v>
          </cell>
          <cell r="G983" t="str">
            <v>Mitsubishi Chemical</v>
          </cell>
        </row>
        <row r="984">
          <cell r="C984" t="str">
            <v>AU232-IS-PA</v>
          </cell>
          <cell r="D984" t="str">
            <v>AU232-IS-P</v>
          </cell>
          <cell r="E984" t="str">
            <v>927</v>
          </cell>
          <cell r="F984" t="str">
            <v>mm</v>
          </cell>
          <cell r="G984" t="str">
            <v>Mitsubishi Chemical</v>
          </cell>
        </row>
        <row r="985">
          <cell r="C985" t="str">
            <v>SF267-IS-3A</v>
          </cell>
          <cell r="D985" t="str">
            <v>SF267-IS-3</v>
          </cell>
          <cell r="E985">
            <v>991</v>
          </cell>
          <cell r="F985" t="str">
            <v>mm</v>
          </cell>
          <cell r="G985" t="str">
            <v>Mitsubishi Chemical</v>
          </cell>
        </row>
        <row r="986">
          <cell r="C986" t="str">
            <v>SF242-WX-1A</v>
          </cell>
          <cell r="D986" t="str">
            <v>SF242-WX-1</v>
          </cell>
          <cell r="E986">
            <v>1168</v>
          </cell>
          <cell r="F986" t="str">
            <v>mm</v>
          </cell>
          <cell r="G986" t="str">
            <v>Mitsubishi Chemical</v>
          </cell>
        </row>
        <row r="987">
          <cell r="C987" t="str">
            <v>MX944-US-1A</v>
          </cell>
          <cell r="D987" t="str">
            <v>MX944-US-1</v>
          </cell>
          <cell r="E987">
            <v>1067</v>
          </cell>
          <cell r="F987" t="str">
            <v>mm</v>
          </cell>
          <cell r="G987" t="str">
            <v>Mitsubishi Chemical</v>
          </cell>
        </row>
        <row r="988">
          <cell r="C988" t="str">
            <v>MX945-US-1A</v>
          </cell>
          <cell r="D988" t="str">
            <v>MX945-US-1</v>
          </cell>
          <cell r="E988">
            <v>1067</v>
          </cell>
          <cell r="F988" t="str">
            <v>mm</v>
          </cell>
          <cell r="G988" t="str">
            <v>Mitsubishi Chemical</v>
          </cell>
        </row>
        <row r="989">
          <cell r="C989" t="str">
            <v>MX965-UR-1A</v>
          </cell>
          <cell r="D989" t="str">
            <v>MX965-UR-1</v>
          </cell>
          <cell r="E989">
            <v>1067</v>
          </cell>
          <cell r="F989" t="str">
            <v>mm</v>
          </cell>
          <cell r="G989" t="str">
            <v>Mitsubishi Chemical</v>
          </cell>
        </row>
        <row r="990">
          <cell r="C990" t="str">
            <v>MX793-IR-1A</v>
          </cell>
          <cell r="D990" t="str">
            <v>MX793-IR-1</v>
          </cell>
          <cell r="E990">
            <v>1067</v>
          </cell>
          <cell r="F990" t="str">
            <v>mm</v>
          </cell>
          <cell r="G990" t="str">
            <v>Mitsubishi Chemical</v>
          </cell>
        </row>
        <row r="991">
          <cell r="C991" t="str">
            <v>MX794-IS-1A</v>
          </cell>
          <cell r="D991" t="str">
            <v>MX794-IS-1</v>
          </cell>
          <cell r="E991">
            <v>1067</v>
          </cell>
          <cell r="F991" t="str">
            <v>mm</v>
          </cell>
          <cell r="G991" t="str">
            <v>Mitsubishi Chemical</v>
          </cell>
        </row>
        <row r="992">
          <cell r="C992" t="str">
            <v>MX795-ITX1A</v>
          </cell>
          <cell r="D992" t="str">
            <v>MX795-ITX1</v>
          </cell>
          <cell r="E992">
            <v>1067</v>
          </cell>
          <cell r="F992" t="str">
            <v>mm</v>
          </cell>
          <cell r="G992" t="str">
            <v>Mitsubishi Chemical</v>
          </cell>
        </row>
        <row r="993">
          <cell r="C993" t="str">
            <v>MX796-ITX1A</v>
          </cell>
          <cell r="D993" t="str">
            <v>MX796-ITX1</v>
          </cell>
          <cell r="E993">
            <v>1067</v>
          </cell>
          <cell r="F993" t="str">
            <v>mm</v>
          </cell>
          <cell r="G993" t="str">
            <v>Mitsubishi Chemical</v>
          </cell>
        </row>
        <row r="994">
          <cell r="C994" t="str">
            <v>MX794-IX-1A</v>
          </cell>
          <cell r="D994" t="str">
            <v>MX794-IX-1</v>
          </cell>
          <cell r="E994">
            <v>1067</v>
          </cell>
          <cell r="F994" t="str">
            <v>mm</v>
          </cell>
          <cell r="G994" t="str">
            <v>Mitsubishi Chemical</v>
          </cell>
        </row>
        <row r="995">
          <cell r="C995" t="str">
            <v>SP415-IR-3A</v>
          </cell>
          <cell r="D995" t="str">
            <v>SP415-IR-3</v>
          </cell>
          <cell r="E995">
            <v>990</v>
          </cell>
          <cell r="F995" t="str">
            <v>mm</v>
          </cell>
          <cell r="G995" t="str">
            <v>Mitsubishi Chemical</v>
          </cell>
        </row>
        <row r="996">
          <cell r="C996" t="str">
            <v>SP415-UR-1A</v>
          </cell>
          <cell r="D996" t="str">
            <v>SP415-UR-1</v>
          </cell>
          <cell r="E996">
            <v>1040</v>
          </cell>
          <cell r="F996" t="str">
            <v>mm</v>
          </cell>
          <cell r="G996" t="str">
            <v>Mitsubishi Chemical</v>
          </cell>
        </row>
        <row r="997">
          <cell r="C997" t="str">
            <v>SP415-USR1A</v>
          </cell>
          <cell r="D997" t="str">
            <v>SP415-USR1</v>
          </cell>
          <cell r="E997">
            <v>1040</v>
          </cell>
          <cell r="F997" t="str">
            <v>mm</v>
          </cell>
          <cell r="G997" t="str">
            <v>Mitsubishi Chemical</v>
          </cell>
        </row>
        <row r="998">
          <cell r="C998" t="str">
            <v>SP415-WR-1A</v>
          </cell>
          <cell r="D998" t="str">
            <v>SP415-WR-1</v>
          </cell>
          <cell r="E998">
            <v>1170</v>
          </cell>
          <cell r="F998" t="str">
            <v>mm</v>
          </cell>
          <cell r="G998" t="str">
            <v>Mitsubishi Chemical</v>
          </cell>
        </row>
        <row r="999">
          <cell r="C999" t="str">
            <v>MX933-IS-1AT</v>
          </cell>
          <cell r="D999" t="str">
            <v>MX933-IS-1</v>
          </cell>
          <cell r="E999">
            <v>1067</v>
          </cell>
          <cell r="F999" t="str">
            <v>mm</v>
          </cell>
          <cell r="G999" t="str">
            <v>Mitsubishi Chemical</v>
          </cell>
        </row>
        <row r="1000">
          <cell r="C1000" t="str">
            <v>MX902-IR-2A</v>
          </cell>
          <cell r="D1000" t="str">
            <v>MX902-IR-2</v>
          </cell>
          <cell r="E1000">
            <v>1003</v>
          </cell>
          <cell r="F1000" t="str">
            <v>mm</v>
          </cell>
          <cell r="G1000" t="str">
            <v>Mitsubishi Chemical</v>
          </cell>
        </row>
        <row r="1001">
          <cell r="C1001" t="str">
            <v>MX902-IR-8A</v>
          </cell>
          <cell r="D1001" t="str">
            <v>MX902-IR-8</v>
          </cell>
          <cell r="E1001">
            <v>927</v>
          </cell>
          <cell r="F1001" t="str">
            <v>mm</v>
          </cell>
          <cell r="G1001" t="str">
            <v>Mitsubishi Chemical</v>
          </cell>
        </row>
        <row r="1002">
          <cell r="C1002" t="str">
            <v>MX903-IS-3A</v>
          </cell>
          <cell r="D1002" t="str">
            <v>MX903-IS-3</v>
          </cell>
          <cell r="E1002">
            <v>991</v>
          </cell>
          <cell r="F1002" t="str">
            <v>mm</v>
          </cell>
          <cell r="G1002" t="str">
            <v>Mitsubishi Chemical</v>
          </cell>
        </row>
        <row r="1003">
          <cell r="C1003" t="str">
            <v>MX945-WS-3A</v>
          </cell>
          <cell r="D1003" t="str">
            <v>MX945-WS-3</v>
          </cell>
          <cell r="E1003">
            <v>1092</v>
          </cell>
          <cell r="F1003" t="str">
            <v>mm</v>
          </cell>
          <cell r="G1003" t="str">
            <v>Mitsubishi Chemical</v>
          </cell>
        </row>
        <row r="1004">
          <cell r="C1004" t="str">
            <v>MX944-WS-3A</v>
          </cell>
          <cell r="D1004" t="str">
            <v>MX944-WS-3</v>
          </cell>
          <cell r="E1004">
            <v>1092</v>
          </cell>
          <cell r="F1004" t="str">
            <v>mm</v>
          </cell>
          <cell r="G1004" t="str">
            <v>Mitsubishi Chemical</v>
          </cell>
        </row>
        <row r="1005">
          <cell r="C1005" t="str">
            <v>MX998-IW-1AO</v>
          </cell>
          <cell r="D1005" t="str">
            <v>MX998-IW-1</v>
          </cell>
          <cell r="E1005">
            <v>1041</v>
          </cell>
          <cell r="F1005" t="str">
            <v>mm</v>
          </cell>
          <cell r="G1005" t="str">
            <v>Mitsubishi Chemical</v>
          </cell>
        </row>
        <row r="1006">
          <cell r="C1006" t="str">
            <v>AU232-IR-3A</v>
          </cell>
          <cell r="D1006" t="str">
            <v>AU232-IR-3</v>
          </cell>
          <cell r="E1006" t="str">
            <v>1016</v>
          </cell>
          <cell r="F1006" t="str">
            <v>mm</v>
          </cell>
          <cell r="G1006" t="str">
            <v>Mitsubishi Chemical</v>
          </cell>
        </row>
        <row r="1007">
          <cell r="C1007" t="str">
            <v>AU232-IR-4A</v>
          </cell>
          <cell r="D1007" t="str">
            <v>AU232-IR-4</v>
          </cell>
          <cell r="E1007" t="str">
            <v>1003</v>
          </cell>
          <cell r="F1007" t="str">
            <v>mm</v>
          </cell>
          <cell r="G1007" t="str">
            <v>Mitsubishi Chemical</v>
          </cell>
        </row>
        <row r="1008">
          <cell r="C1008" t="str">
            <v>AU232-IR-5A</v>
          </cell>
          <cell r="D1008" t="str">
            <v>AU232-IR-5</v>
          </cell>
          <cell r="E1008" t="str">
            <v>991</v>
          </cell>
          <cell r="F1008" t="str">
            <v>mm</v>
          </cell>
          <cell r="G1008" t="str">
            <v>Mitsubishi Chemical</v>
          </cell>
        </row>
        <row r="1009">
          <cell r="C1009" t="str">
            <v>AU232-IR-6A</v>
          </cell>
          <cell r="D1009" t="str">
            <v>AU232-IR-6</v>
          </cell>
          <cell r="E1009" t="str">
            <v>978</v>
          </cell>
          <cell r="F1009" t="str">
            <v>mm</v>
          </cell>
          <cell r="G1009" t="str">
            <v>Mitsubishi Chemical</v>
          </cell>
        </row>
        <row r="1010">
          <cell r="C1010" t="str">
            <v>AU232-IR-8A</v>
          </cell>
          <cell r="D1010" t="str">
            <v>AU232-IR-8</v>
          </cell>
          <cell r="E1010" t="str">
            <v>953</v>
          </cell>
          <cell r="F1010" t="str">
            <v>mm</v>
          </cell>
          <cell r="G1010" t="str">
            <v>Mitsubishi Chemical</v>
          </cell>
        </row>
        <row r="1011">
          <cell r="C1011" t="str">
            <v>AU232-IR-9A</v>
          </cell>
          <cell r="D1011" t="str">
            <v>AU232-IR-9</v>
          </cell>
          <cell r="E1011" t="str">
            <v>940</v>
          </cell>
          <cell r="F1011" t="str">
            <v>mm</v>
          </cell>
          <cell r="G1011" t="str">
            <v>Mitsubishi Chemical</v>
          </cell>
        </row>
        <row r="1012">
          <cell r="C1012" t="str">
            <v>AU232-IR-PA</v>
          </cell>
          <cell r="D1012" t="str">
            <v>AU232-IR-P</v>
          </cell>
          <cell r="E1012" t="str">
            <v>927</v>
          </cell>
          <cell r="F1012" t="str">
            <v>mm</v>
          </cell>
          <cell r="G1012" t="str">
            <v>Mitsubishi Chemical</v>
          </cell>
        </row>
        <row r="1013">
          <cell r="C1013" t="str">
            <v>CW177-IA-3A</v>
          </cell>
          <cell r="D1013" t="str">
            <v>CW177-IA-3</v>
          </cell>
          <cell r="E1013">
            <v>1068</v>
          </cell>
          <cell r="F1013" t="str">
            <v>mm</v>
          </cell>
          <cell r="G1013" t="str">
            <v>Mitsubishi Chemical</v>
          </cell>
        </row>
        <row r="1014">
          <cell r="C1014" t="str">
            <v>CW178-IR-3A</v>
          </cell>
          <cell r="D1014" t="str">
            <v>CW178-IR-3</v>
          </cell>
          <cell r="E1014">
            <v>1068</v>
          </cell>
          <cell r="F1014" t="str">
            <v>mm</v>
          </cell>
          <cell r="G1014" t="str">
            <v>Mitsubishi Chemical</v>
          </cell>
        </row>
        <row r="1015">
          <cell r="C1015" t="str">
            <v>CW179-IS-3A</v>
          </cell>
          <cell r="D1015" t="str">
            <v>CW179-IS-3</v>
          </cell>
          <cell r="E1015">
            <v>1068</v>
          </cell>
          <cell r="F1015" t="str">
            <v>mm</v>
          </cell>
          <cell r="G1015" t="str">
            <v>Mitsubishi Chemical</v>
          </cell>
        </row>
        <row r="1016">
          <cell r="C1016" t="str">
            <v>MX669-IS-3CO</v>
          </cell>
          <cell r="D1016" t="str">
            <v>MX669-IS-3</v>
          </cell>
          <cell r="E1016">
            <v>991</v>
          </cell>
          <cell r="F1016" t="str">
            <v>mm</v>
          </cell>
          <cell r="G1016" t="str">
            <v>Mitsubishi Chemical</v>
          </cell>
        </row>
        <row r="1017">
          <cell r="C1017" t="str">
            <v>MX669-IS-4CO</v>
          </cell>
          <cell r="D1017" t="str">
            <v>MX669-IS-4</v>
          </cell>
          <cell r="E1017">
            <v>978</v>
          </cell>
          <cell r="F1017" t="str">
            <v>mm</v>
          </cell>
          <cell r="G1017" t="str">
            <v>Mitsubishi Chemical</v>
          </cell>
        </row>
        <row r="1018">
          <cell r="C1018" t="str">
            <v>MX669-IS-5CO</v>
          </cell>
          <cell r="D1018" t="str">
            <v>MX669-IS-5</v>
          </cell>
          <cell r="E1018">
            <v>965</v>
          </cell>
          <cell r="F1018" t="str">
            <v>mm</v>
          </cell>
          <cell r="G1018" t="str">
            <v>Mitsubishi Chemical</v>
          </cell>
        </row>
        <row r="1019">
          <cell r="C1019" t="str">
            <v>MX669-IS-6CO</v>
          </cell>
          <cell r="D1019" t="str">
            <v>MX669-IS-6</v>
          </cell>
          <cell r="E1019">
            <v>953</v>
          </cell>
          <cell r="F1019" t="str">
            <v>mm</v>
          </cell>
          <cell r="G1019" t="str">
            <v>Mitsubishi Chemical</v>
          </cell>
        </row>
        <row r="1020">
          <cell r="C1020" t="str">
            <v>MX669-IS-8CO</v>
          </cell>
          <cell r="D1020" t="str">
            <v>MX669-IS-8</v>
          </cell>
          <cell r="E1020">
            <v>927</v>
          </cell>
          <cell r="F1020" t="str">
            <v>mm</v>
          </cell>
          <cell r="G1020" t="str">
            <v>Mitsubishi Chemical</v>
          </cell>
        </row>
        <row r="1021">
          <cell r="C1021" t="str">
            <v>MX669-IS-9CO</v>
          </cell>
          <cell r="D1021" t="str">
            <v>MX669-IS-9</v>
          </cell>
          <cell r="E1021">
            <v>914</v>
          </cell>
          <cell r="F1021" t="str">
            <v>mm</v>
          </cell>
          <cell r="G1021" t="str">
            <v>Mitsubishi Chemical</v>
          </cell>
        </row>
        <row r="1022">
          <cell r="C1022" t="str">
            <v>MX669-IS-PCO</v>
          </cell>
          <cell r="D1022" t="str">
            <v>MX669-IS-P</v>
          </cell>
          <cell r="E1022">
            <v>902</v>
          </cell>
          <cell r="F1022" t="str">
            <v>mm</v>
          </cell>
          <cell r="G1022" t="str">
            <v>Mitsubishi Chemical</v>
          </cell>
        </row>
        <row r="1023">
          <cell r="C1023" t="str">
            <v>MX681-IS-3CO</v>
          </cell>
          <cell r="D1023" t="str">
            <v>MX681-IS-3</v>
          </cell>
          <cell r="E1023">
            <v>991</v>
          </cell>
          <cell r="F1023" t="str">
            <v>mm</v>
          </cell>
          <cell r="G1023" t="str">
            <v>Mitsubishi Chemical</v>
          </cell>
        </row>
        <row r="1024">
          <cell r="C1024" t="str">
            <v>MX681-IS-4CO</v>
          </cell>
          <cell r="D1024" t="str">
            <v>MX681-IS-4</v>
          </cell>
          <cell r="E1024">
            <v>978</v>
          </cell>
          <cell r="F1024" t="str">
            <v>mm</v>
          </cell>
          <cell r="G1024" t="str">
            <v>Mitsubishi Chemical</v>
          </cell>
        </row>
        <row r="1025">
          <cell r="C1025" t="str">
            <v>MX681-IS-5CO</v>
          </cell>
          <cell r="D1025" t="str">
            <v>MX681-IS-5</v>
          </cell>
          <cell r="E1025">
            <v>965</v>
          </cell>
          <cell r="F1025" t="str">
            <v>mm</v>
          </cell>
          <cell r="G1025" t="str">
            <v>Mitsubishi Chemical</v>
          </cell>
        </row>
        <row r="1026">
          <cell r="C1026" t="str">
            <v>MX681-IS-6CO</v>
          </cell>
          <cell r="D1026" t="str">
            <v>MX681-IS-6</v>
          </cell>
          <cell r="E1026">
            <v>953</v>
          </cell>
          <cell r="F1026" t="str">
            <v>mm</v>
          </cell>
          <cell r="G1026" t="str">
            <v>Mitsubishi Chemical</v>
          </cell>
        </row>
        <row r="1027">
          <cell r="C1027" t="str">
            <v>MX681-IS-7CO</v>
          </cell>
          <cell r="D1027" t="str">
            <v>MX681-IS-7</v>
          </cell>
          <cell r="E1027">
            <v>940</v>
          </cell>
          <cell r="F1027" t="str">
            <v>mm</v>
          </cell>
          <cell r="G1027" t="str">
            <v>Mitsubishi Chemical</v>
          </cell>
        </row>
        <row r="1028">
          <cell r="C1028" t="str">
            <v>MX681-IS-8CO</v>
          </cell>
          <cell r="D1028" t="str">
            <v>MX681-IS-8</v>
          </cell>
          <cell r="E1028">
            <v>927</v>
          </cell>
          <cell r="F1028" t="str">
            <v>mm</v>
          </cell>
          <cell r="G1028" t="str">
            <v>Mitsubishi Chemical</v>
          </cell>
        </row>
        <row r="1029">
          <cell r="C1029" t="str">
            <v>MX681-IS-9CO</v>
          </cell>
          <cell r="D1029" t="str">
            <v>MX681-IS-9</v>
          </cell>
          <cell r="E1029">
            <v>914</v>
          </cell>
          <cell r="F1029" t="str">
            <v>mm</v>
          </cell>
          <cell r="G1029" t="str">
            <v>Mitsubishi Chemical</v>
          </cell>
        </row>
        <row r="1030">
          <cell r="C1030" t="str">
            <v>MX681-IS-PCO</v>
          </cell>
          <cell r="D1030" t="str">
            <v>MX681-IS-P</v>
          </cell>
          <cell r="E1030">
            <v>902</v>
          </cell>
          <cell r="F1030" t="str">
            <v>mm</v>
          </cell>
          <cell r="G1030" t="str">
            <v>Mitsubishi Chemical</v>
          </cell>
        </row>
        <row r="1031">
          <cell r="C1031" t="str">
            <v>MX681-ITX3CO</v>
          </cell>
          <cell r="D1031" t="str">
            <v>MX681-ITX3</v>
          </cell>
          <cell r="E1031">
            <v>991</v>
          </cell>
          <cell r="F1031" t="str">
            <v>mm</v>
          </cell>
          <cell r="G1031" t="str">
            <v>Mitsubishi Chemical</v>
          </cell>
        </row>
        <row r="1032">
          <cell r="C1032" t="str">
            <v>MX681-ITX4CO</v>
          </cell>
          <cell r="D1032" t="str">
            <v>MX681-ITX4</v>
          </cell>
          <cell r="E1032">
            <v>978</v>
          </cell>
          <cell r="F1032" t="str">
            <v>mm</v>
          </cell>
          <cell r="G1032" t="str">
            <v>Mitsubishi Chemical</v>
          </cell>
        </row>
        <row r="1033">
          <cell r="C1033" t="str">
            <v>MX681-ITX5CO</v>
          </cell>
          <cell r="D1033" t="str">
            <v>MX681-ITX5</v>
          </cell>
          <cell r="E1033">
            <v>965</v>
          </cell>
          <cell r="F1033" t="str">
            <v>mm</v>
          </cell>
          <cell r="G1033" t="str">
            <v>Mitsubishi Chemical</v>
          </cell>
        </row>
        <row r="1034">
          <cell r="C1034" t="str">
            <v>MX681-ITX6CO</v>
          </cell>
          <cell r="D1034" t="str">
            <v>MX681-ITX6</v>
          </cell>
          <cell r="E1034">
            <v>953</v>
          </cell>
          <cell r="F1034" t="str">
            <v>mm</v>
          </cell>
          <cell r="G1034" t="str">
            <v>Mitsubishi Chemical</v>
          </cell>
        </row>
        <row r="1035">
          <cell r="C1035" t="str">
            <v>MX681-ITX7CO</v>
          </cell>
          <cell r="D1035" t="str">
            <v>MX681-ITX7</v>
          </cell>
          <cell r="E1035">
            <v>940</v>
          </cell>
          <cell r="F1035" t="str">
            <v>mm</v>
          </cell>
          <cell r="G1035" t="str">
            <v>Mitsubishi Chemical</v>
          </cell>
        </row>
        <row r="1036">
          <cell r="C1036" t="str">
            <v>MX681-ITX8CO</v>
          </cell>
          <cell r="D1036" t="str">
            <v>MX681-ITX8</v>
          </cell>
          <cell r="E1036">
            <v>927</v>
          </cell>
          <cell r="F1036" t="str">
            <v>mm</v>
          </cell>
          <cell r="G1036" t="str">
            <v>Mitsubishi Chemical</v>
          </cell>
        </row>
        <row r="1037">
          <cell r="C1037" t="str">
            <v>MX681-ITX9CO</v>
          </cell>
          <cell r="D1037" t="str">
            <v>MX681-ITX9</v>
          </cell>
          <cell r="E1037">
            <v>914</v>
          </cell>
          <cell r="F1037" t="str">
            <v>mm</v>
          </cell>
          <cell r="G1037" t="str">
            <v>Mitsubishi Chemical</v>
          </cell>
        </row>
        <row r="1038">
          <cell r="C1038" t="str">
            <v>MX681-ITXPCO</v>
          </cell>
          <cell r="D1038" t="str">
            <v>MX681-ITXP</v>
          </cell>
          <cell r="E1038">
            <v>902</v>
          </cell>
          <cell r="F1038" t="str">
            <v>mm</v>
          </cell>
          <cell r="G1038" t="str">
            <v>Mitsubishi Chemical</v>
          </cell>
        </row>
        <row r="1039">
          <cell r="C1039" t="str">
            <v>MX721-ITX3CO</v>
          </cell>
          <cell r="D1039" t="str">
            <v>MX721-ITX3</v>
          </cell>
          <cell r="E1039">
            <v>991</v>
          </cell>
          <cell r="F1039" t="str">
            <v>mm</v>
          </cell>
          <cell r="G1039" t="str">
            <v>Mitsubishi Chemical</v>
          </cell>
        </row>
        <row r="1040">
          <cell r="C1040" t="str">
            <v>MX721-ITX4CO</v>
          </cell>
          <cell r="D1040" t="str">
            <v>MX721-ITX4</v>
          </cell>
          <cell r="E1040">
            <v>978</v>
          </cell>
          <cell r="F1040" t="str">
            <v>mm</v>
          </cell>
          <cell r="G1040" t="str">
            <v>Mitsubishi Chemical</v>
          </cell>
        </row>
        <row r="1041">
          <cell r="C1041" t="str">
            <v>MX721-ITX5CO</v>
          </cell>
          <cell r="D1041" t="str">
            <v>MX721-ITX5</v>
          </cell>
          <cell r="E1041">
            <v>965</v>
          </cell>
          <cell r="F1041" t="str">
            <v>mm</v>
          </cell>
          <cell r="G1041" t="str">
            <v>Mitsubishi Chemical</v>
          </cell>
        </row>
        <row r="1042">
          <cell r="C1042" t="str">
            <v>MX721-ITX6CO</v>
          </cell>
          <cell r="D1042" t="str">
            <v>MX721-ITX6</v>
          </cell>
          <cell r="E1042">
            <v>953</v>
          </cell>
          <cell r="F1042" t="str">
            <v>mm</v>
          </cell>
          <cell r="G1042" t="str">
            <v>Mitsubishi Chemical</v>
          </cell>
        </row>
        <row r="1043">
          <cell r="C1043" t="str">
            <v>MX721-ITX8CO</v>
          </cell>
          <cell r="D1043" t="str">
            <v>MX721-ITX8</v>
          </cell>
          <cell r="E1043">
            <v>927</v>
          </cell>
          <cell r="F1043" t="str">
            <v>mm</v>
          </cell>
          <cell r="G1043" t="str">
            <v>Mitsubishi Chemical</v>
          </cell>
        </row>
        <row r="1044">
          <cell r="C1044" t="str">
            <v>MX721-ITX9CO</v>
          </cell>
          <cell r="D1044" t="str">
            <v>MX721-ITX9</v>
          </cell>
          <cell r="E1044">
            <v>914</v>
          </cell>
          <cell r="F1044" t="str">
            <v>mm</v>
          </cell>
          <cell r="G1044" t="str">
            <v>Mitsubishi Chemical</v>
          </cell>
        </row>
        <row r="1045">
          <cell r="C1045" t="str">
            <v>CW179-IS-3AC</v>
          </cell>
          <cell r="D1045" t="str">
            <v>CW179-IS-3</v>
          </cell>
          <cell r="E1045">
            <v>1068</v>
          </cell>
          <cell r="F1045" t="str">
            <v>mm</v>
          </cell>
          <cell r="G1045" t="str">
            <v>Mitsubishi Chemical</v>
          </cell>
        </row>
        <row r="1046">
          <cell r="C1046" t="str">
            <v>CW178-IR-3AC</v>
          </cell>
          <cell r="D1046" t="str">
            <v>CW178-IR-3</v>
          </cell>
          <cell r="E1046">
            <v>1068</v>
          </cell>
          <cell r="F1046" t="str">
            <v>mm</v>
          </cell>
          <cell r="G1046" t="str">
            <v>Mitsubishi Chemical</v>
          </cell>
        </row>
        <row r="1047">
          <cell r="C1047" t="str">
            <v>YR193-IA-5A</v>
          </cell>
          <cell r="D1047" t="str">
            <v>YR193-IA-5</v>
          </cell>
          <cell r="E1047">
            <v>994</v>
          </cell>
          <cell r="F1047" t="str">
            <v>mm</v>
          </cell>
          <cell r="G1047" t="str">
            <v>Mitsubishi Chemical</v>
          </cell>
        </row>
        <row r="1048">
          <cell r="C1048" t="str">
            <v>YR193-IA-6A</v>
          </cell>
          <cell r="D1048" t="str">
            <v>YR193-IA-6</v>
          </cell>
          <cell r="E1048">
            <v>981</v>
          </cell>
          <cell r="F1048" t="str">
            <v>mm</v>
          </cell>
          <cell r="G1048" t="str">
            <v>Mitsubishi Chemical</v>
          </cell>
        </row>
        <row r="1049">
          <cell r="C1049" t="str">
            <v>YR193-IA-7A</v>
          </cell>
          <cell r="D1049" t="str">
            <v>YR193-IA-7</v>
          </cell>
          <cell r="E1049">
            <v>968</v>
          </cell>
          <cell r="F1049" t="str">
            <v>mm</v>
          </cell>
          <cell r="G1049" t="str">
            <v>Mitsubishi Chemical</v>
          </cell>
        </row>
        <row r="1050">
          <cell r="C1050" t="str">
            <v>YR193-IA-8A</v>
          </cell>
          <cell r="D1050" t="str">
            <v>YR193-IA-8</v>
          </cell>
          <cell r="E1050">
            <v>956</v>
          </cell>
          <cell r="F1050" t="str">
            <v>mm</v>
          </cell>
          <cell r="G1050" t="str">
            <v>Mitsubishi Chemical</v>
          </cell>
        </row>
        <row r="1051">
          <cell r="C1051" t="str">
            <v>YR193-IA-9A</v>
          </cell>
          <cell r="D1051" t="str">
            <v>YR193-IA-9</v>
          </cell>
          <cell r="E1051">
            <v>943</v>
          </cell>
          <cell r="F1051" t="str">
            <v>mm</v>
          </cell>
          <cell r="G1051" t="str">
            <v>Mitsubishi Chemical</v>
          </cell>
        </row>
        <row r="1052">
          <cell r="C1052" t="str">
            <v>YR193-IA-AA</v>
          </cell>
          <cell r="D1052" t="str">
            <v>YR193-IA-A</v>
          </cell>
          <cell r="E1052">
            <v>911</v>
          </cell>
          <cell r="F1052" t="str">
            <v>mm</v>
          </cell>
          <cell r="G1052" t="str">
            <v>Mitsubishi Chemical</v>
          </cell>
        </row>
        <row r="1053">
          <cell r="C1053" t="str">
            <v>YR193-IA-PA</v>
          </cell>
          <cell r="D1053" t="str">
            <v>YR193-IA-P</v>
          </cell>
          <cell r="E1053">
            <v>930</v>
          </cell>
          <cell r="F1053" t="str">
            <v>mm</v>
          </cell>
          <cell r="G1053" t="str">
            <v>Mitsubishi Chemical</v>
          </cell>
        </row>
        <row r="1054">
          <cell r="C1054" t="str">
            <v>YR193-IA-SA</v>
          </cell>
          <cell r="D1054" t="str">
            <v>YR193-IA-S</v>
          </cell>
          <cell r="E1054">
            <v>899</v>
          </cell>
          <cell r="F1054" t="str">
            <v>mm</v>
          </cell>
          <cell r="G1054" t="str">
            <v>Mitsubishi Chemical</v>
          </cell>
        </row>
        <row r="1055">
          <cell r="C1055" t="str">
            <v>YR193-IL-6A</v>
          </cell>
          <cell r="D1055" t="str">
            <v>YR193-IL-6</v>
          </cell>
          <cell r="E1055">
            <v>949</v>
          </cell>
          <cell r="F1055" t="str">
            <v>mm</v>
          </cell>
          <cell r="G1055" t="str">
            <v>Mitsubishi Chemical</v>
          </cell>
        </row>
        <row r="1056">
          <cell r="C1056" t="str">
            <v>YR193-IL-7A</v>
          </cell>
          <cell r="D1056" t="str">
            <v>YR193-IL-7</v>
          </cell>
          <cell r="E1056">
            <v>936</v>
          </cell>
          <cell r="F1056" t="str">
            <v>mm</v>
          </cell>
          <cell r="G1056" t="str">
            <v>Mitsubishi Chemical</v>
          </cell>
        </row>
        <row r="1057">
          <cell r="C1057" t="str">
            <v>YR193-IL-8A</v>
          </cell>
          <cell r="D1057" t="str">
            <v>YR193-IL-8</v>
          </cell>
          <cell r="E1057">
            <v>924</v>
          </cell>
          <cell r="F1057" t="str">
            <v>mm</v>
          </cell>
          <cell r="G1057" t="str">
            <v>Mitsubishi Chemical</v>
          </cell>
        </row>
        <row r="1058">
          <cell r="C1058" t="str">
            <v>YR193-IL-9A</v>
          </cell>
          <cell r="D1058" t="str">
            <v>YR193-IL-9</v>
          </cell>
          <cell r="E1058">
            <v>911</v>
          </cell>
          <cell r="F1058" t="str">
            <v>mm</v>
          </cell>
          <cell r="G1058" t="str">
            <v>Mitsubishi Chemical</v>
          </cell>
        </row>
        <row r="1059">
          <cell r="C1059" t="str">
            <v>YR193-IL-AA</v>
          </cell>
          <cell r="D1059" t="str">
            <v>YR193-IL-A</v>
          </cell>
          <cell r="E1059">
            <v>879</v>
          </cell>
          <cell r="F1059" t="str">
            <v>mm</v>
          </cell>
          <cell r="G1059" t="str">
            <v>Mitsubishi Chemical</v>
          </cell>
        </row>
        <row r="1060">
          <cell r="C1060" t="str">
            <v>YR193-IL-PA</v>
          </cell>
          <cell r="D1060" t="str">
            <v>YR193-IL-P</v>
          </cell>
          <cell r="E1060">
            <v>898</v>
          </cell>
          <cell r="F1060" t="str">
            <v>mm</v>
          </cell>
          <cell r="G1060" t="str">
            <v>Mitsubishi Chemical</v>
          </cell>
        </row>
        <row r="1061">
          <cell r="C1061" t="str">
            <v>YR193-IL-SA</v>
          </cell>
          <cell r="D1061" t="str">
            <v>YR193-IL-S</v>
          </cell>
          <cell r="E1061">
            <v>866</v>
          </cell>
          <cell r="F1061" t="str">
            <v>mm</v>
          </cell>
          <cell r="G1061" t="str">
            <v>Mitsubishi Chemical</v>
          </cell>
        </row>
        <row r="1062">
          <cell r="C1062" t="str">
            <v>MX681-ITXSB</v>
          </cell>
          <cell r="D1062" t="str">
            <v>MX681-ITXS</v>
          </cell>
          <cell r="E1062">
            <v>914</v>
          </cell>
          <cell r="F1062" t="str">
            <v>mm</v>
          </cell>
          <cell r="G1062" t="str">
            <v>Mitsubishi Chemical</v>
          </cell>
        </row>
        <row r="1063">
          <cell r="C1063" t="str">
            <v>MX795-IX-1A</v>
          </cell>
          <cell r="D1063" t="str">
            <v>MX795-IX-1</v>
          </cell>
          <cell r="E1063">
            <v>1067</v>
          </cell>
          <cell r="F1063" t="str">
            <v>mm</v>
          </cell>
          <cell r="G1063" t="str">
            <v>Mitsubishi Chemical</v>
          </cell>
        </row>
        <row r="1064">
          <cell r="C1064" t="str">
            <v>MX794-IS-1AO</v>
          </cell>
          <cell r="D1064" t="str">
            <v>MX794-IS-1</v>
          </cell>
          <cell r="E1064">
            <v>1067</v>
          </cell>
          <cell r="F1064" t="str">
            <v>mm</v>
          </cell>
          <cell r="G1064" t="str">
            <v>Mitsubishi Chemical</v>
          </cell>
        </row>
        <row r="1065">
          <cell r="C1065" t="str">
            <v>TE056-WA-1A</v>
          </cell>
          <cell r="D1065" t="str">
            <v>TE056-WA-1</v>
          </cell>
          <cell r="E1065">
            <v>1143</v>
          </cell>
          <cell r="F1065" t="str">
            <v>mm</v>
          </cell>
          <cell r="G1065" t="str">
            <v>Mitsubishi Chemical</v>
          </cell>
        </row>
        <row r="1066">
          <cell r="C1066" t="str">
            <v>TE056-WR-1A</v>
          </cell>
          <cell r="D1066" t="str">
            <v>TE056-WR-1</v>
          </cell>
          <cell r="E1066">
            <v>1143</v>
          </cell>
          <cell r="F1066" t="str">
            <v>mm</v>
          </cell>
          <cell r="G1066" t="str">
            <v>Mitsubishi Chemical</v>
          </cell>
        </row>
        <row r="1067">
          <cell r="C1067" t="str">
            <v>TE056-WW-1A</v>
          </cell>
          <cell r="D1067" t="str">
            <v>TE056-WW-1</v>
          </cell>
          <cell r="E1067">
            <v>1143</v>
          </cell>
          <cell r="F1067" t="str">
            <v>mm</v>
          </cell>
          <cell r="G1067" t="str">
            <v>Mitsubishi Chemical</v>
          </cell>
        </row>
        <row r="1068">
          <cell r="C1068" t="str">
            <v>TE057-WS-1A</v>
          </cell>
          <cell r="D1068" t="str">
            <v>TE057-WS-1</v>
          </cell>
          <cell r="E1068">
            <v>1168</v>
          </cell>
          <cell r="F1068" t="str">
            <v>mm</v>
          </cell>
          <cell r="G1068" t="str">
            <v>Mitsubishi Chemical</v>
          </cell>
        </row>
        <row r="1069">
          <cell r="C1069" t="str">
            <v>MX965-US-1A</v>
          </cell>
          <cell r="D1069" t="str">
            <v>MX965-US-1</v>
          </cell>
          <cell r="E1069">
            <v>1067</v>
          </cell>
          <cell r="F1069" t="str">
            <v>mm</v>
          </cell>
          <cell r="G1069" t="str">
            <v>Mitsubishi Chemical</v>
          </cell>
        </row>
        <row r="1070">
          <cell r="C1070" t="str">
            <v>MX966-US-1A</v>
          </cell>
          <cell r="D1070" t="str">
            <v>MX966-US-1</v>
          </cell>
          <cell r="E1070">
            <v>1067</v>
          </cell>
          <cell r="F1070" t="str">
            <v>mm</v>
          </cell>
          <cell r="G1070" t="str">
            <v>Mitsubishi Chemical</v>
          </cell>
        </row>
        <row r="1071">
          <cell r="C1071" t="str">
            <v>AU231-ILL4A</v>
          </cell>
          <cell r="D1071" t="str">
            <v>AU231-ILL4</v>
          </cell>
          <cell r="E1071">
            <v>978</v>
          </cell>
          <cell r="F1071" t="str">
            <v>mm</v>
          </cell>
          <cell r="G1071" t="str">
            <v>Mitsubishi Chemical</v>
          </cell>
        </row>
        <row r="1072">
          <cell r="C1072" t="str">
            <v>AX139-IL-3AB</v>
          </cell>
          <cell r="D1072" t="str">
            <v>AX139-IL-3</v>
          </cell>
          <cell r="E1072">
            <v>1016</v>
          </cell>
          <cell r="F1072" t="str">
            <v>mm</v>
          </cell>
          <cell r="G1072" t="str">
            <v>Aldila</v>
          </cell>
        </row>
        <row r="1073">
          <cell r="C1073" t="str">
            <v>AX187-WS-1AA</v>
          </cell>
          <cell r="D1073" t="str">
            <v>AX187-WS-1</v>
          </cell>
          <cell r="E1073">
            <v>1168</v>
          </cell>
          <cell r="F1073" t="str">
            <v>mm</v>
          </cell>
          <cell r="G1073" t="str">
            <v>Aldila</v>
          </cell>
        </row>
        <row r="1074">
          <cell r="C1074" t="str">
            <v>YM130-WSR1A</v>
          </cell>
          <cell r="D1074" t="str">
            <v>YM130-WSR1</v>
          </cell>
          <cell r="E1074">
            <v>1168</v>
          </cell>
          <cell r="F1074" t="str">
            <v>mm</v>
          </cell>
          <cell r="G1074" t="str">
            <v>Mitsubishi Chemical</v>
          </cell>
        </row>
        <row r="1075">
          <cell r="C1075" t="str">
            <v>YM130-UR-2A</v>
          </cell>
          <cell r="D1075" t="str">
            <v>YM130-UR-2</v>
          </cell>
          <cell r="E1075">
            <v>1041</v>
          </cell>
          <cell r="F1075" t="str">
            <v>mm</v>
          </cell>
          <cell r="G1075" t="str">
            <v>Mitsubishi Chemical</v>
          </cell>
        </row>
        <row r="1076">
          <cell r="C1076" t="str">
            <v>YM130-WS-3A</v>
          </cell>
          <cell r="D1076" t="str">
            <v>YM130-WS-3</v>
          </cell>
          <cell r="E1076">
            <v>1092</v>
          </cell>
          <cell r="F1076" t="str">
            <v>mm</v>
          </cell>
          <cell r="G1076" t="str">
            <v>Mitsubishi Chemical</v>
          </cell>
        </row>
        <row r="1077">
          <cell r="C1077" t="str">
            <v>YM130-WSR3A</v>
          </cell>
          <cell r="D1077" t="str">
            <v>YM130-WSR3</v>
          </cell>
          <cell r="E1077">
            <v>1092</v>
          </cell>
          <cell r="F1077" t="str">
            <v>mm</v>
          </cell>
          <cell r="G1077" t="str">
            <v>Mitsubishi Chemical</v>
          </cell>
        </row>
        <row r="1078">
          <cell r="C1078" t="str">
            <v>YM131-WS-1A</v>
          </cell>
          <cell r="D1078" t="str">
            <v>YM131-WS-1</v>
          </cell>
          <cell r="E1078">
            <v>1168</v>
          </cell>
          <cell r="F1078" t="str">
            <v>mm</v>
          </cell>
          <cell r="G1078" t="str">
            <v>Mitsubishi Chemical</v>
          </cell>
        </row>
        <row r="1079">
          <cell r="C1079" t="str">
            <v>YM131-WS-3A</v>
          </cell>
          <cell r="D1079" t="str">
            <v>YM131-WS-3</v>
          </cell>
          <cell r="E1079">
            <v>1092</v>
          </cell>
          <cell r="F1079" t="str">
            <v>mm</v>
          </cell>
          <cell r="G1079" t="str">
            <v>Mitsubishi Chemical</v>
          </cell>
        </row>
        <row r="1080">
          <cell r="C1080" t="str">
            <v>YM131-US-2A</v>
          </cell>
          <cell r="D1080" t="str">
            <v>YM131-US-2</v>
          </cell>
          <cell r="E1080">
            <v>1041</v>
          </cell>
          <cell r="F1080" t="str">
            <v>mm</v>
          </cell>
          <cell r="G1080" t="str">
            <v>Mitsubishi Chemical</v>
          </cell>
        </row>
        <row r="1081">
          <cell r="C1081" t="str">
            <v>YM130-US-2A</v>
          </cell>
          <cell r="D1081" t="str">
            <v>YM130-US-2</v>
          </cell>
          <cell r="E1081">
            <v>1041</v>
          </cell>
          <cell r="F1081" t="str">
            <v>mm</v>
          </cell>
          <cell r="G1081" t="str">
            <v>Mitsubishi Chemical</v>
          </cell>
        </row>
        <row r="1082">
          <cell r="C1082" t="str">
            <v>YM130-USR2A</v>
          </cell>
          <cell r="D1082" t="str">
            <v>YM130-USR2</v>
          </cell>
          <cell r="E1082">
            <v>1041</v>
          </cell>
          <cell r="F1082" t="str">
            <v>mm</v>
          </cell>
          <cell r="G1082" t="str">
            <v>Mitsubishi Chemical</v>
          </cell>
        </row>
        <row r="1083">
          <cell r="C1083" t="str">
            <v>YM130-WR-3A</v>
          </cell>
          <cell r="D1083" t="str">
            <v>YM130-WR-3</v>
          </cell>
          <cell r="E1083">
            <v>1092</v>
          </cell>
          <cell r="F1083" t="str">
            <v>mm</v>
          </cell>
          <cell r="G1083" t="str">
            <v>Mitsubishi Chemical</v>
          </cell>
        </row>
        <row r="1084">
          <cell r="C1084" t="str">
            <v>YM130-WS-1A</v>
          </cell>
          <cell r="D1084" t="str">
            <v>YM130-WS-1</v>
          </cell>
          <cell r="E1084">
            <v>1168</v>
          </cell>
          <cell r="F1084" t="str">
            <v>mm</v>
          </cell>
          <cell r="G1084" t="str">
            <v>Mitsubishi Chemical</v>
          </cell>
        </row>
        <row r="1085">
          <cell r="C1085" t="str">
            <v>YM130-ISRPA</v>
          </cell>
          <cell r="D1085" t="str">
            <v>YM130-ISRP</v>
          </cell>
          <cell r="E1085">
            <v>912</v>
          </cell>
          <cell r="F1085" t="str">
            <v>mm</v>
          </cell>
          <cell r="G1085" t="str">
            <v>Mitsubishi Chemical</v>
          </cell>
        </row>
        <row r="1086">
          <cell r="C1086" t="str">
            <v>YM130-ISR7A</v>
          </cell>
          <cell r="D1086" t="str">
            <v>YM130-ISR7</v>
          </cell>
          <cell r="E1086">
            <v>953</v>
          </cell>
          <cell r="F1086" t="str">
            <v>mm</v>
          </cell>
          <cell r="G1086" t="str">
            <v>Mitsubishi Chemical</v>
          </cell>
        </row>
        <row r="1087">
          <cell r="C1087" t="str">
            <v>YM130-ISR9A</v>
          </cell>
          <cell r="D1087" t="str">
            <v>YM130-ISR9</v>
          </cell>
          <cell r="E1087">
            <v>927</v>
          </cell>
          <cell r="F1087" t="str">
            <v>mm</v>
          </cell>
          <cell r="G1087" t="str">
            <v>Mitsubishi Chemical</v>
          </cell>
        </row>
        <row r="1088">
          <cell r="C1088" t="str">
            <v>YM130-WR-1A</v>
          </cell>
          <cell r="D1088" t="str">
            <v>YM130-WR-1</v>
          </cell>
          <cell r="E1088">
            <v>1168</v>
          </cell>
          <cell r="F1088" t="str">
            <v>mm</v>
          </cell>
          <cell r="G1088" t="str">
            <v>Mitsubishi Chemical</v>
          </cell>
        </row>
        <row r="1089">
          <cell r="C1089" t="str">
            <v>YM130-IR-5A</v>
          </cell>
          <cell r="D1089" t="str">
            <v>YM130-IR-5</v>
          </cell>
          <cell r="E1089">
            <v>979</v>
          </cell>
          <cell r="F1089" t="str">
            <v>mm</v>
          </cell>
          <cell r="G1089" t="str">
            <v>Mitsubishi Chemical</v>
          </cell>
        </row>
        <row r="1090">
          <cell r="C1090" t="str">
            <v>YM130-IR-9A</v>
          </cell>
          <cell r="D1090" t="str">
            <v>YM130-IR-9</v>
          </cell>
          <cell r="E1090">
            <v>927</v>
          </cell>
          <cell r="F1090" t="str">
            <v>mm</v>
          </cell>
          <cell r="G1090" t="str">
            <v>Mitsubishi Chemical</v>
          </cell>
        </row>
        <row r="1091">
          <cell r="C1091" t="str">
            <v>YM130-IR-6A</v>
          </cell>
          <cell r="D1091" t="str">
            <v>YM130-IR-6</v>
          </cell>
          <cell r="E1091">
            <v>966</v>
          </cell>
          <cell r="F1091" t="str">
            <v>mm</v>
          </cell>
          <cell r="G1091" t="str">
            <v>Mitsubishi Chemical</v>
          </cell>
        </row>
        <row r="1092">
          <cell r="C1092" t="str">
            <v>YM130-IR-8A</v>
          </cell>
          <cell r="D1092" t="str">
            <v>YM130-IR-8</v>
          </cell>
          <cell r="E1092">
            <v>940</v>
          </cell>
          <cell r="F1092" t="str">
            <v>mm</v>
          </cell>
          <cell r="G1092" t="str">
            <v>Mitsubishi Chemical</v>
          </cell>
        </row>
        <row r="1093">
          <cell r="C1093" t="str">
            <v>YM130-IR-7A</v>
          </cell>
          <cell r="D1093" t="str">
            <v>YM130-IR-7</v>
          </cell>
          <cell r="E1093">
            <v>953</v>
          </cell>
          <cell r="F1093" t="str">
            <v>mm</v>
          </cell>
          <cell r="G1093" t="str">
            <v>Mitsubishi Chemical</v>
          </cell>
        </row>
        <row r="1094">
          <cell r="C1094" t="str">
            <v>YM130-IR-PA</v>
          </cell>
          <cell r="D1094" t="str">
            <v>YM130-IR-P</v>
          </cell>
          <cell r="E1094">
            <v>912</v>
          </cell>
          <cell r="F1094" t="str">
            <v>mm</v>
          </cell>
          <cell r="G1094" t="str">
            <v>Mitsubishi Chemical</v>
          </cell>
        </row>
        <row r="1095">
          <cell r="C1095" t="str">
            <v>YM130-ISR5A</v>
          </cell>
          <cell r="D1095" t="str">
            <v>YM130-ISR5</v>
          </cell>
          <cell r="E1095">
            <v>979</v>
          </cell>
          <cell r="F1095" t="str">
            <v>mm</v>
          </cell>
          <cell r="G1095" t="str">
            <v>Mitsubishi Chemical</v>
          </cell>
        </row>
        <row r="1096">
          <cell r="C1096" t="str">
            <v>YM130-ISR6A</v>
          </cell>
          <cell r="D1096" t="str">
            <v>YM130-ISR6</v>
          </cell>
          <cell r="E1096">
            <v>966</v>
          </cell>
          <cell r="F1096" t="str">
            <v>mm</v>
          </cell>
          <cell r="G1096" t="str">
            <v>Mitsubishi Chemical</v>
          </cell>
        </row>
        <row r="1097">
          <cell r="C1097" t="str">
            <v>YM130-ISR8A</v>
          </cell>
          <cell r="D1097" t="str">
            <v>YM130-ISR8</v>
          </cell>
          <cell r="E1097">
            <v>940</v>
          </cell>
          <cell r="F1097" t="str">
            <v>mm</v>
          </cell>
          <cell r="G1097" t="str">
            <v>Mitsubishi Chemical</v>
          </cell>
        </row>
        <row r="1098">
          <cell r="C1098" t="str">
            <v>CW157-IA-2A</v>
          </cell>
          <cell r="D1098" t="str">
            <v>CW157-IA-2</v>
          </cell>
          <cell r="E1098">
            <v>1030</v>
          </cell>
          <cell r="F1098" t="str">
            <v>mm</v>
          </cell>
          <cell r="G1098" t="str">
            <v>Mitsubishi Chemical</v>
          </cell>
        </row>
        <row r="1099">
          <cell r="C1099" t="str">
            <v>CW152-IR-2A</v>
          </cell>
          <cell r="D1099" t="str">
            <v>CW152-IR-2</v>
          </cell>
          <cell r="E1099">
            <v>1030</v>
          </cell>
          <cell r="F1099" t="str">
            <v>mm</v>
          </cell>
          <cell r="G1099" t="str">
            <v>Mitsubishi Chemical</v>
          </cell>
        </row>
        <row r="1100">
          <cell r="C1100" t="str">
            <v>YR193-IR-5A</v>
          </cell>
          <cell r="D1100" t="str">
            <v>YR193-IR-5</v>
          </cell>
          <cell r="E1100">
            <v>994</v>
          </cell>
          <cell r="F1100" t="str">
            <v>mm</v>
          </cell>
          <cell r="G1100" t="str">
            <v>Mitsubishi Chemical</v>
          </cell>
        </row>
        <row r="1101">
          <cell r="C1101" t="str">
            <v>YR193-IR-6A</v>
          </cell>
          <cell r="D1101" t="str">
            <v>YR193-IR-6</v>
          </cell>
          <cell r="E1101">
            <v>981</v>
          </cell>
          <cell r="F1101" t="str">
            <v>mm</v>
          </cell>
          <cell r="G1101" t="str">
            <v>Mitsubishi Chemical</v>
          </cell>
        </row>
        <row r="1102">
          <cell r="C1102" t="str">
            <v>YR193-IR-7A</v>
          </cell>
          <cell r="D1102" t="str">
            <v>YR193-IR-7</v>
          </cell>
          <cell r="E1102">
            <v>968</v>
          </cell>
          <cell r="F1102" t="str">
            <v>mm</v>
          </cell>
          <cell r="G1102" t="str">
            <v>Mitsubishi Chemical</v>
          </cell>
        </row>
        <row r="1103">
          <cell r="C1103" t="str">
            <v>YR193-IR-8A</v>
          </cell>
          <cell r="D1103" t="str">
            <v>YR193-IR-8</v>
          </cell>
          <cell r="E1103">
            <v>956</v>
          </cell>
          <cell r="F1103" t="str">
            <v>mm</v>
          </cell>
          <cell r="G1103" t="str">
            <v>Mitsubishi Chemical</v>
          </cell>
        </row>
        <row r="1104">
          <cell r="C1104" t="str">
            <v>YR193-IR-9A</v>
          </cell>
          <cell r="D1104" t="str">
            <v>YR193-IR-9</v>
          </cell>
          <cell r="E1104">
            <v>943</v>
          </cell>
          <cell r="F1104" t="str">
            <v>mm</v>
          </cell>
          <cell r="G1104" t="str">
            <v>Mitsubishi Chemical</v>
          </cell>
        </row>
        <row r="1105">
          <cell r="C1105" t="str">
            <v>YR193-IR-AA</v>
          </cell>
          <cell r="D1105" t="str">
            <v>YR193-IR-A</v>
          </cell>
          <cell r="E1105">
            <v>911</v>
          </cell>
          <cell r="F1105" t="str">
            <v>mm</v>
          </cell>
          <cell r="G1105" t="str">
            <v>Mitsubishi Chemical</v>
          </cell>
        </row>
        <row r="1106">
          <cell r="C1106" t="str">
            <v>YR193-IR-PA</v>
          </cell>
          <cell r="D1106" t="str">
            <v>YR193-IR-P</v>
          </cell>
          <cell r="E1106">
            <v>930</v>
          </cell>
          <cell r="F1106" t="str">
            <v>mm</v>
          </cell>
          <cell r="G1106" t="str">
            <v>Mitsubishi Chemical</v>
          </cell>
        </row>
        <row r="1107">
          <cell r="C1107" t="str">
            <v>YR193-IR-SA</v>
          </cell>
          <cell r="D1107" t="str">
            <v>YR193-IR-S</v>
          </cell>
          <cell r="E1107">
            <v>899</v>
          </cell>
          <cell r="F1107" t="str">
            <v>mm</v>
          </cell>
          <cell r="G1107" t="str">
            <v>Mitsubishi Chemical</v>
          </cell>
        </row>
        <row r="1108">
          <cell r="C1108" t="str">
            <v>YR173-ULA1A</v>
          </cell>
          <cell r="D1108" t="str">
            <v>YR173-ULA1</v>
          </cell>
          <cell r="E1108">
            <v>1020</v>
          </cell>
          <cell r="F1108" t="str">
            <v>mm</v>
          </cell>
          <cell r="G1108" t="str">
            <v>Mitsubishi Chemical</v>
          </cell>
        </row>
        <row r="1109">
          <cell r="C1109" t="str">
            <v>YR173-US-1A</v>
          </cell>
          <cell r="D1109" t="str">
            <v>YR173-US-1</v>
          </cell>
          <cell r="E1109">
            <v>1033</v>
          </cell>
          <cell r="F1109" t="str">
            <v>mm</v>
          </cell>
          <cell r="G1109" t="str">
            <v>Mitsubishi Chemical</v>
          </cell>
        </row>
        <row r="1110">
          <cell r="C1110" t="str">
            <v>MX992-WX-1AO</v>
          </cell>
          <cell r="D1110" t="str">
            <v>MX992-WX-1</v>
          </cell>
          <cell r="E1110">
            <v>1168</v>
          </cell>
          <cell r="F1110" t="str">
            <v>mm</v>
          </cell>
          <cell r="G1110" t="str">
            <v>Mitsubishi Chemical</v>
          </cell>
        </row>
        <row r="1111">
          <cell r="C1111" t="str">
            <v>CW129-WR-1B</v>
          </cell>
          <cell r="D1111" t="str">
            <v>CW129-WR-1</v>
          </cell>
          <cell r="E1111">
            <v>1169</v>
          </cell>
          <cell r="F1111" t="str">
            <v>mm</v>
          </cell>
          <cell r="G1111" t="str">
            <v>Mitsubishi Chemical</v>
          </cell>
        </row>
        <row r="1112">
          <cell r="C1112" t="str">
            <v>MX721-IS-5A</v>
          </cell>
          <cell r="D1112" t="str">
            <v>MX721-IS-5</v>
          </cell>
          <cell r="E1112">
            <v>965</v>
          </cell>
          <cell r="F1112" t="str">
            <v>mm</v>
          </cell>
          <cell r="G1112" t="str">
            <v>Mitsubishi Chemical</v>
          </cell>
        </row>
        <row r="1113">
          <cell r="C1113" t="str">
            <v>MX721-IS-8A</v>
          </cell>
          <cell r="D1113" t="str">
            <v>MX721-IS-8</v>
          </cell>
          <cell r="E1113">
            <v>927</v>
          </cell>
          <cell r="F1113" t="str">
            <v>mm</v>
          </cell>
          <cell r="G1113" t="str">
            <v>Mitsubishi Chemical</v>
          </cell>
        </row>
        <row r="1114">
          <cell r="C1114" t="str">
            <v>MX730-IS-9A</v>
          </cell>
          <cell r="D1114" t="str">
            <v>MX730-IS-9</v>
          </cell>
          <cell r="E1114">
            <v>940</v>
          </cell>
          <cell r="F1114" t="str">
            <v>mm</v>
          </cell>
          <cell r="G1114" t="str">
            <v>Mitsubishi Chemical</v>
          </cell>
        </row>
        <row r="1115">
          <cell r="C1115" t="str">
            <v>MX936-WR-1AO</v>
          </cell>
          <cell r="D1115" t="str">
            <v>MX936-WR-1</v>
          </cell>
          <cell r="E1115">
            <v>1168</v>
          </cell>
          <cell r="F1115" t="str">
            <v>mm</v>
          </cell>
          <cell r="G1115" t="str">
            <v>Mitsubishi Chemical</v>
          </cell>
        </row>
        <row r="1116">
          <cell r="C1116" t="str">
            <v>MX936-WA-1AO</v>
          </cell>
          <cell r="D1116" t="str">
            <v>MX936-WA-1</v>
          </cell>
          <cell r="E1116">
            <v>1168</v>
          </cell>
          <cell r="F1116" t="str">
            <v>mm</v>
          </cell>
          <cell r="G1116" t="str">
            <v>Mitsubishi Chemical</v>
          </cell>
        </row>
        <row r="1117">
          <cell r="C1117" t="str">
            <v>SP415-IS-3A</v>
          </cell>
          <cell r="D1117" t="str">
            <v>SP415-IS-3</v>
          </cell>
          <cell r="E1117">
            <v>990</v>
          </cell>
          <cell r="F1117" t="str">
            <v>mm</v>
          </cell>
          <cell r="G1117" t="str">
            <v>Mitsubishi Chemical</v>
          </cell>
        </row>
        <row r="1118">
          <cell r="C1118" t="str">
            <v>HI005-IL-1A</v>
          </cell>
          <cell r="D1118" t="str">
            <v>HI005-IL-1</v>
          </cell>
          <cell r="E1118">
            <v>1067</v>
          </cell>
          <cell r="F1118" t="str">
            <v>mm</v>
          </cell>
          <cell r="G1118" t="str">
            <v>Mitsubishi Chemical</v>
          </cell>
        </row>
        <row r="1119">
          <cell r="C1119" t="str">
            <v>HI006-IR-3A</v>
          </cell>
          <cell r="D1119" t="str">
            <v>HI006-IR-3</v>
          </cell>
          <cell r="E1119">
            <v>1016</v>
          </cell>
          <cell r="F1119" t="str">
            <v>mm</v>
          </cell>
          <cell r="G1119" t="str">
            <v>Mitsubishi Chemical</v>
          </cell>
        </row>
        <row r="1120">
          <cell r="C1120" t="str">
            <v>CW154-WRA1B</v>
          </cell>
          <cell r="D1120" t="str">
            <v>CW154-WRA1</v>
          </cell>
          <cell r="E1120">
            <v>1169</v>
          </cell>
          <cell r="F1120" t="str">
            <v>mm</v>
          </cell>
          <cell r="G1120" t="str">
            <v>Mitsubishi Chemical</v>
          </cell>
        </row>
        <row r="1121">
          <cell r="C1121" t="str">
            <v>MX793-IR-1AO</v>
          </cell>
          <cell r="D1121" t="str">
            <v>MX793-IR-1</v>
          </cell>
          <cell r="E1121">
            <v>1067</v>
          </cell>
          <cell r="F1121" t="str">
            <v>mm</v>
          </cell>
          <cell r="G1121" t="str">
            <v>Mitsubishi Chemical</v>
          </cell>
        </row>
        <row r="1122">
          <cell r="C1122" t="str">
            <v>MX794-IX-1AO</v>
          </cell>
          <cell r="D1122" t="str">
            <v>MX794-IX-1</v>
          </cell>
          <cell r="E1122">
            <v>1067</v>
          </cell>
          <cell r="F1122" t="str">
            <v>mm</v>
          </cell>
          <cell r="G1122" t="str">
            <v>Mitsubishi Chemical</v>
          </cell>
        </row>
        <row r="1123">
          <cell r="C1123" t="str">
            <v>MX903-IX-3A</v>
          </cell>
          <cell r="D1123" t="str">
            <v>MX903-IX-3</v>
          </cell>
          <cell r="E1123">
            <v>991</v>
          </cell>
          <cell r="F1123" t="str">
            <v>mm</v>
          </cell>
          <cell r="G1123" t="str">
            <v>Mitsubishi Chemical</v>
          </cell>
        </row>
        <row r="1124">
          <cell r="C1124" t="str">
            <v>YM128-WS-1A</v>
          </cell>
          <cell r="D1124" t="str">
            <v>YM128-WS-1</v>
          </cell>
          <cell r="E1124">
            <v>1168</v>
          </cell>
          <cell r="F1124" t="str">
            <v>mm</v>
          </cell>
          <cell r="G1124" t="str">
            <v>Mitsubishi Chemical</v>
          </cell>
        </row>
        <row r="1125">
          <cell r="C1125" t="str">
            <v>CB044-WW-1A</v>
          </cell>
          <cell r="D1125" t="str">
            <v>CB044-WW-1</v>
          </cell>
          <cell r="E1125">
            <v>1143</v>
          </cell>
          <cell r="F1125" t="str">
            <v>mm</v>
          </cell>
          <cell r="G1125" t="str">
            <v>Mitsubishi Chemical</v>
          </cell>
        </row>
        <row r="1126">
          <cell r="C1126" t="str">
            <v>CB050-WR-1A</v>
          </cell>
          <cell r="D1126" t="str">
            <v>CB050-WR-1</v>
          </cell>
          <cell r="E1126">
            <v>1168</v>
          </cell>
          <cell r="F1126" t="str">
            <v>mm</v>
          </cell>
          <cell r="G1126" t="str">
            <v>Mitsubishi Chemical</v>
          </cell>
        </row>
        <row r="1127">
          <cell r="C1127" t="str">
            <v>CB050-WS-1A</v>
          </cell>
          <cell r="D1127" t="str">
            <v>CB050-WS-1</v>
          </cell>
          <cell r="E1127">
            <v>1168</v>
          </cell>
          <cell r="F1127" t="str">
            <v>mm</v>
          </cell>
          <cell r="G1127" t="str">
            <v>Mitsubishi Chemical</v>
          </cell>
        </row>
        <row r="1128">
          <cell r="C1128" t="str">
            <v>CB050-WX-1A</v>
          </cell>
          <cell r="D1128" t="str">
            <v>CB050-WX-1</v>
          </cell>
          <cell r="E1128">
            <v>1168</v>
          </cell>
          <cell r="F1128" t="str">
            <v>mm</v>
          </cell>
          <cell r="G1128" t="str">
            <v>Mitsubishi Chemical</v>
          </cell>
        </row>
        <row r="1129">
          <cell r="C1129" t="str">
            <v>CB054-WA-1A</v>
          </cell>
          <cell r="D1129" t="str">
            <v>CB054-WA-1</v>
          </cell>
          <cell r="E1129">
            <v>1168</v>
          </cell>
          <cell r="F1129" t="str">
            <v>mm</v>
          </cell>
          <cell r="G1129" t="str">
            <v>Mitsubishi Chemical</v>
          </cell>
        </row>
        <row r="1130">
          <cell r="C1130" t="str">
            <v>CW163-IR-1A</v>
          </cell>
          <cell r="D1130" t="str">
            <v>CW163-IR-1</v>
          </cell>
          <cell r="E1130">
            <v>1068</v>
          </cell>
          <cell r="F1130" t="str">
            <v>mm</v>
          </cell>
          <cell r="G1130" t="str">
            <v>Mitsubishi Chemical</v>
          </cell>
        </row>
        <row r="1131">
          <cell r="C1131" t="str">
            <v>YR161-WS-1A</v>
          </cell>
          <cell r="D1131" t="str">
            <v>YR161-WS-1</v>
          </cell>
          <cell r="E1131">
            <v>1146</v>
          </cell>
          <cell r="F1131" t="str">
            <v>mm</v>
          </cell>
          <cell r="G1131" t="str">
            <v>Mitsubishi Chemical</v>
          </cell>
        </row>
        <row r="1132">
          <cell r="C1132" t="str">
            <v>YR161-WSR1A</v>
          </cell>
          <cell r="D1132" t="str">
            <v>YR161-WSR1</v>
          </cell>
          <cell r="E1132">
            <v>1146</v>
          </cell>
          <cell r="F1132" t="str">
            <v>mm</v>
          </cell>
          <cell r="G1132" t="str">
            <v>Mitsubishi Chemical</v>
          </cell>
        </row>
        <row r="1133">
          <cell r="C1133" t="str">
            <v>XG015-WL-1C</v>
          </cell>
          <cell r="D1133" t="str">
            <v>XG015-WL-1</v>
          </cell>
          <cell r="E1133">
            <v>1168</v>
          </cell>
          <cell r="F1133" t="str">
            <v>mm</v>
          </cell>
          <cell r="G1133" t="str">
            <v>Mitsubishi Chemical</v>
          </cell>
        </row>
        <row r="1134">
          <cell r="C1134" t="str">
            <v>XG015-WS-1C</v>
          </cell>
          <cell r="D1134" t="str">
            <v>XG015-WS-1</v>
          </cell>
          <cell r="E1134">
            <v>1168</v>
          </cell>
          <cell r="F1134" t="str">
            <v>mm</v>
          </cell>
          <cell r="G1134" t="str">
            <v>Mitsubishi Chemical</v>
          </cell>
        </row>
        <row r="1135">
          <cell r="C1135" t="str">
            <v>XG016-WS-1C</v>
          </cell>
          <cell r="D1135" t="str">
            <v>XG016-WS-1</v>
          </cell>
          <cell r="E1135">
            <v>1168</v>
          </cell>
          <cell r="F1135" t="str">
            <v>mm</v>
          </cell>
          <cell r="G1135" t="str">
            <v>Mitsubishi Chemical</v>
          </cell>
        </row>
        <row r="1136">
          <cell r="C1136" t="str">
            <v>XG018-IR-1C</v>
          </cell>
          <cell r="D1136" t="str">
            <v>XG018-IR-1</v>
          </cell>
          <cell r="E1136">
            <v>1067</v>
          </cell>
          <cell r="F1136" t="str">
            <v>mm</v>
          </cell>
          <cell r="G1136" t="str">
            <v>Mitsubishi Chemical</v>
          </cell>
        </row>
        <row r="1137">
          <cell r="C1137" t="str">
            <v>XG020-IR-1C</v>
          </cell>
          <cell r="D1137" t="str">
            <v>XG020-IR-1</v>
          </cell>
          <cell r="E1137">
            <v>1067</v>
          </cell>
          <cell r="F1137" t="str">
            <v>mm</v>
          </cell>
          <cell r="G1137" t="str">
            <v>Mitsubishi Chemical</v>
          </cell>
        </row>
        <row r="1138">
          <cell r="C1138" t="str">
            <v>XG022-IS-1C</v>
          </cell>
          <cell r="D1138" t="str">
            <v>XG022-IS-1</v>
          </cell>
          <cell r="E1138">
            <v>1067</v>
          </cell>
          <cell r="F1138" t="str">
            <v>mm</v>
          </cell>
          <cell r="G1138" t="str">
            <v>Mitsubishi Chemical</v>
          </cell>
        </row>
        <row r="1139">
          <cell r="C1139" t="str">
            <v>XG049-IR-1C</v>
          </cell>
          <cell r="D1139" t="str">
            <v>XG049-IR-1</v>
          </cell>
          <cell r="E1139">
            <v>1067</v>
          </cell>
          <cell r="F1139" t="str">
            <v>mm</v>
          </cell>
          <cell r="G1139" t="str">
            <v>Mitsubishi Chemical</v>
          </cell>
        </row>
        <row r="1140">
          <cell r="C1140" t="str">
            <v>XG050-IS-1C</v>
          </cell>
          <cell r="D1140" t="str">
            <v>XG050-IS-1</v>
          </cell>
          <cell r="E1140">
            <v>1067</v>
          </cell>
          <cell r="F1140" t="str">
            <v>mm</v>
          </cell>
          <cell r="G1140" t="str">
            <v>Mitsubishi Chemical</v>
          </cell>
        </row>
        <row r="1141">
          <cell r="C1141" t="str">
            <v>MX902-IS-6A</v>
          </cell>
          <cell r="D1141" t="str">
            <v>MX902-IS-6</v>
          </cell>
          <cell r="E1141">
            <v>953</v>
          </cell>
          <cell r="F1141" t="str">
            <v>mm</v>
          </cell>
          <cell r="G1141" t="str">
            <v>Mitsubishi Chemical</v>
          </cell>
        </row>
        <row r="1142">
          <cell r="C1142" t="str">
            <v>CB052-WS-1A</v>
          </cell>
          <cell r="D1142" t="str">
            <v>CB052-WS-1</v>
          </cell>
          <cell r="E1142">
            <v>1168</v>
          </cell>
          <cell r="F1142" t="str">
            <v>mm</v>
          </cell>
          <cell r="G1142" t="str">
            <v>Mitsubishi Chemical</v>
          </cell>
        </row>
        <row r="1143">
          <cell r="C1143" t="str">
            <v>CB052-WX-1A</v>
          </cell>
          <cell r="D1143" t="str">
            <v>CB052-WX-1</v>
          </cell>
          <cell r="E1143">
            <v>1168</v>
          </cell>
          <cell r="F1143" t="str">
            <v>mm</v>
          </cell>
          <cell r="G1143" t="str">
            <v>Mitsubishi Chemical</v>
          </cell>
        </row>
        <row r="1144">
          <cell r="C1144" t="str">
            <v>CB054-WR-1A</v>
          </cell>
          <cell r="D1144" t="str">
            <v>CB054-WR-1</v>
          </cell>
          <cell r="E1144">
            <v>1168</v>
          </cell>
          <cell r="F1144" t="str">
            <v>mm</v>
          </cell>
          <cell r="G1144" t="str">
            <v>Mitsubishi Chemical</v>
          </cell>
        </row>
        <row r="1145">
          <cell r="C1145" t="str">
            <v>CB054-WS-1A</v>
          </cell>
          <cell r="D1145" t="str">
            <v>CB054-WS-1</v>
          </cell>
          <cell r="E1145">
            <v>1168</v>
          </cell>
          <cell r="F1145" t="str">
            <v>mm</v>
          </cell>
          <cell r="G1145" t="str">
            <v>Mitsubishi Chemical</v>
          </cell>
        </row>
        <row r="1146">
          <cell r="C1146" t="str">
            <v>MX993-WX-1A</v>
          </cell>
          <cell r="D1146" t="str">
            <v>MX993-WX-1</v>
          </cell>
          <cell r="E1146">
            <v>1168</v>
          </cell>
          <cell r="F1146" t="str">
            <v>mm</v>
          </cell>
          <cell r="G1146" t="str">
            <v>Mitsubishi Chemical</v>
          </cell>
        </row>
        <row r="1147">
          <cell r="C1147" t="str">
            <v>MX681-ITX6A</v>
          </cell>
          <cell r="D1147" t="str">
            <v>MX681-ITX6</v>
          </cell>
          <cell r="E1147">
            <v>953</v>
          </cell>
          <cell r="F1147" t="str">
            <v>mm</v>
          </cell>
          <cell r="G1147" t="str">
            <v>Mitsubishi Chemical</v>
          </cell>
        </row>
        <row r="1148">
          <cell r="C1148" t="str">
            <v>MX681-ITX7A</v>
          </cell>
          <cell r="D1148" t="str">
            <v>MX681-ITX7</v>
          </cell>
          <cell r="E1148">
            <v>940</v>
          </cell>
          <cell r="F1148" t="str">
            <v>mm</v>
          </cell>
          <cell r="G1148" t="str">
            <v>Mitsubishi Chemical</v>
          </cell>
        </row>
        <row r="1149">
          <cell r="C1149" t="str">
            <v>MX681-ITX9A</v>
          </cell>
          <cell r="D1149" t="str">
            <v>MX681-ITX9</v>
          </cell>
          <cell r="E1149">
            <v>914</v>
          </cell>
          <cell r="F1149" t="str">
            <v>mm</v>
          </cell>
          <cell r="G1149" t="str">
            <v>Mitsubishi Chemical</v>
          </cell>
        </row>
        <row r="1150">
          <cell r="C1150" t="str">
            <v>MX726-IR-4A</v>
          </cell>
          <cell r="D1150" t="str">
            <v>MX726-IR-4</v>
          </cell>
          <cell r="E1150">
            <v>978</v>
          </cell>
          <cell r="F1150" t="str">
            <v>mm</v>
          </cell>
          <cell r="G1150" t="str">
            <v>Mitsubishi Chemical</v>
          </cell>
        </row>
        <row r="1151">
          <cell r="C1151" t="str">
            <v>MX726-IS-9A</v>
          </cell>
          <cell r="D1151" t="str">
            <v>MX726-IS-9</v>
          </cell>
          <cell r="E1151">
            <v>914</v>
          </cell>
          <cell r="F1151" t="str">
            <v>mm</v>
          </cell>
          <cell r="G1151" t="str">
            <v>Mitsubishi Chemical</v>
          </cell>
        </row>
        <row r="1152">
          <cell r="C1152" t="str">
            <v>MX730-IS-8A</v>
          </cell>
          <cell r="D1152" t="str">
            <v>MX730-IS-8</v>
          </cell>
          <cell r="E1152">
            <v>953</v>
          </cell>
          <cell r="F1152" t="str">
            <v>mm</v>
          </cell>
          <cell r="G1152" t="str">
            <v>Mitsubishi Chemical</v>
          </cell>
        </row>
        <row r="1153">
          <cell r="C1153" t="str">
            <v>MX992-WR-1A</v>
          </cell>
          <cell r="D1153" t="str">
            <v>MX992-WR-1</v>
          </cell>
          <cell r="E1153">
            <v>1168</v>
          </cell>
          <cell r="F1153" t="str">
            <v>mm</v>
          </cell>
          <cell r="G1153" t="str">
            <v>Mitsubishi Chemical</v>
          </cell>
        </row>
        <row r="1154">
          <cell r="C1154" t="str">
            <v>MX728-IA-4AO</v>
          </cell>
          <cell r="D1154" t="str">
            <v>MX728-IA-4</v>
          </cell>
          <cell r="E1154">
            <v>1003</v>
          </cell>
          <cell r="F1154" t="str">
            <v>mm</v>
          </cell>
          <cell r="G1154" t="str">
            <v>Mitsubishi Chemical</v>
          </cell>
        </row>
        <row r="1155">
          <cell r="C1155" t="str">
            <v>MX728-IA-5AO</v>
          </cell>
          <cell r="D1155" t="str">
            <v>MX728-IA-5</v>
          </cell>
          <cell r="E1155">
            <v>991</v>
          </cell>
          <cell r="F1155" t="str">
            <v>mm</v>
          </cell>
          <cell r="G1155" t="str">
            <v>Mitsubishi Chemical</v>
          </cell>
        </row>
        <row r="1156">
          <cell r="C1156" t="str">
            <v>MX728-IA-6AO</v>
          </cell>
          <cell r="D1156" t="str">
            <v>MX728-IA-6</v>
          </cell>
          <cell r="E1156">
            <v>978</v>
          </cell>
          <cell r="F1156" t="str">
            <v>mm</v>
          </cell>
          <cell r="G1156" t="str">
            <v>Mitsubishi Chemical</v>
          </cell>
        </row>
        <row r="1157">
          <cell r="C1157" t="str">
            <v>MX728-IA-7AO</v>
          </cell>
          <cell r="D1157" t="str">
            <v>MX728-IA-7</v>
          </cell>
          <cell r="E1157">
            <v>965</v>
          </cell>
          <cell r="F1157" t="str">
            <v>mm</v>
          </cell>
          <cell r="G1157" t="str">
            <v>Mitsubishi Chemical</v>
          </cell>
        </row>
        <row r="1158">
          <cell r="C1158" t="str">
            <v>MX728-IA-8AO</v>
          </cell>
          <cell r="D1158" t="str">
            <v>MX728-IA-8</v>
          </cell>
          <cell r="E1158">
            <v>953</v>
          </cell>
          <cell r="F1158" t="str">
            <v>mm</v>
          </cell>
          <cell r="G1158" t="str">
            <v>Mitsubishi Chemical</v>
          </cell>
        </row>
        <row r="1159">
          <cell r="C1159" t="str">
            <v>MX728-IA-9AO</v>
          </cell>
          <cell r="D1159" t="str">
            <v>MX728-IA-9</v>
          </cell>
          <cell r="E1159">
            <v>940</v>
          </cell>
          <cell r="F1159" t="str">
            <v>mm</v>
          </cell>
          <cell r="G1159" t="str">
            <v>Mitsubishi Chemical</v>
          </cell>
        </row>
        <row r="1160">
          <cell r="C1160" t="str">
            <v>MX728-IA-PAO</v>
          </cell>
          <cell r="D1160" t="str">
            <v>MX728-IA-P</v>
          </cell>
          <cell r="E1160">
            <v>927</v>
          </cell>
          <cell r="F1160" t="str">
            <v>mm</v>
          </cell>
          <cell r="G1160" t="str">
            <v>Mitsubishi Chemical</v>
          </cell>
        </row>
        <row r="1161">
          <cell r="C1161" t="str">
            <v>CB043-WX-1A</v>
          </cell>
          <cell r="D1161" t="str">
            <v>CB043-WX-1</v>
          </cell>
          <cell r="E1161">
            <v>1168</v>
          </cell>
          <cell r="F1161" t="str">
            <v>mm</v>
          </cell>
          <cell r="G1161" t="str">
            <v>Mitsubishi Chemical</v>
          </cell>
        </row>
        <row r="1162">
          <cell r="C1162" t="str">
            <v>XG015-WR-1C</v>
          </cell>
          <cell r="D1162" t="str">
            <v>XG015-WR-1</v>
          </cell>
          <cell r="E1162">
            <v>1168</v>
          </cell>
          <cell r="F1162" t="str">
            <v>mm</v>
          </cell>
          <cell r="G1162" t="str">
            <v>Mitsubishi Chemical</v>
          </cell>
        </row>
        <row r="1163">
          <cell r="C1163" t="str">
            <v>XG016-WR-1C</v>
          </cell>
          <cell r="D1163" t="str">
            <v>XG016-WR-1</v>
          </cell>
          <cell r="E1163">
            <v>1168</v>
          </cell>
          <cell r="F1163" t="str">
            <v>mm</v>
          </cell>
          <cell r="G1163" t="str">
            <v>Mitsubishi Chemical</v>
          </cell>
        </row>
        <row r="1164">
          <cell r="C1164" t="str">
            <v>XG018-IS-1C</v>
          </cell>
          <cell r="D1164" t="str">
            <v>XG018-IS-1</v>
          </cell>
          <cell r="E1164">
            <v>1067</v>
          </cell>
          <cell r="F1164" t="str">
            <v>mm</v>
          </cell>
          <cell r="G1164" t="str">
            <v>Mitsubishi Chemical</v>
          </cell>
        </row>
        <row r="1165">
          <cell r="C1165" t="str">
            <v>XG019-IL-1C</v>
          </cell>
          <cell r="D1165" t="str">
            <v>XG019-IL-1</v>
          </cell>
          <cell r="E1165">
            <v>1067</v>
          </cell>
          <cell r="F1165" t="str">
            <v>mm</v>
          </cell>
          <cell r="G1165" t="str">
            <v>Mitsubishi Chemical</v>
          </cell>
        </row>
        <row r="1166">
          <cell r="C1166" t="str">
            <v>XG021-IS-1C</v>
          </cell>
          <cell r="D1166" t="str">
            <v>XG021-IS-1</v>
          </cell>
          <cell r="E1166">
            <v>1067</v>
          </cell>
          <cell r="F1166" t="str">
            <v>mm</v>
          </cell>
          <cell r="G1166" t="str">
            <v>Mitsubishi Chemical</v>
          </cell>
        </row>
        <row r="1167">
          <cell r="C1167" t="str">
            <v>XG020-IS-1C</v>
          </cell>
          <cell r="D1167" t="str">
            <v>XG020-IS-1</v>
          </cell>
          <cell r="E1167">
            <v>1067</v>
          </cell>
          <cell r="F1167" t="str">
            <v>mm</v>
          </cell>
          <cell r="G1167" t="str">
            <v>Mitsubishi Chemical</v>
          </cell>
        </row>
        <row r="1168">
          <cell r="C1168" t="str">
            <v>XG051-IS-1C</v>
          </cell>
          <cell r="D1168" t="str">
            <v>XG051-IS-1</v>
          </cell>
          <cell r="E1168">
            <v>1067</v>
          </cell>
          <cell r="F1168" t="str">
            <v>mm</v>
          </cell>
          <cell r="G1168" t="str">
            <v>Mitsubishi Chemical</v>
          </cell>
        </row>
        <row r="1169">
          <cell r="C1169" t="str">
            <v>XG004-IA-1A</v>
          </cell>
          <cell r="D1169" t="str">
            <v>XG004-IA-1</v>
          </cell>
          <cell r="E1169">
            <v>1067</v>
          </cell>
          <cell r="F1169" t="str">
            <v>mm</v>
          </cell>
          <cell r="G1169" t="str">
            <v>Mitsubishi Chemical</v>
          </cell>
        </row>
        <row r="1170">
          <cell r="C1170" t="str">
            <v>MX945-UR-1A</v>
          </cell>
          <cell r="D1170" t="str">
            <v>MX945-UR-1</v>
          </cell>
          <cell r="E1170">
            <v>1067</v>
          </cell>
          <cell r="F1170" t="str">
            <v>mm</v>
          </cell>
          <cell r="G1170" t="str">
            <v>Mitsubishi Chemical</v>
          </cell>
        </row>
        <row r="1171">
          <cell r="C1171" t="str">
            <v>MX945-UX-1A</v>
          </cell>
          <cell r="D1171" t="str">
            <v>MX945-UX-1</v>
          </cell>
          <cell r="E1171">
            <v>1067</v>
          </cell>
          <cell r="F1171" t="str">
            <v>mm</v>
          </cell>
          <cell r="G1171" t="str">
            <v>Mitsubishi Chemical</v>
          </cell>
        </row>
        <row r="1172">
          <cell r="C1172" t="str">
            <v>MX966-UR-1A</v>
          </cell>
          <cell r="D1172" t="str">
            <v>MX966-UR-1</v>
          </cell>
          <cell r="E1172">
            <v>1067</v>
          </cell>
          <cell r="F1172" t="str">
            <v>mm</v>
          </cell>
          <cell r="G1172" t="str">
            <v>Mitsubishi Chemical</v>
          </cell>
        </row>
        <row r="1173">
          <cell r="C1173" t="str">
            <v>MX945-WR-3A</v>
          </cell>
          <cell r="D1173" t="str">
            <v>MX945-WR-3</v>
          </cell>
          <cell r="E1173">
            <v>1092</v>
          </cell>
          <cell r="F1173" t="str">
            <v>mm</v>
          </cell>
          <cell r="G1173" t="str">
            <v>Mitsubishi Chemical</v>
          </cell>
        </row>
        <row r="1174">
          <cell r="C1174" t="str">
            <v>AX184-WS-3PA</v>
          </cell>
          <cell r="D1174" t="str">
            <v>AX184-WS-3</v>
          </cell>
          <cell r="E1174">
            <v>1105</v>
          </cell>
          <cell r="F1174" t="str">
            <v>mm</v>
          </cell>
          <cell r="G1174" t="str">
            <v>Aldila</v>
          </cell>
        </row>
        <row r="1175">
          <cell r="C1175" t="str">
            <v>SF268-IS-7A</v>
          </cell>
          <cell r="D1175" t="str">
            <v>SF268-IS-7</v>
          </cell>
          <cell r="E1175">
            <v>940</v>
          </cell>
          <cell r="F1175" t="str">
            <v>mm</v>
          </cell>
          <cell r="G1175" t="str">
            <v>Mitsubishi Chemical</v>
          </cell>
        </row>
        <row r="1176">
          <cell r="C1176" t="str">
            <v>XG018-IL-1C</v>
          </cell>
          <cell r="D1176" t="str">
            <v>XG018-IL-1</v>
          </cell>
          <cell r="E1176">
            <v>1067</v>
          </cell>
          <cell r="F1176" t="str">
            <v>mm</v>
          </cell>
          <cell r="G1176" t="str">
            <v>Mitsubishi Chemical</v>
          </cell>
        </row>
        <row r="1177">
          <cell r="C1177" t="str">
            <v>MX945-IX-PA</v>
          </cell>
          <cell r="D1177" t="str">
            <v>MX945-IX-P</v>
          </cell>
          <cell r="E1177">
            <v>912</v>
          </cell>
          <cell r="F1177" t="str">
            <v>mm</v>
          </cell>
          <cell r="G1177" t="str">
            <v>Mitsubishi Chemical</v>
          </cell>
        </row>
        <row r="1178">
          <cell r="C1178" t="str">
            <v>SF283-WX-1B</v>
          </cell>
          <cell r="D1178" t="str">
            <v>SF283-WX-1</v>
          </cell>
          <cell r="E1178">
            <v>1130</v>
          </cell>
          <cell r="F1178" t="str">
            <v>mm</v>
          </cell>
          <cell r="G1178" t="str">
            <v>Mitsubishi Chemical</v>
          </cell>
        </row>
        <row r="1179">
          <cell r="C1179" t="str">
            <v>MZ051-ITX3A</v>
          </cell>
          <cell r="D1179" t="str">
            <v>MZ051-ITX3</v>
          </cell>
          <cell r="E1179">
            <v>991</v>
          </cell>
          <cell r="F1179" t="str">
            <v>mm</v>
          </cell>
          <cell r="G1179" t="str">
            <v>Mitsubishi Chemical</v>
          </cell>
        </row>
        <row r="1180">
          <cell r="C1180" t="str">
            <v>MZ051-ITX9A</v>
          </cell>
          <cell r="D1180" t="str">
            <v>MZ051-ITX9</v>
          </cell>
          <cell r="E1180">
            <v>914</v>
          </cell>
          <cell r="F1180" t="str">
            <v>mm</v>
          </cell>
          <cell r="G1180" t="str">
            <v>Mitsubishi Chemical</v>
          </cell>
        </row>
        <row r="1181">
          <cell r="C1181" t="str">
            <v>CB053-WS-1A</v>
          </cell>
          <cell r="D1181" t="str">
            <v>CB053-WS-1</v>
          </cell>
          <cell r="E1181">
            <v>1168</v>
          </cell>
          <cell r="F1181" t="str">
            <v>mm</v>
          </cell>
          <cell r="G1181" t="str">
            <v>Mitsubishi Chemical</v>
          </cell>
        </row>
        <row r="1182">
          <cell r="C1182" t="str">
            <v>MX836-WS-1AO</v>
          </cell>
          <cell r="D1182" t="str">
            <v>MX836-WS-1</v>
          </cell>
          <cell r="E1182">
            <v>1168</v>
          </cell>
          <cell r="F1182" t="str">
            <v>mm</v>
          </cell>
          <cell r="G1182" t="str">
            <v>Mitsubishi Chemical</v>
          </cell>
        </row>
        <row r="1183">
          <cell r="C1183" t="str">
            <v>SP416-IR-4A</v>
          </cell>
          <cell r="D1183" t="str">
            <v>SP416-IR-4</v>
          </cell>
          <cell r="E1183">
            <v>980</v>
          </cell>
          <cell r="F1183" t="str">
            <v>mm</v>
          </cell>
          <cell r="G1183" t="str">
            <v>Mitsubishi Chemical</v>
          </cell>
        </row>
        <row r="1184">
          <cell r="C1184" t="str">
            <v>SP397-IR-3C</v>
          </cell>
          <cell r="D1184" t="str">
            <v>SP397-IR-3</v>
          </cell>
          <cell r="E1184">
            <v>990</v>
          </cell>
          <cell r="F1184" t="str">
            <v>mm</v>
          </cell>
          <cell r="G1184" t="str">
            <v>Mitsubishi Chemical</v>
          </cell>
        </row>
        <row r="1185">
          <cell r="C1185" t="str">
            <v>SP397-UR-1C</v>
          </cell>
          <cell r="D1185" t="str">
            <v>SP397-UR-1</v>
          </cell>
          <cell r="E1185">
            <v>1040</v>
          </cell>
          <cell r="F1185" t="str">
            <v>mm</v>
          </cell>
          <cell r="G1185" t="str">
            <v>Mitsubishi Chemical</v>
          </cell>
        </row>
        <row r="1186">
          <cell r="C1186" t="str">
            <v>SP397-US-1C</v>
          </cell>
          <cell r="D1186" t="str">
            <v>SP397-US-1</v>
          </cell>
          <cell r="E1186">
            <v>1040</v>
          </cell>
          <cell r="F1186" t="str">
            <v>mm</v>
          </cell>
          <cell r="G1186" t="str">
            <v>Mitsubishi Chemical</v>
          </cell>
        </row>
        <row r="1187">
          <cell r="C1187" t="str">
            <v>SP397-WR-1C</v>
          </cell>
          <cell r="D1187" t="str">
            <v>SP397-WR-1</v>
          </cell>
          <cell r="E1187">
            <v>1170</v>
          </cell>
          <cell r="F1187" t="str">
            <v>mm</v>
          </cell>
          <cell r="G1187" t="str">
            <v>Mitsubishi Chemical</v>
          </cell>
        </row>
        <row r="1188">
          <cell r="C1188" t="str">
            <v>SP397-WS-1C</v>
          </cell>
          <cell r="D1188" t="str">
            <v>SP397-WS-1</v>
          </cell>
          <cell r="E1188">
            <v>1170</v>
          </cell>
          <cell r="F1188" t="str">
            <v>mm</v>
          </cell>
          <cell r="G1188" t="str">
            <v>Mitsubishi Chemical</v>
          </cell>
        </row>
        <row r="1189">
          <cell r="C1189" t="str">
            <v>MX902-IR-4A</v>
          </cell>
          <cell r="D1189" t="str">
            <v>MX902-IR-4</v>
          </cell>
          <cell r="E1189">
            <v>978</v>
          </cell>
          <cell r="F1189" t="str">
            <v>mm</v>
          </cell>
          <cell r="G1189" t="str">
            <v>Mitsubishi Chemical</v>
          </cell>
        </row>
        <row r="1190">
          <cell r="C1190" t="str">
            <v>CW151-WA-3A</v>
          </cell>
          <cell r="D1190" t="str">
            <v>CW151-WA-3</v>
          </cell>
          <cell r="E1190">
            <v>1119</v>
          </cell>
          <cell r="F1190" t="str">
            <v>mm</v>
          </cell>
          <cell r="G1190" t="str">
            <v>Mitsubishi Chemical</v>
          </cell>
        </row>
        <row r="1191">
          <cell r="C1191" t="str">
            <v>AX141-IS-3AB</v>
          </cell>
          <cell r="D1191" t="str">
            <v>AX141-IS-3</v>
          </cell>
          <cell r="E1191">
            <v>1016</v>
          </cell>
          <cell r="F1191" t="str">
            <v>mm</v>
          </cell>
          <cell r="G1191" t="str">
            <v>Aldila</v>
          </cell>
        </row>
        <row r="1192">
          <cell r="C1192" t="str">
            <v>MX992-WX-1A</v>
          </cell>
          <cell r="D1192" t="str">
            <v>MX992-WX-1</v>
          </cell>
          <cell r="E1192">
            <v>1168</v>
          </cell>
          <cell r="F1192" t="str">
            <v>mm</v>
          </cell>
          <cell r="G1192" t="str">
            <v>Mitsubishi Chemical</v>
          </cell>
        </row>
        <row r="1193">
          <cell r="C1193" t="str">
            <v>SF240-IR-3A</v>
          </cell>
          <cell r="D1193" t="str">
            <v>SF240-IR-3</v>
          </cell>
          <cell r="E1193">
            <v>1016</v>
          </cell>
          <cell r="F1193" t="str">
            <v>mm</v>
          </cell>
          <cell r="G1193" t="str">
            <v>Mitsubishi Chemical</v>
          </cell>
        </row>
        <row r="1194">
          <cell r="C1194" t="str">
            <v>SF254-IS-1C</v>
          </cell>
          <cell r="D1194" t="str">
            <v>SF254-IS-1</v>
          </cell>
          <cell r="E1194">
            <v>1054</v>
          </cell>
          <cell r="F1194" t="str">
            <v>mm</v>
          </cell>
          <cell r="G1194" t="str">
            <v>Mitsubishi Chemical</v>
          </cell>
        </row>
        <row r="1195">
          <cell r="C1195" t="str">
            <v>MX902-IS-8A</v>
          </cell>
          <cell r="D1195" t="str">
            <v>MX902-IS-8</v>
          </cell>
          <cell r="E1195">
            <v>927</v>
          </cell>
          <cell r="F1195" t="str">
            <v>mm</v>
          </cell>
          <cell r="G1195" t="str">
            <v>Mitsubishi Chemical</v>
          </cell>
        </row>
        <row r="1196">
          <cell r="C1196" t="str">
            <v>MX902-IS-9A</v>
          </cell>
          <cell r="D1196" t="str">
            <v>MX902-IS-9</v>
          </cell>
          <cell r="E1196">
            <v>914</v>
          </cell>
          <cell r="F1196" t="str">
            <v>mm</v>
          </cell>
          <cell r="G1196" t="str">
            <v>Mitsubishi Chemical</v>
          </cell>
        </row>
        <row r="1197">
          <cell r="C1197" t="str">
            <v>MX669-IS-PA</v>
          </cell>
          <cell r="D1197" t="str">
            <v>MX669-IS-P</v>
          </cell>
          <cell r="E1197">
            <v>902</v>
          </cell>
          <cell r="F1197" t="str">
            <v>mm</v>
          </cell>
          <cell r="G1197" t="str">
            <v>Mitsubishi Chemical</v>
          </cell>
        </row>
        <row r="1198">
          <cell r="C1198" t="str">
            <v>MX726-IS-5A</v>
          </cell>
          <cell r="D1198" t="str">
            <v>MX726-IS-5</v>
          </cell>
          <cell r="E1198">
            <v>965</v>
          </cell>
          <cell r="F1198" t="str">
            <v>mm</v>
          </cell>
          <cell r="G1198" t="str">
            <v>Mitsubishi Chemical</v>
          </cell>
        </row>
        <row r="1199">
          <cell r="C1199" t="str">
            <v>MX726-IS-6A</v>
          </cell>
          <cell r="D1199" t="str">
            <v>MX726-IS-6</v>
          </cell>
          <cell r="E1199">
            <v>953</v>
          </cell>
          <cell r="F1199" t="str">
            <v>mm</v>
          </cell>
          <cell r="G1199" t="str">
            <v>Mitsubishi Chemical</v>
          </cell>
        </row>
        <row r="1200">
          <cell r="C1200" t="str">
            <v>MX726-IS-8A</v>
          </cell>
          <cell r="D1200" t="str">
            <v>MX726-IS-8</v>
          </cell>
          <cell r="E1200">
            <v>927</v>
          </cell>
          <cell r="F1200" t="str">
            <v>mm</v>
          </cell>
          <cell r="G1200" t="str">
            <v>Mitsubishi Chemical</v>
          </cell>
        </row>
        <row r="1201">
          <cell r="C1201" t="str">
            <v>MX730-IS-5A</v>
          </cell>
          <cell r="D1201" t="str">
            <v>MX730-IS-5</v>
          </cell>
          <cell r="E1201">
            <v>991</v>
          </cell>
          <cell r="F1201" t="str">
            <v>mm</v>
          </cell>
          <cell r="G1201" t="str">
            <v>Mitsubishi Chemical</v>
          </cell>
        </row>
        <row r="1202">
          <cell r="C1202" t="str">
            <v>MX945-IR-7A</v>
          </cell>
          <cell r="D1202" t="str">
            <v>MX945-IR-7</v>
          </cell>
          <cell r="E1202">
            <v>953</v>
          </cell>
          <cell r="F1202" t="str">
            <v>mm</v>
          </cell>
          <cell r="G1202" t="str">
            <v>Mitsubishi Chemical</v>
          </cell>
        </row>
        <row r="1203">
          <cell r="C1203" t="str">
            <v>MX681-ITX5A</v>
          </cell>
          <cell r="D1203" t="str">
            <v>MX681-ITX5</v>
          </cell>
          <cell r="E1203">
            <v>965</v>
          </cell>
          <cell r="F1203" t="str">
            <v>mm</v>
          </cell>
          <cell r="G1203" t="str">
            <v>Mitsubishi Chemical</v>
          </cell>
        </row>
        <row r="1204">
          <cell r="C1204" t="str">
            <v>MX949-WTX1A</v>
          </cell>
          <cell r="D1204" t="str">
            <v>MX949-WTX1</v>
          </cell>
          <cell r="E1204">
            <v>1168</v>
          </cell>
          <cell r="F1204" t="str">
            <v>mm</v>
          </cell>
          <cell r="G1204" t="str">
            <v>Mitsubishi Chemical</v>
          </cell>
        </row>
        <row r="1205">
          <cell r="C1205" t="str">
            <v>MX792-IR-1A</v>
          </cell>
          <cell r="D1205" t="str">
            <v>MX792-IR-1</v>
          </cell>
          <cell r="E1205">
            <v>1067</v>
          </cell>
          <cell r="F1205" t="str">
            <v>mm</v>
          </cell>
          <cell r="G1205" t="str">
            <v>Mitsubishi Chemical</v>
          </cell>
        </row>
        <row r="1206">
          <cell r="C1206" t="str">
            <v>MX944-IX-PA</v>
          </cell>
          <cell r="D1206" t="str">
            <v>MX944-IX-P</v>
          </cell>
          <cell r="E1206">
            <v>912</v>
          </cell>
          <cell r="F1206" t="str">
            <v>mm</v>
          </cell>
          <cell r="G1206" t="str">
            <v>Mitsubishi Chemical</v>
          </cell>
        </row>
        <row r="1207">
          <cell r="C1207" t="str">
            <v>MX946-WA-1A</v>
          </cell>
          <cell r="D1207" t="str">
            <v>MX946-WA-1</v>
          </cell>
          <cell r="E1207">
            <v>1168</v>
          </cell>
          <cell r="F1207" t="str">
            <v>mm</v>
          </cell>
          <cell r="G1207" t="str">
            <v>Mitsubishi Chemical</v>
          </cell>
        </row>
        <row r="1208">
          <cell r="C1208" t="str">
            <v>MX947-WS-1A</v>
          </cell>
          <cell r="D1208" t="str">
            <v>MX947-WS-1</v>
          </cell>
          <cell r="E1208">
            <v>1168</v>
          </cell>
          <cell r="F1208" t="str">
            <v>mm</v>
          </cell>
          <cell r="G1208" t="str">
            <v>Mitsubishi Chemical</v>
          </cell>
        </row>
        <row r="1209">
          <cell r="C1209" t="str">
            <v>MX948-WX-1A</v>
          </cell>
          <cell r="D1209" t="str">
            <v>MX948-WX-1</v>
          </cell>
          <cell r="E1209">
            <v>1168</v>
          </cell>
          <cell r="F1209" t="str">
            <v>mm</v>
          </cell>
          <cell r="G1209" t="str">
            <v>Mitsubishi Chemical</v>
          </cell>
        </row>
        <row r="1210">
          <cell r="C1210" t="str">
            <v>MX949-WS-1A</v>
          </cell>
          <cell r="D1210" t="str">
            <v>MX949-WS-1</v>
          </cell>
          <cell r="E1210">
            <v>1168</v>
          </cell>
          <cell r="F1210" t="str">
            <v>mm</v>
          </cell>
          <cell r="G1210" t="str">
            <v>Mitsubishi Chemical</v>
          </cell>
        </row>
        <row r="1211">
          <cell r="C1211" t="str">
            <v>MX949-WX-1A</v>
          </cell>
          <cell r="D1211" t="str">
            <v>MX949-WX-1</v>
          </cell>
          <cell r="E1211">
            <v>1168</v>
          </cell>
          <cell r="F1211" t="str">
            <v>mm</v>
          </cell>
          <cell r="G1211" t="str">
            <v>Mitsubishi Chemical</v>
          </cell>
        </row>
        <row r="1212">
          <cell r="C1212" t="str">
            <v>MX955-WX-1A</v>
          </cell>
          <cell r="D1212" t="str">
            <v>MX955-WX-1</v>
          </cell>
          <cell r="E1212">
            <v>1168</v>
          </cell>
          <cell r="F1212" t="str">
            <v>mm</v>
          </cell>
          <cell r="G1212" t="str">
            <v>Mitsubishi Chemical</v>
          </cell>
        </row>
        <row r="1213">
          <cell r="C1213" t="str">
            <v>CB051-WS-1A</v>
          </cell>
          <cell r="D1213" t="str">
            <v>CB051-WS-1</v>
          </cell>
          <cell r="E1213">
            <v>1168</v>
          </cell>
          <cell r="F1213" t="str">
            <v>mm</v>
          </cell>
          <cell r="G1213" t="str">
            <v>Mitsubishi Chemical</v>
          </cell>
        </row>
        <row r="1214">
          <cell r="C1214" t="str">
            <v>CB051-WX-1A</v>
          </cell>
          <cell r="D1214" t="str">
            <v>CB051-WX-1</v>
          </cell>
          <cell r="E1214">
            <v>1168</v>
          </cell>
          <cell r="F1214" t="str">
            <v>mm</v>
          </cell>
          <cell r="G1214" t="str">
            <v>Mitsubishi Chemical</v>
          </cell>
        </row>
        <row r="1215">
          <cell r="C1215" t="str">
            <v>CB053-WX-1A</v>
          </cell>
          <cell r="D1215" t="str">
            <v>CB053-WX-1</v>
          </cell>
          <cell r="E1215">
            <v>1168</v>
          </cell>
          <cell r="F1215" t="str">
            <v>mm</v>
          </cell>
          <cell r="G1215" t="str">
            <v>Mitsubishi Chemical</v>
          </cell>
        </row>
        <row r="1216">
          <cell r="C1216" t="str">
            <v>HI001-WL-1A</v>
          </cell>
          <cell r="D1216" t="str">
            <v>HI001-WL-1</v>
          </cell>
          <cell r="E1216">
            <v>1168</v>
          </cell>
          <cell r="F1216" t="str">
            <v>mm</v>
          </cell>
          <cell r="G1216" t="str">
            <v>Mitsubishi Chemical</v>
          </cell>
        </row>
        <row r="1217">
          <cell r="C1217" t="str">
            <v>HI001-WR-1A</v>
          </cell>
          <cell r="D1217" t="str">
            <v>HI001-WR-1</v>
          </cell>
          <cell r="E1217">
            <v>1168</v>
          </cell>
          <cell r="F1217" t="str">
            <v>mm</v>
          </cell>
          <cell r="G1217" t="str">
            <v>Mitsubishi Chemical</v>
          </cell>
        </row>
        <row r="1218">
          <cell r="C1218" t="str">
            <v>HI002-WS-1A</v>
          </cell>
          <cell r="D1218" t="str">
            <v>HI002-WS-1</v>
          </cell>
          <cell r="E1218">
            <v>1168</v>
          </cell>
          <cell r="F1218" t="str">
            <v>mm</v>
          </cell>
          <cell r="G1218" t="str">
            <v>Mitsubishi Chemical</v>
          </cell>
        </row>
        <row r="1219">
          <cell r="C1219" t="str">
            <v>HI005-IR-1A</v>
          </cell>
          <cell r="D1219" t="str">
            <v>HI005-IR-1</v>
          </cell>
          <cell r="E1219">
            <v>1067</v>
          </cell>
          <cell r="F1219" t="str">
            <v>mm</v>
          </cell>
          <cell r="G1219" t="str">
            <v>Mitsubishi Chemical</v>
          </cell>
        </row>
        <row r="1220">
          <cell r="C1220" t="str">
            <v>MX948-WX-1AO</v>
          </cell>
          <cell r="D1220" t="str">
            <v>MX948-WX-1</v>
          </cell>
          <cell r="E1220">
            <v>1168</v>
          </cell>
          <cell r="F1220" t="str">
            <v>mm</v>
          </cell>
          <cell r="G1220" t="str">
            <v>Mitsubishi Chemical</v>
          </cell>
        </row>
        <row r="1221">
          <cell r="C1221" t="str">
            <v>MX954-WX-1AO</v>
          </cell>
          <cell r="D1221" t="str">
            <v>MX954-WX-1</v>
          </cell>
          <cell r="E1221">
            <v>1168</v>
          </cell>
          <cell r="F1221" t="str">
            <v>mm</v>
          </cell>
          <cell r="G1221" t="str">
            <v>Mitsubishi Chemical</v>
          </cell>
        </row>
        <row r="1222">
          <cell r="C1222" t="str">
            <v>MX960-WX-1AO</v>
          </cell>
          <cell r="D1222" t="str">
            <v>MX960-WX-1</v>
          </cell>
          <cell r="E1222">
            <v>1168</v>
          </cell>
          <cell r="F1222" t="str">
            <v>mm</v>
          </cell>
          <cell r="G1222" t="str">
            <v>Mitsubishi Chemical</v>
          </cell>
        </row>
        <row r="1223">
          <cell r="C1223" t="str">
            <v>MX955-WX-1AO</v>
          </cell>
          <cell r="D1223" t="str">
            <v>MX955-WX-1</v>
          </cell>
          <cell r="E1223">
            <v>1168</v>
          </cell>
          <cell r="F1223" t="str">
            <v>mm</v>
          </cell>
          <cell r="G1223" t="str">
            <v>Mitsubishi Chemical</v>
          </cell>
        </row>
        <row r="1224">
          <cell r="C1224" t="str">
            <v>MX949-WX-1AO</v>
          </cell>
          <cell r="D1224" t="str">
            <v>MX949-WX-1</v>
          </cell>
          <cell r="E1224">
            <v>1168</v>
          </cell>
          <cell r="F1224" t="str">
            <v>mm</v>
          </cell>
          <cell r="G1224" t="str">
            <v>Mitsubishi Chemical</v>
          </cell>
        </row>
        <row r="1225">
          <cell r="C1225" t="str">
            <v>MX955-WTX1AO</v>
          </cell>
          <cell r="D1225" t="str">
            <v>MX955-WTX1</v>
          </cell>
          <cell r="E1225">
            <v>1168</v>
          </cell>
          <cell r="F1225" t="str">
            <v>mm</v>
          </cell>
          <cell r="G1225" t="str">
            <v>Mitsubishi Chemical</v>
          </cell>
        </row>
        <row r="1226">
          <cell r="C1226" t="str">
            <v>CW158-IR-2B</v>
          </cell>
          <cell r="D1226" t="str">
            <v>CW158-IR-2</v>
          </cell>
          <cell r="E1226">
            <v>1042</v>
          </cell>
          <cell r="F1226" t="str">
            <v>mm</v>
          </cell>
          <cell r="G1226" t="str">
            <v>Mitsubishi Chemical</v>
          </cell>
        </row>
        <row r="1227">
          <cell r="C1227" t="str">
            <v>TLVZWR60AZBA</v>
          </cell>
          <cell r="D1227" t="str">
            <v>TLVZWR60AZ</v>
          </cell>
          <cell r="E1227">
            <v>1168</v>
          </cell>
          <cell r="F1227" t="str">
            <v>mm</v>
          </cell>
          <cell r="G1227" t="str">
            <v>Mitsubishi Chemical</v>
          </cell>
        </row>
        <row r="1228">
          <cell r="C1228" t="str">
            <v>MR126-ISR9B</v>
          </cell>
          <cell r="D1228" t="str">
            <v>MR126-ISR9</v>
          </cell>
          <cell r="E1228">
            <v>953</v>
          </cell>
          <cell r="F1228" t="str">
            <v>mm</v>
          </cell>
          <cell r="G1228" t="str">
            <v>Mitsubishi Chemical</v>
          </cell>
        </row>
        <row r="1229">
          <cell r="C1229" t="str">
            <v>MR126-USR3B</v>
          </cell>
          <cell r="D1229" t="str">
            <v>MR126-USR3</v>
          </cell>
          <cell r="E1229">
            <v>1092</v>
          </cell>
          <cell r="F1229" t="str">
            <v>mm</v>
          </cell>
          <cell r="G1229" t="str">
            <v>Mitsubishi Chemical</v>
          </cell>
        </row>
        <row r="1230">
          <cell r="C1230" t="str">
            <v>MR126-WR-3A</v>
          </cell>
          <cell r="D1230" t="str">
            <v>MR126-WR-3</v>
          </cell>
          <cell r="E1230">
            <v>1118</v>
          </cell>
          <cell r="F1230" t="str">
            <v>mm</v>
          </cell>
          <cell r="G1230" t="str">
            <v>Mitsubishi Chemical</v>
          </cell>
        </row>
        <row r="1231">
          <cell r="C1231" t="str">
            <v>MR126-WSR3B</v>
          </cell>
          <cell r="D1231" t="str">
            <v>MR126-WSR3</v>
          </cell>
          <cell r="E1231">
            <v>1118</v>
          </cell>
          <cell r="F1231" t="str">
            <v>mm</v>
          </cell>
          <cell r="G1231" t="str">
            <v>Mitsubishi Chemical</v>
          </cell>
        </row>
        <row r="1232">
          <cell r="C1232" t="str">
            <v>SF328-WS-1A</v>
          </cell>
          <cell r="D1232" t="str">
            <v>SF328-WS-1</v>
          </cell>
          <cell r="E1232">
            <v>1168</v>
          </cell>
          <cell r="F1232" t="str">
            <v>mm</v>
          </cell>
          <cell r="G1232" t="str">
            <v>Mitsubishi Chemical</v>
          </cell>
        </row>
        <row r="1233">
          <cell r="C1233" t="str">
            <v>SF328-WX-1A</v>
          </cell>
          <cell r="D1233" t="str">
            <v>SF328-WX-1</v>
          </cell>
          <cell r="E1233">
            <v>1168</v>
          </cell>
          <cell r="F1233" t="str">
            <v>mm</v>
          </cell>
          <cell r="G1233" t="str">
            <v>Mitsubishi Chemical</v>
          </cell>
        </row>
        <row r="1234">
          <cell r="C1234" t="str">
            <v>SF329-WS-1A</v>
          </cell>
          <cell r="D1234" t="str">
            <v>SF329-WS-1</v>
          </cell>
          <cell r="E1234">
            <v>1168</v>
          </cell>
          <cell r="F1234" t="str">
            <v>mm</v>
          </cell>
          <cell r="G1234" t="str">
            <v>Mitsubishi Chemical</v>
          </cell>
        </row>
        <row r="1235">
          <cell r="C1235" t="str">
            <v>SF329-WX-1A</v>
          </cell>
          <cell r="D1235" t="str">
            <v>SF329-WX-1</v>
          </cell>
          <cell r="E1235">
            <v>1168</v>
          </cell>
          <cell r="F1235" t="str">
            <v>mm</v>
          </cell>
          <cell r="G1235" t="str">
            <v>Mitsubishi Chemical</v>
          </cell>
        </row>
        <row r="1236">
          <cell r="C1236" t="str">
            <v>SF330-WS-1A</v>
          </cell>
          <cell r="D1236" t="str">
            <v>SF330-WS-1</v>
          </cell>
          <cell r="E1236">
            <v>1168</v>
          </cell>
          <cell r="F1236" t="str">
            <v>mm</v>
          </cell>
          <cell r="G1236" t="str">
            <v>Mitsubishi Chemical</v>
          </cell>
        </row>
        <row r="1237">
          <cell r="C1237" t="str">
            <v>SF332-WA-1A</v>
          </cell>
          <cell r="D1237" t="str">
            <v>SF332-WA-1</v>
          </cell>
          <cell r="E1237">
            <v>1168</v>
          </cell>
          <cell r="F1237" t="str">
            <v>mm</v>
          </cell>
          <cell r="G1237" t="str">
            <v>Mitsubishi Chemical</v>
          </cell>
        </row>
        <row r="1238">
          <cell r="C1238" t="str">
            <v>SF332-WA-1B</v>
          </cell>
          <cell r="D1238" t="str">
            <v>SF332-WA-1</v>
          </cell>
          <cell r="E1238">
            <v>1168</v>
          </cell>
          <cell r="F1238" t="str">
            <v>mm</v>
          </cell>
          <cell r="G1238" t="str">
            <v>Mitsubishi Chemical</v>
          </cell>
        </row>
        <row r="1239">
          <cell r="C1239" t="str">
            <v>SF332-WL-1A</v>
          </cell>
          <cell r="D1239" t="str">
            <v>SF332-WL-1</v>
          </cell>
          <cell r="E1239">
            <v>1168</v>
          </cell>
          <cell r="F1239" t="str">
            <v>mm</v>
          </cell>
          <cell r="G1239" t="str">
            <v>Mitsubishi Chemical</v>
          </cell>
        </row>
        <row r="1240">
          <cell r="C1240" t="str">
            <v>SF332-WL-1B</v>
          </cell>
          <cell r="D1240" t="str">
            <v>SF332-WL-1</v>
          </cell>
          <cell r="E1240">
            <v>1168</v>
          </cell>
          <cell r="F1240" t="str">
            <v>mm</v>
          </cell>
          <cell r="G1240" t="str">
            <v>Mitsubishi Chemical</v>
          </cell>
        </row>
        <row r="1241">
          <cell r="C1241" t="str">
            <v>SF332-WR-1A</v>
          </cell>
          <cell r="D1241" t="str">
            <v>SF332-WR-1</v>
          </cell>
          <cell r="E1241">
            <v>1168</v>
          </cell>
          <cell r="F1241" t="str">
            <v>mm</v>
          </cell>
          <cell r="G1241" t="str">
            <v>Mitsubishi Chemical</v>
          </cell>
        </row>
        <row r="1242">
          <cell r="C1242" t="str">
            <v>SF332-WR-1B</v>
          </cell>
          <cell r="D1242" t="str">
            <v>SF332-WR-1</v>
          </cell>
          <cell r="E1242">
            <v>1168</v>
          </cell>
          <cell r="F1242" t="str">
            <v>mm</v>
          </cell>
          <cell r="G1242" t="str">
            <v>Mitsubishi Chemical</v>
          </cell>
        </row>
        <row r="1243">
          <cell r="C1243" t="str">
            <v>SF332-WS-1A</v>
          </cell>
          <cell r="D1243" t="str">
            <v>SF332-WS-1</v>
          </cell>
          <cell r="E1243">
            <v>1168</v>
          </cell>
          <cell r="F1243" t="str">
            <v>mm</v>
          </cell>
          <cell r="G1243" t="str">
            <v>Mitsubishi Chemical</v>
          </cell>
        </row>
        <row r="1244">
          <cell r="C1244" t="str">
            <v>SF332-WS-1B</v>
          </cell>
          <cell r="D1244" t="str">
            <v>SF332-WS-1</v>
          </cell>
          <cell r="E1244">
            <v>1168</v>
          </cell>
          <cell r="F1244" t="str">
            <v>mm</v>
          </cell>
          <cell r="G1244" t="str">
            <v>Mitsubishi Chemical</v>
          </cell>
        </row>
        <row r="1245">
          <cell r="C1245" t="str">
            <v>SF332-WSR1A</v>
          </cell>
          <cell r="D1245" t="str">
            <v>SF332-WSR1</v>
          </cell>
          <cell r="E1245">
            <v>1168</v>
          </cell>
          <cell r="F1245" t="str">
            <v>mm</v>
          </cell>
          <cell r="G1245" t="str">
            <v>Mitsubishi Chemical</v>
          </cell>
        </row>
        <row r="1246">
          <cell r="C1246" t="str">
            <v>SF332-WSR1B</v>
          </cell>
          <cell r="D1246" t="str">
            <v>SF332-WSR1</v>
          </cell>
          <cell r="E1246">
            <v>1168</v>
          </cell>
          <cell r="F1246" t="str">
            <v>mm</v>
          </cell>
          <cell r="G1246" t="str">
            <v>Mitsubishi Chemical</v>
          </cell>
        </row>
        <row r="1247">
          <cell r="C1247" t="str">
            <v>SF333-WS-1A</v>
          </cell>
          <cell r="D1247" t="str">
            <v>SF333-WS-1</v>
          </cell>
          <cell r="E1247">
            <v>1168</v>
          </cell>
          <cell r="F1247" t="str">
            <v>mm</v>
          </cell>
          <cell r="G1247" t="str">
            <v>Mitsubishi Chemical</v>
          </cell>
        </row>
        <row r="1248">
          <cell r="C1248" t="str">
            <v>SF333-WSR1A</v>
          </cell>
          <cell r="D1248" t="str">
            <v>SF333-WSR1</v>
          </cell>
          <cell r="E1248">
            <v>1168</v>
          </cell>
          <cell r="F1248" t="str">
            <v>mm</v>
          </cell>
          <cell r="G1248" t="str">
            <v>Mitsubishi Chemical</v>
          </cell>
        </row>
        <row r="1249">
          <cell r="C1249" t="str">
            <v>SF333-WX-1A</v>
          </cell>
          <cell r="D1249" t="str">
            <v>SF333-WX-1</v>
          </cell>
          <cell r="E1249">
            <v>1168</v>
          </cell>
          <cell r="F1249" t="str">
            <v>mm</v>
          </cell>
          <cell r="G1249" t="str">
            <v>Mitsubishi Chemical</v>
          </cell>
        </row>
        <row r="1250">
          <cell r="C1250" t="str">
            <v>SF334-WS-1A</v>
          </cell>
          <cell r="D1250" t="str">
            <v>SF334-WS-1</v>
          </cell>
          <cell r="E1250">
            <v>1168</v>
          </cell>
          <cell r="F1250" t="str">
            <v>mm</v>
          </cell>
          <cell r="G1250" t="str">
            <v>Mitsubishi Chemical</v>
          </cell>
        </row>
        <row r="1251">
          <cell r="C1251" t="str">
            <v>SF334-WSR1A</v>
          </cell>
          <cell r="D1251" t="str">
            <v>SF334-WSR1</v>
          </cell>
          <cell r="E1251">
            <v>1168</v>
          </cell>
          <cell r="F1251" t="str">
            <v>mm</v>
          </cell>
          <cell r="G1251" t="str">
            <v>Mitsubishi Chemical</v>
          </cell>
        </row>
        <row r="1252">
          <cell r="C1252" t="str">
            <v>SF334-WX-1A</v>
          </cell>
          <cell r="D1252" t="str">
            <v>SF334-WX-1</v>
          </cell>
          <cell r="E1252">
            <v>1168</v>
          </cell>
          <cell r="F1252" t="str">
            <v>mm</v>
          </cell>
          <cell r="G1252" t="str">
            <v>Mitsubishi Chemical</v>
          </cell>
        </row>
        <row r="1253">
          <cell r="C1253" t="str">
            <v>SF335-WS-1A</v>
          </cell>
          <cell r="D1253" t="str">
            <v>SF335-WS-1</v>
          </cell>
          <cell r="E1253">
            <v>1168</v>
          </cell>
          <cell r="F1253" t="str">
            <v>mm</v>
          </cell>
          <cell r="G1253" t="str">
            <v>Mitsubishi Chemical</v>
          </cell>
        </row>
        <row r="1254">
          <cell r="C1254" t="str">
            <v>SF340-IA-1A</v>
          </cell>
          <cell r="D1254" t="str">
            <v>SF340-IA-1</v>
          </cell>
          <cell r="E1254">
            <v>1067</v>
          </cell>
          <cell r="F1254" t="str">
            <v>mm</v>
          </cell>
          <cell r="G1254" t="str">
            <v>Mitsubishi Chemical</v>
          </cell>
        </row>
        <row r="1255">
          <cell r="C1255" t="str">
            <v>SF340-IL-1A</v>
          </cell>
          <cell r="D1255" t="str">
            <v>SF340-IL-1</v>
          </cell>
          <cell r="E1255">
            <v>1067</v>
          </cell>
          <cell r="F1255" t="str">
            <v>mm</v>
          </cell>
          <cell r="G1255" t="str">
            <v>Mitsubishi Chemical</v>
          </cell>
        </row>
        <row r="1256">
          <cell r="C1256" t="str">
            <v>SF341-WA-1A</v>
          </cell>
          <cell r="D1256" t="str">
            <v>SF341-WA-1</v>
          </cell>
          <cell r="E1256">
            <v>1168</v>
          </cell>
          <cell r="F1256" t="str">
            <v>mm</v>
          </cell>
          <cell r="G1256" t="str">
            <v>Mitsubishi Chemical</v>
          </cell>
        </row>
        <row r="1257">
          <cell r="C1257" t="str">
            <v>SF341-WL-1A</v>
          </cell>
          <cell r="D1257" t="str">
            <v>SF341-WL-1</v>
          </cell>
          <cell r="E1257">
            <v>1168</v>
          </cell>
          <cell r="F1257" t="str">
            <v>mm</v>
          </cell>
          <cell r="G1257" t="str">
            <v>Mitsubishi Chemical</v>
          </cell>
        </row>
        <row r="1258">
          <cell r="C1258" t="str">
            <v>SF341-WR-1A</v>
          </cell>
          <cell r="D1258" t="str">
            <v>SF341-WR-1</v>
          </cell>
          <cell r="E1258">
            <v>1168</v>
          </cell>
          <cell r="F1258" t="str">
            <v>mm</v>
          </cell>
          <cell r="G1258" t="str">
            <v>Mitsubishi Chemical</v>
          </cell>
        </row>
        <row r="1259">
          <cell r="C1259" t="str">
            <v>SF313-WS-1A</v>
          </cell>
          <cell r="D1259" t="str">
            <v>SF313-WS-1</v>
          </cell>
          <cell r="E1259">
            <v>1168</v>
          </cell>
          <cell r="F1259" t="str">
            <v>mm</v>
          </cell>
          <cell r="G1259" t="str">
            <v>Mitsubishi Chemical</v>
          </cell>
        </row>
        <row r="1260">
          <cell r="C1260" t="str">
            <v>SF314-WA-1A</v>
          </cell>
          <cell r="D1260" t="str">
            <v>SF314-WA-1</v>
          </cell>
          <cell r="E1260">
            <v>1168</v>
          </cell>
          <cell r="F1260" t="str">
            <v>mm</v>
          </cell>
          <cell r="G1260" t="str">
            <v>Mitsubishi Chemical</v>
          </cell>
        </row>
        <row r="1261">
          <cell r="C1261" t="str">
            <v>SF314-WS-1A</v>
          </cell>
          <cell r="D1261" t="str">
            <v>SF314-WS-1</v>
          </cell>
          <cell r="E1261">
            <v>1168</v>
          </cell>
          <cell r="F1261" t="str">
            <v>mm</v>
          </cell>
          <cell r="G1261" t="str">
            <v>Mitsubishi Chemical</v>
          </cell>
        </row>
        <row r="1262">
          <cell r="C1262" t="str">
            <v>SF314-WX-1A</v>
          </cell>
          <cell r="D1262" t="str">
            <v>SF314-WX-1</v>
          </cell>
          <cell r="E1262">
            <v>1168</v>
          </cell>
          <cell r="F1262" t="str">
            <v>mm</v>
          </cell>
          <cell r="G1262" t="str">
            <v>Mitsubishi Chemical</v>
          </cell>
        </row>
        <row r="1263">
          <cell r="C1263" t="str">
            <v>SF325-WR-1A</v>
          </cell>
          <cell r="D1263" t="str">
            <v>SF325-WR-1</v>
          </cell>
          <cell r="E1263">
            <v>1168</v>
          </cell>
          <cell r="F1263" t="str">
            <v>mm</v>
          </cell>
          <cell r="G1263" t="str">
            <v>Mitsubishi Chemical</v>
          </cell>
        </row>
        <row r="1264">
          <cell r="C1264" t="str">
            <v>SF325-WX-1A</v>
          </cell>
          <cell r="D1264" t="str">
            <v>SF325-WX-1</v>
          </cell>
          <cell r="E1264">
            <v>1168</v>
          </cell>
          <cell r="F1264" t="str">
            <v>mm</v>
          </cell>
          <cell r="G1264" t="str">
            <v>Mitsubishi Chemical</v>
          </cell>
        </row>
        <row r="1265">
          <cell r="C1265" t="str">
            <v>LB001-IS-TA</v>
          </cell>
          <cell r="D1265" t="str">
            <v>LB001-IS-T</v>
          </cell>
          <cell r="E1265">
            <v>1168</v>
          </cell>
          <cell r="F1265" t="str">
            <v>mm</v>
          </cell>
          <cell r="G1265" t="str">
            <v>Mitsubishi Chemical</v>
          </cell>
        </row>
        <row r="1266">
          <cell r="C1266" t="str">
            <v>LB002-IS-TA</v>
          </cell>
          <cell r="D1266" t="str">
            <v>LB002-IS-T</v>
          </cell>
          <cell r="E1266">
            <v>1168</v>
          </cell>
          <cell r="F1266" t="str">
            <v>mm</v>
          </cell>
          <cell r="G1266" t="str">
            <v>Mitsubishi Chemical</v>
          </cell>
        </row>
        <row r="1267">
          <cell r="C1267" t="str">
            <v>MR126-WS-1A</v>
          </cell>
          <cell r="D1267" t="str">
            <v>MR126-WS-1</v>
          </cell>
          <cell r="E1267">
            <v>1194</v>
          </cell>
          <cell r="F1267" t="str">
            <v>mm</v>
          </cell>
          <cell r="G1267" t="str">
            <v>Mitsubishi Chemical</v>
          </cell>
        </row>
        <row r="1268">
          <cell r="C1268" t="str">
            <v>MR126-WSR1A</v>
          </cell>
          <cell r="D1268" t="str">
            <v>MR126-WSR1</v>
          </cell>
          <cell r="E1268">
            <v>1194</v>
          </cell>
          <cell r="F1268" t="str">
            <v>mm</v>
          </cell>
          <cell r="G1268" t="str">
            <v>Mitsubishi Chemical</v>
          </cell>
        </row>
        <row r="1269">
          <cell r="C1269" t="str">
            <v>MX948-WS-1AO</v>
          </cell>
          <cell r="D1269" t="str">
            <v>MX948-WS-1</v>
          </cell>
          <cell r="E1269">
            <v>1168</v>
          </cell>
          <cell r="F1269" t="str">
            <v>mm</v>
          </cell>
          <cell r="G1269" t="str">
            <v>Mitsubishi Chemical</v>
          </cell>
        </row>
        <row r="1270">
          <cell r="C1270" t="str">
            <v>CW157-IW-2A</v>
          </cell>
          <cell r="D1270" t="str">
            <v>CW157-IW-2</v>
          </cell>
          <cell r="E1270">
            <v>1003</v>
          </cell>
          <cell r="F1270" t="str">
            <v>mm</v>
          </cell>
          <cell r="G1270" t="str">
            <v>Mitsubishi Chemical</v>
          </cell>
        </row>
        <row r="1271">
          <cell r="C1271" t="str">
            <v>SF341-WA-1B</v>
          </cell>
          <cell r="D1271" t="str">
            <v>SF341-WA-1</v>
          </cell>
          <cell r="E1271">
            <v>1143</v>
          </cell>
          <cell r="F1271" t="str">
            <v>mm</v>
          </cell>
          <cell r="G1271" t="str">
            <v>Mitsubishi Chemical</v>
          </cell>
        </row>
        <row r="1272">
          <cell r="C1272" t="str">
            <v>SF341-WL-1B</v>
          </cell>
          <cell r="D1272" t="str">
            <v>SF341-WL-1</v>
          </cell>
          <cell r="E1272">
            <v>1143</v>
          </cell>
          <cell r="F1272" t="str">
            <v>mm</v>
          </cell>
          <cell r="G1272" t="str">
            <v>Mitsubishi Chemical</v>
          </cell>
        </row>
        <row r="1273">
          <cell r="C1273" t="str">
            <v>SF341-WR-1B</v>
          </cell>
          <cell r="D1273" t="str">
            <v>SF341-WR-1</v>
          </cell>
          <cell r="E1273">
            <v>1168</v>
          </cell>
          <cell r="F1273" t="str">
            <v>mm</v>
          </cell>
          <cell r="G1273" t="str">
            <v>Mitsubishi Chemical</v>
          </cell>
        </row>
        <row r="1274">
          <cell r="C1274" t="str">
            <v>SF312-WS-1A</v>
          </cell>
          <cell r="D1274" t="str">
            <v>SF312-WS-1</v>
          </cell>
          <cell r="E1274">
            <v>1168</v>
          </cell>
          <cell r="F1274" t="str">
            <v>mm</v>
          </cell>
          <cell r="G1274" t="str">
            <v>Mitsubishi Chemical</v>
          </cell>
        </row>
        <row r="1275">
          <cell r="C1275" t="str">
            <v>SF312-WX-1A</v>
          </cell>
          <cell r="D1275" t="str">
            <v>SF312-WX-1</v>
          </cell>
          <cell r="E1275">
            <v>1168</v>
          </cell>
          <cell r="F1275" t="str">
            <v>mm</v>
          </cell>
          <cell r="G1275" t="str">
            <v>Mitsubishi Chemical</v>
          </cell>
        </row>
        <row r="1276">
          <cell r="C1276" t="str">
            <v>SF327-IA-1A</v>
          </cell>
          <cell r="D1276" t="str">
            <v>SF327-IA-1</v>
          </cell>
          <cell r="E1276">
            <v>1067</v>
          </cell>
          <cell r="F1276" t="str">
            <v>mm</v>
          </cell>
          <cell r="G1276" t="str">
            <v>Mitsubishi Chemical</v>
          </cell>
        </row>
        <row r="1277">
          <cell r="C1277" t="str">
            <v>SF327-IL-1A</v>
          </cell>
          <cell r="D1277" t="str">
            <v>SF327-IL-1</v>
          </cell>
          <cell r="E1277">
            <v>1041</v>
          </cell>
          <cell r="F1277" t="str">
            <v>mm</v>
          </cell>
          <cell r="G1277" t="str">
            <v>Mitsubishi Chemical</v>
          </cell>
        </row>
        <row r="1278">
          <cell r="C1278" t="str">
            <v xml:space="preserve">CW159-IW-1C </v>
          </cell>
          <cell r="D1278" t="str">
            <v>CW159-IW-1</v>
          </cell>
          <cell r="E1278">
            <v>1041</v>
          </cell>
          <cell r="F1278" t="str">
            <v>mm</v>
          </cell>
          <cell r="G1278" t="str">
            <v>Mitsubishi Chemical</v>
          </cell>
        </row>
        <row r="1279">
          <cell r="C1279" t="str">
            <v>MR126-WR-1B</v>
          </cell>
          <cell r="D1279" t="str">
            <v>MR126-WR-1</v>
          </cell>
          <cell r="E1279">
            <v>1194</v>
          </cell>
          <cell r="F1279" t="str">
            <v>mm</v>
          </cell>
          <cell r="G1279" t="str">
            <v>Mitsubishi Chemical</v>
          </cell>
        </row>
        <row r="1280">
          <cell r="C1280" t="str">
            <v>MR126-WSR1B</v>
          </cell>
          <cell r="D1280" t="str">
            <v>MR126-WSR1</v>
          </cell>
          <cell r="E1280">
            <v>1194</v>
          </cell>
          <cell r="F1280" t="str">
            <v>mm</v>
          </cell>
          <cell r="G1280" t="str">
            <v>Mitsubishi Chemical</v>
          </cell>
        </row>
        <row r="1281">
          <cell r="C1281" t="str">
            <v>CW159-IW-1C</v>
          </cell>
          <cell r="D1281" t="str">
            <v>CW159-IW-1</v>
          </cell>
          <cell r="E1281">
            <v>1041</v>
          </cell>
          <cell r="F1281" t="str">
            <v>mm</v>
          </cell>
          <cell r="G1281" t="str">
            <v>Mitsubishi Chemical</v>
          </cell>
        </row>
        <row r="1282">
          <cell r="C1282" t="str">
            <v>MX902-IS-7A</v>
          </cell>
          <cell r="D1282" t="str">
            <v>MX902-IS-7</v>
          </cell>
          <cell r="E1282">
            <v>940</v>
          </cell>
          <cell r="F1282" t="str">
            <v>mm</v>
          </cell>
          <cell r="G1282" t="str">
            <v>Mitsubishi Chemical</v>
          </cell>
        </row>
        <row r="1283">
          <cell r="C1283" t="str">
            <v>MX902-IS-PA</v>
          </cell>
          <cell r="D1283" t="str">
            <v>MX902-IS-P</v>
          </cell>
          <cell r="E1283">
            <v>902</v>
          </cell>
          <cell r="F1283" t="str">
            <v>mm</v>
          </cell>
          <cell r="G1283" t="str">
            <v>Mitsubishi Chemical</v>
          </cell>
        </row>
        <row r="1284">
          <cell r="C1284" t="str">
            <v>MX902-IR-6A</v>
          </cell>
          <cell r="D1284" t="str">
            <v>MX902-IR-6</v>
          </cell>
          <cell r="E1284">
            <v>953</v>
          </cell>
          <cell r="F1284" t="str">
            <v>mm</v>
          </cell>
          <cell r="G1284" t="str">
            <v>Mitsubishi Chemical</v>
          </cell>
        </row>
        <row r="1285">
          <cell r="C1285" t="str">
            <v>MX902-IR-7A</v>
          </cell>
          <cell r="D1285" t="str">
            <v>MX902-IR-7</v>
          </cell>
          <cell r="E1285">
            <v>940</v>
          </cell>
          <cell r="F1285" t="str">
            <v>mm</v>
          </cell>
          <cell r="G1285" t="str">
            <v>Mitsubishi Chemical</v>
          </cell>
        </row>
        <row r="1286">
          <cell r="C1286" t="str">
            <v>MX902-IS-5A</v>
          </cell>
          <cell r="D1286" t="str">
            <v>MX902-IS-5</v>
          </cell>
          <cell r="E1286">
            <v>965</v>
          </cell>
          <cell r="F1286" t="str">
            <v>mm</v>
          </cell>
          <cell r="G1286" t="str">
            <v>Mitsubishi Chemical</v>
          </cell>
        </row>
        <row r="1287">
          <cell r="C1287" t="str">
            <v>MX902-IR-9A</v>
          </cell>
          <cell r="D1287" t="str">
            <v>MX902-IR-9</v>
          </cell>
          <cell r="E1287">
            <v>914</v>
          </cell>
          <cell r="F1287" t="str">
            <v>mm</v>
          </cell>
          <cell r="G1287" t="str">
            <v>Mitsubishi Chemical</v>
          </cell>
        </row>
        <row r="1288">
          <cell r="C1288" t="str">
            <v>MX902-IR-PA</v>
          </cell>
          <cell r="D1288" t="str">
            <v>MX902-IR-P</v>
          </cell>
          <cell r="E1288">
            <v>902</v>
          </cell>
          <cell r="F1288" t="str">
            <v>mm</v>
          </cell>
          <cell r="G1288" t="str">
            <v>Mitsubishi Chemical</v>
          </cell>
        </row>
        <row r="1289">
          <cell r="C1289" t="str">
            <v>CW180-WS-1A</v>
          </cell>
          <cell r="D1289" t="str">
            <v>CW180-WS-1</v>
          </cell>
          <cell r="E1289">
            <v>1169</v>
          </cell>
          <cell r="F1289" t="str">
            <v>mm</v>
          </cell>
          <cell r="G1289" t="str">
            <v>Mitsubishi Chemical</v>
          </cell>
        </row>
        <row r="1290">
          <cell r="C1290" t="str">
            <v>CW159-WW-1C</v>
          </cell>
          <cell r="D1290" t="str">
            <v>CW159-WW-1</v>
          </cell>
          <cell r="E1290">
            <v>1144</v>
          </cell>
          <cell r="F1290" t="str">
            <v>mm</v>
          </cell>
          <cell r="G1290" t="str">
            <v>Mitsubishi Chemical</v>
          </cell>
        </row>
        <row r="1291">
          <cell r="C1291" t="str">
            <v>AX202-WL-1EB</v>
          </cell>
          <cell r="D1291" t="str">
            <v>AX202-WL-1</v>
          </cell>
          <cell r="E1291">
            <v>1168</v>
          </cell>
          <cell r="F1291" t="str">
            <v>mm</v>
          </cell>
          <cell r="G1291" t="str">
            <v>Aldila</v>
          </cell>
        </row>
        <row r="1292">
          <cell r="C1292" t="str">
            <v>AX203-IL-1EB</v>
          </cell>
          <cell r="D1292" t="str">
            <v>AX203-IL-1</v>
          </cell>
          <cell r="E1292">
            <v>1042</v>
          </cell>
          <cell r="F1292" t="str">
            <v>mm</v>
          </cell>
          <cell r="G1292" t="str">
            <v>Aldila</v>
          </cell>
        </row>
        <row r="1293">
          <cell r="C1293" t="str">
            <v>MX954-WTX1AO</v>
          </cell>
          <cell r="D1293" t="str">
            <v>MX954-WTX1</v>
          </cell>
          <cell r="E1293">
            <v>1168</v>
          </cell>
          <cell r="F1293" t="str">
            <v>mm</v>
          </cell>
          <cell r="G1293" t="str">
            <v>Mitsubishi Chemical</v>
          </cell>
        </row>
        <row r="1294">
          <cell r="C1294" t="str">
            <v>SF267-ITX8A</v>
          </cell>
          <cell r="D1294" t="str">
            <v>SF267-ITX8</v>
          </cell>
          <cell r="E1294">
            <v>927</v>
          </cell>
          <cell r="F1294" t="str">
            <v>mm</v>
          </cell>
          <cell r="G1294" t="str">
            <v>Mitsubishi Chemical</v>
          </cell>
        </row>
        <row r="1295">
          <cell r="C1295" t="str">
            <v>SF268-IS-4A</v>
          </cell>
          <cell r="D1295" t="str">
            <v>SF268-IS-4</v>
          </cell>
          <cell r="E1295">
            <v>978</v>
          </cell>
          <cell r="F1295" t="str">
            <v>mm</v>
          </cell>
          <cell r="G1295" t="str">
            <v>Mitsubishi Chemical</v>
          </cell>
        </row>
        <row r="1296">
          <cell r="C1296" t="str">
            <v>SF268-ITX4A</v>
          </cell>
          <cell r="D1296" t="str">
            <v>SF268-ITX4</v>
          </cell>
          <cell r="E1296">
            <v>978</v>
          </cell>
          <cell r="F1296" t="str">
            <v>mm</v>
          </cell>
          <cell r="G1296" t="str">
            <v>Mitsubishi Chemical</v>
          </cell>
        </row>
        <row r="1297">
          <cell r="C1297" t="str">
            <v>AX202-WA-1EB</v>
          </cell>
          <cell r="D1297" t="str">
            <v>AX202-WA-1</v>
          </cell>
          <cell r="E1297">
            <v>1168</v>
          </cell>
          <cell r="F1297" t="str">
            <v>mm</v>
          </cell>
          <cell r="G1297" t="str">
            <v>Aldila</v>
          </cell>
        </row>
        <row r="1298">
          <cell r="C1298" t="str">
            <v>AX202-WR-1EB</v>
          </cell>
          <cell r="D1298" t="str">
            <v>AX202-WR-1</v>
          </cell>
          <cell r="E1298">
            <v>1168</v>
          </cell>
          <cell r="F1298" t="str">
            <v>mm</v>
          </cell>
          <cell r="G1298" t="str">
            <v>Aldila</v>
          </cell>
        </row>
        <row r="1299">
          <cell r="C1299" t="str">
            <v>AX202-WS-1EB</v>
          </cell>
          <cell r="D1299" t="str">
            <v>AX202-WS-1</v>
          </cell>
          <cell r="E1299">
            <v>1168</v>
          </cell>
          <cell r="F1299" t="str">
            <v>mm</v>
          </cell>
          <cell r="G1299" t="str">
            <v>Aldila</v>
          </cell>
        </row>
        <row r="1300">
          <cell r="C1300" t="str">
            <v>AX203-IA-1EB</v>
          </cell>
          <cell r="D1300" t="str">
            <v>AX203-IA-1</v>
          </cell>
          <cell r="E1300">
            <v>1042</v>
          </cell>
          <cell r="F1300" t="str">
            <v>mm</v>
          </cell>
          <cell r="G1300" t="str">
            <v>Aldila</v>
          </cell>
        </row>
        <row r="1301">
          <cell r="C1301" t="str">
            <v>AX203-IR-1EB</v>
          </cell>
          <cell r="D1301" t="str">
            <v>AX203-IR-1</v>
          </cell>
          <cell r="E1301">
            <v>1042</v>
          </cell>
          <cell r="F1301" t="str">
            <v>mm</v>
          </cell>
          <cell r="G1301" t="str">
            <v>Aldila</v>
          </cell>
        </row>
        <row r="1302">
          <cell r="C1302" t="str">
            <v>AX203-IS-1EB</v>
          </cell>
          <cell r="D1302" t="str">
            <v>AX203-IS-1</v>
          </cell>
          <cell r="E1302">
            <v>1042</v>
          </cell>
          <cell r="F1302" t="str">
            <v>mm</v>
          </cell>
          <cell r="G1302" t="str">
            <v>Aldila</v>
          </cell>
        </row>
        <row r="1303">
          <cell r="C1303" t="str">
            <v>SF299-WS-1A</v>
          </cell>
          <cell r="D1303" t="str">
            <v>SF299-WS-1</v>
          </cell>
          <cell r="E1303">
            <v>1143</v>
          </cell>
          <cell r="F1303" t="str">
            <v>mm</v>
          </cell>
          <cell r="G1303" t="str">
            <v>Mitsubishi Chemical</v>
          </cell>
        </row>
        <row r="1304">
          <cell r="C1304" t="str">
            <v>CW159-WW-1C</v>
          </cell>
          <cell r="D1304" t="str">
            <v>CW159-WW-1</v>
          </cell>
          <cell r="E1304">
            <v>1144</v>
          </cell>
          <cell r="F1304" t="str">
            <v>mm</v>
          </cell>
          <cell r="G1304" t="str">
            <v>Mitsubishi Chemical</v>
          </cell>
        </row>
        <row r="1305">
          <cell r="C1305" t="str">
            <v>SF327-IR-1A</v>
          </cell>
          <cell r="D1305" t="str">
            <v>SF327-IR-1</v>
          </cell>
          <cell r="E1305">
            <v>1067</v>
          </cell>
          <cell r="F1305" t="str">
            <v>mm</v>
          </cell>
          <cell r="G1305" t="str">
            <v>Mitsubishi Chemical</v>
          </cell>
        </row>
        <row r="1306">
          <cell r="C1306" t="str">
            <v>CW159-WW-1CY</v>
          </cell>
          <cell r="D1306" t="str">
            <v>CW159-WW-1</v>
          </cell>
          <cell r="E1306">
            <v>1144</v>
          </cell>
          <cell r="F1306" t="str">
            <v>mm</v>
          </cell>
          <cell r="G1306" t="str">
            <v>Mitsubishi Chemical</v>
          </cell>
        </row>
        <row r="1307">
          <cell r="C1307" t="str">
            <v>MX960-WS-1AO</v>
          </cell>
          <cell r="D1307" t="str">
            <v>MX960-WS-1</v>
          </cell>
          <cell r="E1307">
            <v>1168</v>
          </cell>
          <cell r="F1307" t="str">
            <v>mm</v>
          </cell>
          <cell r="G1307" t="str">
            <v>Mitsubishi Chemical</v>
          </cell>
        </row>
        <row r="1308">
          <cell r="C1308" t="str">
            <v>MX681-ITX8A</v>
          </cell>
          <cell r="D1308" t="str">
            <v>MX681-ITX8</v>
          </cell>
          <cell r="E1308">
            <v>927</v>
          </cell>
          <cell r="F1308" t="str">
            <v>mm</v>
          </cell>
          <cell r="G1308" t="str">
            <v>Mitsubishi Chemical</v>
          </cell>
        </row>
        <row r="1309">
          <cell r="C1309" t="str">
            <v>MX946-WS-1A</v>
          </cell>
          <cell r="D1309" t="str">
            <v>MX946-WS-1</v>
          </cell>
          <cell r="E1309">
            <v>1168</v>
          </cell>
          <cell r="F1309" t="str">
            <v>mm</v>
          </cell>
          <cell r="G1309" t="str">
            <v>Mitsubishi Chemical</v>
          </cell>
        </row>
        <row r="1310">
          <cell r="C1310" t="str">
            <v>MX681-ITX4A</v>
          </cell>
          <cell r="D1310" t="str">
            <v>MX681-ITX4</v>
          </cell>
          <cell r="E1310">
            <v>978</v>
          </cell>
          <cell r="F1310" t="str">
            <v>mm</v>
          </cell>
          <cell r="G1310" t="str">
            <v>Mitsubishi Chemical</v>
          </cell>
        </row>
        <row r="1311">
          <cell r="C1311" t="str">
            <v>AX189-WX-1AA</v>
          </cell>
          <cell r="D1311" t="str">
            <v>AX189-WX-1</v>
          </cell>
          <cell r="E1311">
            <v>1168</v>
          </cell>
          <cell r="F1311" t="str">
            <v>mm</v>
          </cell>
          <cell r="G1311" t="str">
            <v>Aldila</v>
          </cell>
        </row>
        <row r="1312">
          <cell r="C1312" t="str">
            <v>MX954-WS-1A</v>
          </cell>
          <cell r="D1312" t="str">
            <v>MX954-WS-1</v>
          </cell>
          <cell r="E1312">
            <v>1168</v>
          </cell>
          <cell r="F1312" t="str">
            <v>mm</v>
          </cell>
          <cell r="G1312" t="str">
            <v>Mitsubishi Chemical</v>
          </cell>
        </row>
        <row r="1313">
          <cell r="C1313" t="str">
            <v>MX955-WTX1A</v>
          </cell>
          <cell r="D1313" t="str">
            <v>MX955-WTX1</v>
          </cell>
          <cell r="E1313">
            <v>1168</v>
          </cell>
          <cell r="F1313" t="str">
            <v>mm</v>
          </cell>
          <cell r="G1313" t="str">
            <v>Mitsubishi Chemical</v>
          </cell>
        </row>
        <row r="1314">
          <cell r="C1314" t="str">
            <v>MX959-WR-1A</v>
          </cell>
          <cell r="D1314" t="str">
            <v>MX959-WR-1</v>
          </cell>
          <cell r="E1314">
            <v>1168</v>
          </cell>
          <cell r="F1314" t="str">
            <v>mm</v>
          </cell>
          <cell r="G1314" t="str">
            <v>Mitsubishi Chemical</v>
          </cell>
        </row>
        <row r="1315">
          <cell r="C1315" t="str">
            <v>MX959-WS-1A</v>
          </cell>
          <cell r="D1315" t="str">
            <v>MX959-WS-1</v>
          </cell>
          <cell r="E1315">
            <v>1168</v>
          </cell>
          <cell r="F1315" t="str">
            <v>mm</v>
          </cell>
          <cell r="G1315" t="str">
            <v>Mitsubishi Chemical</v>
          </cell>
        </row>
        <row r="1316">
          <cell r="C1316" t="str">
            <v>MX960-WS-1A</v>
          </cell>
          <cell r="D1316" t="str">
            <v>MX960-WS-1</v>
          </cell>
          <cell r="E1316">
            <v>1168</v>
          </cell>
          <cell r="F1316" t="str">
            <v>mm</v>
          </cell>
          <cell r="G1316" t="str">
            <v>Mitsubishi Chemical</v>
          </cell>
        </row>
        <row r="1317">
          <cell r="C1317" t="str">
            <v>MX961-WS-1A</v>
          </cell>
          <cell r="D1317" t="str">
            <v>MX961-WS-1</v>
          </cell>
          <cell r="E1317">
            <v>1168</v>
          </cell>
          <cell r="F1317" t="str">
            <v>mm</v>
          </cell>
          <cell r="G1317" t="str">
            <v>Mitsubishi Chemical</v>
          </cell>
        </row>
        <row r="1318">
          <cell r="C1318" t="str">
            <v>MX961-WX-1A</v>
          </cell>
          <cell r="D1318" t="str">
            <v>MX961-WX-1</v>
          </cell>
          <cell r="E1318">
            <v>1168</v>
          </cell>
          <cell r="F1318" t="str">
            <v>mm</v>
          </cell>
          <cell r="G1318" t="str">
            <v>Mitsubishi Chemical</v>
          </cell>
        </row>
        <row r="1319">
          <cell r="C1319" t="str">
            <v>YR166-UL-1A</v>
          </cell>
          <cell r="D1319" t="str">
            <v>YR166-UL-1</v>
          </cell>
          <cell r="E1319">
            <v>962</v>
          </cell>
          <cell r="F1319" t="str">
            <v>mm</v>
          </cell>
          <cell r="G1319" t="str">
            <v>Mitsubishi Chemical</v>
          </cell>
        </row>
        <row r="1320">
          <cell r="C1320" t="str">
            <v>YR166-WL-3A</v>
          </cell>
          <cell r="D1320" t="str">
            <v>YR166-WL-3</v>
          </cell>
          <cell r="E1320">
            <v>1042</v>
          </cell>
          <cell r="F1320" t="str">
            <v>mm</v>
          </cell>
          <cell r="G1320" t="str">
            <v>Mitsubishi Chemical</v>
          </cell>
        </row>
        <row r="1321">
          <cell r="C1321" t="str">
            <v>MX954-WTX1A</v>
          </cell>
          <cell r="D1321" t="str">
            <v>MX954-WTX1</v>
          </cell>
          <cell r="E1321">
            <v>1168</v>
          </cell>
          <cell r="F1321" t="str">
            <v>mm</v>
          </cell>
          <cell r="G1321" t="str">
            <v>Mitsubishi Chemical</v>
          </cell>
        </row>
        <row r="1322">
          <cell r="C1322" t="str">
            <v>MX954-WS-1AO</v>
          </cell>
          <cell r="D1322" t="str">
            <v>MX954-WS-1</v>
          </cell>
          <cell r="E1322">
            <v>1168</v>
          </cell>
          <cell r="F1322" t="str">
            <v>mm</v>
          </cell>
          <cell r="G1322" t="str">
            <v>Mitsubishi Chemical</v>
          </cell>
        </row>
        <row r="1323">
          <cell r="C1323" t="str">
            <v>MX955-WS-1AO</v>
          </cell>
          <cell r="D1323" t="str">
            <v>MX955-WS-1</v>
          </cell>
          <cell r="E1323">
            <v>1168</v>
          </cell>
          <cell r="F1323" t="str">
            <v>mm</v>
          </cell>
          <cell r="G1323" t="str">
            <v>Mitsubishi Chemical</v>
          </cell>
        </row>
        <row r="1324">
          <cell r="C1324" t="str">
            <v>MX961-WS-1AO</v>
          </cell>
          <cell r="D1324" t="str">
            <v>MX961-WS-1</v>
          </cell>
          <cell r="E1324">
            <v>1168</v>
          </cell>
          <cell r="F1324" t="str">
            <v>mm</v>
          </cell>
          <cell r="G1324" t="str">
            <v>Mitsubishi Chemical</v>
          </cell>
        </row>
        <row r="1325">
          <cell r="C1325" t="str">
            <v>CW116-IX-3A</v>
          </cell>
          <cell r="D1325" t="str">
            <v>CW116-IX-3</v>
          </cell>
          <cell r="E1325">
            <v>1068</v>
          </cell>
          <cell r="F1325" t="str">
            <v>mm</v>
          </cell>
          <cell r="G1325" t="str">
            <v>Mitsubishi Chemical</v>
          </cell>
        </row>
        <row r="1326">
          <cell r="C1326" t="str">
            <v>SF331-WR-1A</v>
          </cell>
          <cell r="D1326" t="str">
            <v>SF331-WR-1</v>
          </cell>
          <cell r="E1326">
            <v>1143</v>
          </cell>
          <cell r="F1326" t="str">
            <v>mm</v>
          </cell>
          <cell r="G1326" t="str">
            <v>Mitsubishi Chemical</v>
          </cell>
        </row>
        <row r="1327">
          <cell r="C1327" t="str">
            <v>MX697-IL-1C</v>
          </cell>
          <cell r="D1327" t="str">
            <v>MX697-IL-1</v>
          </cell>
          <cell r="E1327">
            <v>1067</v>
          </cell>
          <cell r="F1327" t="str">
            <v>mm</v>
          </cell>
          <cell r="G1327" t="str">
            <v>Mitsubishi Chemical</v>
          </cell>
        </row>
        <row r="1328">
          <cell r="C1328" t="str">
            <v>MX699-IA-1C</v>
          </cell>
          <cell r="D1328" t="str">
            <v>MX699-IA-1</v>
          </cell>
          <cell r="E1328">
            <v>1067</v>
          </cell>
          <cell r="F1328" t="str">
            <v>mm</v>
          </cell>
          <cell r="G1328" t="str">
            <v>Mitsubishi Chemical</v>
          </cell>
        </row>
        <row r="1329">
          <cell r="C1329" t="str">
            <v>MX700-IR-1C</v>
          </cell>
          <cell r="D1329" t="str">
            <v>MX700-IR-1</v>
          </cell>
          <cell r="E1329">
            <v>1067</v>
          </cell>
          <cell r="F1329" t="str">
            <v>mm</v>
          </cell>
          <cell r="G1329" t="str">
            <v>Mitsubishi Chemical</v>
          </cell>
        </row>
        <row r="1330">
          <cell r="C1330" t="str">
            <v>MX701-IR-1C</v>
          </cell>
          <cell r="D1330" t="str">
            <v>MX701-IR-1</v>
          </cell>
          <cell r="E1330">
            <v>1067</v>
          </cell>
          <cell r="F1330" t="str">
            <v>mm</v>
          </cell>
          <cell r="G1330" t="str">
            <v>Mitsubishi Chemical</v>
          </cell>
        </row>
        <row r="1331">
          <cell r="C1331" t="str">
            <v>MX727-IS-1C</v>
          </cell>
          <cell r="D1331" t="str">
            <v>MX727-IS-1</v>
          </cell>
          <cell r="E1331">
            <v>1067</v>
          </cell>
          <cell r="F1331" t="str">
            <v>mm</v>
          </cell>
          <cell r="G1331" t="str">
            <v>Mitsubishi Chemical</v>
          </cell>
        </row>
        <row r="1332">
          <cell r="C1332" t="str">
            <v>MX830-WR-1A</v>
          </cell>
          <cell r="D1332" t="str">
            <v>MX830-WR-1</v>
          </cell>
          <cell r="E1332">
            <v>1168</v>
          </cell>
          <cell r="F1332" t="str">
            <v>mm</v>
          </cell>
          <cell r="G1332" t="str">
            <v>Mitsubishi Chemical</v>
          </cell>
        </row>
        <row r="1333">
          <cell r="C1333" t="str">
            <v>MX830-WS-1A</v>
          </cell>
          <cell r="D1333" t="str">
            <v>MX830-WS-1</v>
          </cell>
          <cell r="E1333">
            <v>1168</v>
          </cell>
          <cell r="F1333" t="str">
            <v>mm</v>
          </cell>
          <cell r="G1333" t="str">
            <v>Mitsubishi Chemical</v>
          </cell>
        </row>
        <row r="1334">
          <cell r="C1334" t="str">
            <v>MX831-WR-1A</v>
          </cell>
          <cell r="D1334" t="str">
            <v>MX831-WR-1</v>
          </cell>
          <cell r="E1334">
            <v>1168</v>
          </cell>
          <cell r="F1334" t="str">
            <v>mm</v>
          </cell>
          <cell r="G1334" t="str">
            <v>Mitsubishi Chemical</v>
          </cell>
        </row>
        <row r="1335">
          <cell r="C1335" t="str">
            <v>MX831-WS-1A</v>
          </cell>
          <cell r="D1335" t="str">
            <v>MX831-WS-1</v>
          </cell>
          <cell r="E1335">
            <v>1168</v>
          </cell>
          <cell r="F1335" t="str">
            <v>mm</v>
          </cell>
          <cell r="G1335" t="str">
            <v>Mitsubishi Chemical</v>
          </cell>
        </row>
        <row r="1336">
          <cell r="C1336" t="str">
            <v>MX831-WX-1A</v>
          </cell>
          <cell r="D1336" t="str">
            <v>MX831-WX-1</v>
          </cell>
          <cell r="E1336">
            <v>1168</v>
          </cell>
          <cell r="F1336" t="str">
            <v>mm</v>
          </cell>
          <cell r="G1336" t="str">
            <v>Mitsubishi Chemical</v>
          </cell>
        </row>
        <row r="1337">
          <cell r="C1337" t="str">
            <v>MX832-WS-1A</v>
          </cell>
          <cell r="D1337" t="str">
            <v>MX832-WS-1</v>
          </cell>
          <cell r="E1337">
            <v>1168</v>
          </cell>
          <cell r="F1337" t="str">
            <v>mm</v>
          </cell>
          <cell r="G1337" t="str">
            <v>Mitsubishi Chemical</v>
          </cell>
        </row>
        <row r="1338">
          <cell r="C1338" t="str">
            <v>CW159-WW-1AY</v>
          </cell>
          <cell r="D1338" t="str">
            <v>CW159-WW-1</v>
          </cell>
          <cell r="E1338">
            <v>1144</v>
          </cell>
          <cell r="F1338" t="str">
            <v>mm</v>
          </cell>
          <cell r="G1338" t="str">
            <v>Mitsubishi Chemical</v>
          </cell>
        </row>
        <row r="1339">
          <cell r="C1339" t="str">
            <v>CW180-WSR1A</v>
          </cell>
          <cell r="D1339" t="str">
            <v>CW180-WSR1</v>
          </cell>
          <cell r="E1339">
            <v>1169</v>
          </cell>
          <cell r="F1339" t="str">
            <v>mm</v>
          </cell>
          <cell r="G1339" t="str">
            <v>Mitsubishi Chemical</v>
          </cell>
        </row>
        <row r="1340">
          <cell r="C1340" t="str">
            <v>MX960-WR-1A</v>
          </cell>
          <cell r="D1340" t="str">
            <v>MX960-WR-1</v>
          </cell>
          <cell r="E1340">
            <v>1168</v>
          </cell>
          <cell r="F1340" t="str">
            <v>mm</v>
          </cell>
          <cell r="G1340" t="str">
            <v>Mitsubishi Chemical</v>
          </cell>
        </row>
        <row r="1341">
          <cell r="C1341" t="str">
            <v>MX948-WSR1A</v>
          </cell>
          <cell r="D1341" t="str">
            <v>MX948-WSR1</v>
          </cell>
          <cell r="E1341">
            <v>1168</v>
          </cell>
          <cell r="F1341" t="str">
            <v>mm</v>
          </cell>
          <cell r="G1341" t="str">
            <v>Mitsubishi Chemical</v>
          </cell>
        </row>
        <row r="1342">
          <cell r="C1342" t="str">
            <v>MX956-WTX1A</v>
          </cell>
          <cell r="D1342" t="str">
            <v>MX956-WTX1</v>
          </cell>
          <cell r="E1342">
            <v>1168</v>
          </cell>
          <cell r="F1342" t="str">
            <v>mm</v>
          </cell>
          <cell r="G1342" t="str">
            <v>Mitsubishi Chemical</v>
          </cell>
        </row>
        <row r="1343">
          <cell r="C1343" t="str">
            <v>MX826-WA-1A</v>
          </cell>
          <cell r="D1343" t="str">
            <v>MX826-WA-1</v>
          </cell>
          <cell r="E1343">
            <v>1169</v>
          </cell>
          <cell r="F1343" t="str">
            <v>mm</v>
          </cell>
          <cell r="G1343" t="str">
            <v>Mitsubishi Chemical</v>
          </cell>
        </row>
        <row r="1344">
          <cell r="C1344" t="str">
            <v>MX827-WA-1A</v>
          </cell>
          <cell r="D1344" t="str">
            <v>MX827-WA-1</v>
          </cell>
          <cell r="E1344">
            <v>1169</v>
          </cell>
          <cell r="F1344" t="str">
            <v>mm</v>
          </cell>
          <cell r="G1344" t="str">
            <v>Mitsubishi Chemical</v>
          </cell>
        </row>
        <row r="1345">
          <cell r="C1345" t="str">
            <v>MX827-WR-1A</v>
          </cell>
          <cell r="D1345" t="str">
            <v>MX827-WR-1</v>
          </cell>
          <cell r="E1345">
            <v>1169</v>
          </cell>
          <cell r="F1345" t="str">
            <v>mm</v>
          </cell>
          <cell r="G1345" t="str">
            <v>Mitsubishi Chemical</v>
          </cell>
        </row>
        <row r="1346">
          <cell r="C1346" t="str">
            <v>MX828-WR-1A</v>
          </cell>
          <cell r="D1346" t="str">
            <v>MX828-WR-1</v>
          </cell>
          <cell r="E1346">
            <v>1169</v>
          </cell>
          <cell r="F1346" t="str">
            <v>mm</v>
          </cell>
          <cell r="G1346" t="str">
            <v>Mitsubishi Chemical</v>
          </cell>
        </row>
        <row r="1347">
          <cell r="C1347" t="str">
            <v>MX828-WS-1A</v>
          </cell>
          <cell r="D1347" t="str">
            <v>MX828-WS-1</v>
          </cell>
          <cell r="E1347">
            <v>1169</v>
          </cell>
          <cell r="F1347" t="str">
            <v>mm</v>
          </cell>
          <cell r="G1347" t="str">
            <v>Mitsubishi Chemical</v>
          </cell>
        </row>
        <row r="1348">
          <cell r="C1348" t="str">
            <v>MX829-WS-1A</v>
          </cell>
          <cell r="D1348" t="str">
            <v>MX829-WS-1</v>
          </cell>
          <cell r="E1348">
            <v>1169</v>
          </cell>
          <cell r="F1348" t="str">
            <v>mm</v>
          </cell>
          <cell r="G1348" t="str">
            <v>Mitsubishi Chemical</v>
          </cell>
        </row>
        <row r="1349">
          <cell r="C1349" t="str">
            <v>CW180-WX-1A</v>
          </cell>
          <cell r="D1349" t="str">
            <v>CW180-WX-1</v>
          </cell>
          <cell r="E1349">
            <v>1169</v>
          </cell>
          <cell r="F1349" t="str">
            <v>mm</v>
          </cell>
          <cell r="G1349" t="str">
            <v>Mitsubishi Chemical</v>
          </cell>
        </row>
        <row r="1350">
          <cell r="C1350" t="str">
            <v>CW181-WS-1A</v>
          </cell>
          <cell r="D1350" t="str">
            <v>CW181-WS-1</v>
          </cell>
          <cell r="E1350">
            <v>1169</v>
          </cell>
          <cell r="F1350" t="str">
            <v>mm</v>
          </cell>
          <cell r="G1350" t="str">
            <v>Mitsubishi Chemical</v>
          </cell>
        </row>
        <row r="1351">
          <cell r="C1351" t="str">
            <v>CW181-WSR1A</v>
          </cell>
          <cell r="D1351" t="str">
            <v>CW181-WSR1</v>
          </cell>
          <cell r="E1351">
            <v>1169</v>
          </cell>
          <cell r="F1351" t="str">
            <v>mm</v>
          </cell>
          <cell r="G1351" t="str">
            <v>Mitsubishi Chemical</v>
          </cell>
        </row>
        <row r="1352">
          <cell r="C1352" t="str">
            <v>CW181-WX-1A</v>
          </cell>
          <cell r="D1352" t="str">
            <v>CW181-WX-1</v>
          </cell>
          <cell r="E1352">
            <v>1169</v>
          </cell>
          <cell r="F1352" t="str">
            <v>mm</v>
          </cell>
          <cell r="G1352" t="str">
            <v>Mitsubishi Chemical</v>
          </cell>
        </row>
        <row r="1353">
          <cell r="C1353" t="str">
            <v>MY013-WS-1A</v>
          </cell>
          <cell r="D1353" t="str">
            <v>MY013-WS-1</v>
          </cell>
          <cell r="E1353">
            <v>1168</v>
          </cell>
          <cell r="F1353" t="str">
            <v>mm</v>
          </cell>
          <cell r="G1353" t="str">
            <v>Mitsubishi Chemical</v>
          </cell>
        </row>
        <row r="1354">
          <cell r="C1354" t="str">
            <v>MY013-WX-1A</v>
          </cell>
          <cell r="D1354" t="str">
            <v>MY013-WX-1</v>
          </cell>
          <cell r="E1354">
            <v>1168</v>
          </cell>
          <cell r="F1354" t="str">
            <v>mm</v>
          </cell>
          <cell r="G1354" t="str">
            <v>Mitsubishi Chemical</v>
          </cell>
        </row>
        <row r="1355">
          <cell r="C1355" t="str">
            <v>MY014-WS-1A</v>
          </cell>
          <cell r="D1355" t="str">
            <v>MY014-WS-1</v>
          </cell>
          <cell r="E1355">
            <v>1168</v>
          </cell>
          <cell r="F1355" t="str">
            <v>mm</v>
          </cell>
          <cell r="G1355" t="str">
            <v>Mitsubishi Chemical</v>
          </cell>
        </row>
        <row r="1356">
          <cell r="C1356" t="str">
            <v>MY014-WX-1A</v>
          </cell>
          <cell r="D1356" t="str">
            <v>MY014-WX-1</v>
          </cell>
          <cell r="E1356">
            <v>1168</v>
          </cell>
          <cell r="F1356" t="str">
            <v>mm</v>
          </cell>
          <cell r="G1356" t="str">
            <v>Mitsubishi Chemical</v>
          </cell>
        </row>
        <row r="1357">
          <cell r="C1357" t="str">
            <v>MY015-WA-1A</v>
          </cell>
          <cell r="D1357" t="str">
            <v>MY015-WA-1</v>
          </cell>
          <cell r="E1357">
            <v>1168</v>
          </cell>
          <cell r="F1357" t="str">
            <v>mm</v>
          </cell>
          <cell r="G1357" t="str">
            <v>Mitsubishi Chemical</v>
          </cell>
        </row>
        <row r="1358">
          <cell r="C1358" t="str">
            <v>MY015-WL-1A</v>
          </cell>
          <cell r="D1358" t="str">
            <v>MY015-WL-1</v>
          </cell>
          <cell r="E1358">
            <v>1168</v>
          </cell>
          <cell r="F1358" t="str">
            <v>mm</v>
          </cell>
          <cell r="G1358" t="str">
            <v>Mitsubishi Chemical</v>
          </cell>
        </row>
        <row r="1359">
          <cell r="C1359" t="str">
            <v>MY015-WR-1A</v>
          </cell>
          <cell r="D1359" t="str">
            <v>MY015-WR-1</v>
          </cell>
          <cell r="E1359">
            <v>1168</v>
          </cell>
          <cell r="F1359" t="str">
            <v>mm</v>
          </cell>
          <cell r="G1359" t="str">
            <v>Mitsubishi Chemical</v>
          </cell>
        </row>
        <row r="1360">
          <cell r="C1360" t="str">
            <v>MY016-WA-1A</v>
          </cell>
          <cell r="D1360" t="str">
            <v>MY016-WA-1</v>
          </cell>
          <cell r="E1360">
            <v>1168</v>
          </cell>
          <cell r="F1360" t="str">
            <v>mm</v>
          </cell>
          <cell r="G1360" t="str">
            <v>Mitsubishi Chemical</v>
          </cell>
        </row>
        <row r="1361">
          <cell r="C1361" t="str">
            <v>MY016-WR-1A</v>
          </cell>
          <cell r="D1361" t="str">
            <v>MY016-WR-1</v>
          </cell>
          <cell r="E1361">
            <v>1168</v>
          </cell>
          <cell r="F1361" t="str">
            <v>mm</v>
          </cell>
          <cell r="G1361" t="str">
            <v>Mitsubishi Chemical</v>
          </cell>
        </row>
        <row r="1362">
          <cell r="C1362" t="str">
            <v>MY016-WS-1A</v>
          </cell>
          <cell r="D1362" t="str">
            <v>MY016-WS-1</v>
          </cell>
          <cell r="E1362">
            <v>1168</v>
          </cell>
          <cell r="F1362" t="str">
            <v>mm</v>
          </cell>
          <cell r="G1362" t="str">
            <v>Mitsubishi Chemical</v>
          </cell>
        </row>
        <row r="1363">
          <cell r="C1363" t="str">
            <v>MY017-WS-1A</v>
          </cell>
          <cell r="D1363" t="str">
            <v>MY017-WS-1</v>
          </cell>
          <cell r="E1363">
            <v>1168</v>
          </cell>
          <cell r="F1363" t="str">
            <v>mm</v>
          </cell>
          <cell r="G1363" t="str">
            <v>Mitsubishi Chemical</v>
          </cell>
        </row>
        <row r="1364">
          <cell r="C1364" t="str">
            <v>XG008-IR-1A</v>
          </cell>
          <cell r="D1364" t="str">
            <v>XG008-IR-1</v>
          </cell>
          <cell r="E1364">
            <v>1067</v>
          </cell>
          <cell r="F1364" t="str">
            <v>mm</v>
          </cell>
          <cell r="G1364" t="str">
            <v>Mitsubishi Chemical</v>
          </cell>
        </row>
        <row r="1365">
          <cell r="C1365" t="str">
            <v>MX950-WS-1A</v>
          </cell>
          <cell r="D1365" t="str">
            <v>MX950-WS-1</v>
          </cell>
          <cell r="E1365">
            <v>1168</v>
          </cell>
          <cell r="F1365" t="str">
            <v>mm</v>
          </cell>
          <cell r="G1365" t="str">
            <v>Mitsubishi Chemical</v>
          </cell>
        </row>
        <row r="1366">
          <cell r="C1366" t="str">
            <v>MX855-IS-1A</v>
          </cell>
          <cell r="D1366" t="str">
            <v>MX855-IS-1</v>
          </cell>
          <cell r="E1366">
            <v>1067</v>
          </cell>
          <cell r="F1366" t="str">
            <v>mm</v>
          </cell>
          <cell r="G1366" t="str">
            <v>Mitsubishi Chemical</v>
          </cell>
        </row>
        <row r="1367">
          <cell r="C1367" t="str">
            <v>MX853-IR-1A</v>
          </cell>
          <cell r="D1367" t="str">
            <v>MX853-IR-1</v>
          </cell>
          <cell r="E1367">
            <v>1067</v>
          </cell>
          <cell r="F1367" t="str">
            <v>mm</v>
          </cell>
          <cell r="G1367" t="str">
            <v>Mitsubishi Chemical</v>
          </cell>
        </row>
        <row r="1368">
          <cell r="C1368" t="str">
            <v>MX853-IA-1A</v>
          </cell>
          <cell r="D1368" t="str">
            <v>MX853-IA-1</v>
          </cell>
          <cell r="E1368">
            <v>1067</v>
          </cell>
          <cell r="F1368" t="str">
            <v>mm</v>
          </cell>
          <cell r="G1368" t="str">
            <v>Mitsubishi Chemical</v>
          </cell>
        </row>
        <row r="1369">
          <cell r="C1369" t="str">
            <v>MX850-IS-1A</v>
          </cell>
          <cell r="D1369" t="str">
            <v>MX850-IS-1</v>
          </cell>
          <cell r="E1369">
            <v>1067</v>
          </cell>
          <cell r="F1369" t="str">
            <v>mm</v>
          </cell>
          <cell r="G1369" t="str">
            <v>Mitsubishi Chemical</v>
          </cell>
        </row>
        <row r="1370">
          <cell r="C1370" t="str">
            <v>MX849-IR-1A</v>
          </cell>
          <cell r="D1370" t="str">
            <v>MX849-IR-1</v>
          </cell>
          <cell r="E1370">
            <v>1067</v>
          </cell>
          <cell r="F1370" t="str">
            <v>mm</v>
          </cell>
          <cell r="G1370" t="str">
            <v>Mitsubishi Chemical</v>
          </cell>
        </row>
        <row r="1371">
          <cell r="C1371" t="str">
            <v>MX848-IR-1A</v>
          </cell>
          <cell r="D1371" t="str">
            <v>MX848-IR-1</v>
          </cell>
          <cell r="E1371">
            <v>1067</v>
          </cell>
          <cell r="F1371" t="str">
            <v>mm</v>
          </cell>
          <cell r="G1371" t="str">
            <v>Mitsubishi Chemical</v>
          </cell>
        </row>
        <row r="1372">
          <cell r="C1372" t="str">
            <v>MX848-IA-1A</v>
          </cell>
          <cell r="D1372" t="str">
            <v>MX848-IA-1</v>
          </cell>
          <cell r="E1372">
            <v>1067</v>
          </cell>
          <cell r="F1372" t="str">
            <v>mm</v>
          </cell>
          <cell r="G1372" t="str">
            <v>Mitsubishi Chemical</v>
          </cell>
        </row>
        <row r="1373">
          <cell r="C1373" t="str">
            <v>MX847-IL-1A</v>
          </cell>
          <cell r="D1373" t="str">
            <v>MX847-IL-1</v>
          </cell>
          <cell r="E1373">
            <v>1067</v>
          </cell>
          <cell r="F1373" t="str">
            <v>mm</v>
          </cell>
          <cell r="G1373" t="str">
            <v>Mitsubishi Chemical</v>
          </cell>
        </row>
        <row r="1374">
          <cell r="C1374" t="str">
            <v>MX851-ILL1A</v>
          </cell>
          <cell r="D1374" t="str">
            <v>MX851-ILL1</v>
          </cell>
          <cell r="E1374">
            <v>1067</v>
          </cell>
          <cell r="F1374" t="str">
            <v>mm</v>
          </cell>
          <cell r="G1374" t="str">
            <v>Mitsubishi Chemical</v>
          </cell>
        </row>
        <row r="1375">
          <cell r="C1375" t="str">
            <v>MX852-IL-1A</v>
          </cell>
          <cell r="D1375" t="str">
            <v>MX852-IL-1</v>
          </cell>
          <cell r="E1375">
            <v>1067</v>
          </cell>
          <cell r="F1375" t="str">
            <v>mm</v>
          </cell>
          <cell r="G1375" t="str">
            <v>Mitsubishi Chemical</v>
          </cell>
        </row>
        <row r="1376">
          <cell r="C1376" t="str">
            <v>XG007-IL-1A</v>
          </cell>
          <cell r="D1376" t="str">
            <v>XG007-IL-1</v>
          </cell>
          <cell r="E1376">
            <v>1067</v>
          </cell>
          <cell r="F1376" t="str">
            <v>mm</v>
          </cell>
          <cell r="G1376" t="str">
            <v>Mitsubishi Chemical</v>
          </cell>
        </row>
        <row r="1377">
          <cell r="C1377" t="str">
            <v>HI007-IA-3D</v>
          </cell>
          <cell r="D1377" t="str">
            <v>HI007-IA-3</v>
          </cell>
          <cell r="E1377">
            <v>1016</v>
          </cell>
          <cell r="F1377" t="str">
            <v>mm</v>
          </cell>
          <cell r="G1377" t="str">
            <v>Mitsubishi Chemical</v>
          </cell>
        </row>
        <row r="1378">
          <cell r="C1378" t="str">
            <v>HI007-IA-3F</v>
          </cell>
          <cell r="D1378" t="str">
            <v>HI007-IA-3</v>
          </cell>
          <cell r="E1378">
            <v>1016</v>
          </cell>
          <cell r="F1378" t="str">
            <v>mm</v>
          </cell>
          <cell r="G1378" t="str">
            <v>Mitsubishi Chemical</v>
          </cell>
        </row>
        <row r="1379">
          <cell r="C1379" t="str">
            <v>HI007-IX-3D</v>
          </cell>
          <cell r="D1379" t="str">
            <v>HI007-IX-3</v>
          </cell>
          <cell r="E1379">
            <v>1016</v>
          </cell>
          <cell r="F1379" t="str">
            <v>mm</v>
          </cell>
          <cell r="G1379" t="str">
            <v>Mitsubishi Chemical</v>
          </cell>
        </row>
        <row r="1380">
          <cell r="C1380" t="str">
            <v>CB044-WW-1B</v>
          </cell>
          <cell r="D1380" t="str">
            <v>CB044-WW-1</v>
          </cell>
          <cell r="E1380">
            <v>1143</v>
          </cell>
          <cell r="F1380" t="str">
            <v>mm</v>
          </cell>
          <cell r="G1380" t="str">
            <v>Mitsubishi Chemical</v>
          </cell>
        </row>
        <row r="1381">
          <cell r="C1381" t="str">
            <v>MX835-WS-1AO</v>
          </cell>
          <cell r="D1381" t="str">
            <v>MX835-WS-1</v>
          </cell>
          <cell r="E1381">
            <v>1168</v>
          </cell>
          <cell r="F1381" t="str">
            <v>mm</v>
          </cell>
          <cell r="G1381" t="str">
            <v>Mitsubishi Chemical</v>
          </cell>
        </row>
        <row r="1382">
          <cell r="C1382" t="str">
            <v>MX952-WA-1A</v>
          </cell>
          <cell r="D1382" t="str">
            <v>MX952-WA-1</v>
          </cell>
          <cell r="E1382">
            <v>1168</v>
          </cell>
          <cell r="F1382" t="str">
            <v>mm</v>
          </cell>
          <cell r="G1382" t="str">
            <v>Mitsubishi Chemical</v>
          </cell>
        </row>
        <row r="1383">
          <cell r="C1383" t="str">
            <v>MX952-WR-1A</v>
          </cell>
          <cell r="D1383" t="str">
            <v>MX952-WR-1</v>
          </cell>
          <cell r="E1383">
            <v>1168</v>
          </cell>
          <cell r="F1383" t="str">
            <v>mm</v>
          </cell>
          <cell r="G1383" t="str">
            <v>Mitsubishi Chemical</v>
          </cell>
        </row>
        <row r="1384">
          <cell r="C1384" t="str">
            <v>CW159-IW-1CY</v>
          </cell>
          <cell r="D1384" t="str">
            <v>CW159-IW-1</v>
          </cell>
          <cell r="E1384">
            <v>1041</v>
          </cell>
          <cell r="F1384" t="str">
            <v>mm</v>
          </cell>
          <cell r="G1384" t="str">
            <v>Mitsubishi Chemical</v>
          </cell>
        </row>
        <row r="1385">
          <cell r="C1385" t="str">
            <v>MX998-IW-1A</v>
          </cell>
          <cell r="D1385" t="str">
            <v>MX998-IW-1</v>
          </cell>
          <cell r="E1385">
            <v>1041</v>
          </cell>
          <cell r="F1385" t="str">
            <v>mm</v>
          </cell>
          <cell r="G1385" t="str">
            <v>Mitsubishi Chemical</v>
          </cell>
        </row>
        <row r="1386">
          <cell r="C1386" t="str">
            <v>SX204-IS-PE</v>
          </cell>
          <cell r="D1386" t="str">
            <v>SX204-IS-P</v>
          </cell>
          <cell r="E1386">
            <v>912</v>
          </cell>
          <cell r="F1386" t="str">
            <v>mm</v>
          </cell>
          <cell r="G1386" t="str">
            <v>Mitsubishi Chemical</v>
          </cell>
        </row>
        <row r="1387">
          <cell r="C1387" t="str">
            <v>SX204-IS-PG</v>
          </cell>
          <cell r="D1387" t="str">
            <v>SX204-IS-P</v>
          </cell>
          <cell r="E1387">
            <v>912</v>
          </cell>
          <cell r="F1387" t="str">
            <v>mm</v>
          </cell>
          <cell r="G1387" t="str">
            <v>Mitsubishi Chemical</v>
          </cell>
        </row>
        <row r="1388">
          <cell r="C1388" t="str">
            <v>XG004-IL-1A</v>
          </cell>
          <cell r="D1388" t="str">
            <v>XG004-IL-1</v>
          </cell>
          <cell r="E1388">
            <v>1067</v>
          </cell>
          <cell r="F1388" t="str">
            <v>mm</v>
          </cell>
          <cell r="G1388" t="str">
            <v>Mitsubishi Chemical</v>
          </cell>
        </row>
        <row r="1389">
          <cell r="C1389" t="str">
            <v>XG052-WR-1A</v>
          </cell>
          <cell r="D1389" t="str">
            <v>XG052-WR-1</v>
          </cell>
          <cell r="E1389">
            <v>1168</v>
          </cell>
          <cell r="F1389" t="str">
            <v>mm</v>
          </cell>
          <cell r="G1389" t="str">
            <v>Mitsubishi Chemical</v>
          </cell>
        </row>
        <row r="1390">
          <cell r="C1390" t="str">
            <v>XG052-WS-1A</v>
          </cell>
          <cell r="D1390" t="str">
            <v>XG052-WS-1</v>
          </cell>
          <cell r="E1390">
            <v>1168</v>
          </cell>
          <cell r="F1390" t="str">
            <v>mm</v>
          </cell>
          <cell r="G1390" t="str">
            <v>Mitsubishi Chemical</v>
          </cell>
        </row>
        <row r="1391">
          <cell r="C1391" t="str">
            <v>XG052-WX-1A</v>
          </cell>
          <cell r="D1391" t="str">
            <v>XG052-WX-1</v>
          </cell>
          <cell r="E1391">
            <v>1168</v>
          </cell>
          <cell r="F1391" t="str">
            <v>mm</v>
          </cell>
          <cell r="G1391" t="str">
            <v>Mitsubishi Chemical</v>
          </cell>
        </row>
        <row r="1392">
          <cell r="C1392" t="str">
            <v>XG053-WS-1A</v>
          </cell>
          <cell r="D1392" t="str">
            <v>XG053-WS-1</v>
          </cell>
          <cell r="E1392">
            <v>1168</v>
          </cell>
          <cell r="F1392" t="str">
            <v>mm</v>
          </cell>
          <cell r="G1392" t="str">
            <v>Mitsubishi Chemical</v>
          </cell>
        </row>
        <row r="1393">
          <cell r="C1393" t="str">
            <v>XG053-WX-1A</v>
          </cell>
          <cell r="D1393" t="str">
            <v>XG053-WX-1</v>
          </cell>
          <cell r="E1393">
            <v>1168</v>
          </cell>
          <cell r="F1393" t="str">
            <v>mm</v>
          </cell>
          <cell r="G1393" t="str">
            <v>Mitsubishi Chemical</v>
          </cell>
        </row>
        <row r="1394">
          <cell r="C1394" t="str">
            <v>AX143-IS-3AB</v>
          </cell>
          <cell r="D1394" t="str">
            <v>AX143-IS-3</v>
          </cell>
          <cell r="E1394">
            <v>1016</v>
          </cell>
          <cell r="F1394" t="str">
            <v>mm</v>
          </cell>
          <cell r="G1394" t="str">
            <v>Aldila</v>
          </cell>
        </row>
        <row r="1395">
          <cell r="C1395" t="str">
            <v>MX681-IS-2B</v>
          </cell>
          <cell r="D1395" t="str">
            <v>MX681-IS-2</v>
          </cell>
          <cell r="E1395">
            <v>1016</v>
          </cell>
          <cell r="F1395" t="str">
            <v>mm</v>
          </cell>
          <cell r="G1395" t="str">
            <v>Mitsubishi Chemical</v>
          </cell>
        </row>
        <row r="1396">
          <cell r="C1396" t="str">
            <v>MX681-IS-4A</v>
          </cell>
          <cell r="D1396" t="str">
            <v>MX681-IS-4</v>
          </cell>
          <cell r="E1396">
            <v>978</v>
          </cell>
          <cell r="F1396" t="str">
            <v>mm</v>
          </cell>
          <cell r="G1396" t="str">
            <v>Mitsubishi Chemical</v>
          </cell>
        </row>
        <row r="1397">
          <cell r="C1397" t="str">
            <v>MX991-WRA1A</v>
          </cell>
          <cell r="D1397" t="str">
            <v>MX991-WRA1</v>
          </cell>
          <cell r="E1397">
            <v>1168</v>
          </cell>
          <cell r="F1397" t="str">
            <v>mm</v>
          </cell>
          <cell r="G1397" t="str">
            <v>Mitsubishi Chemical</v>
          </cell>
        </row>
        <row r="1398">
          <cell r="C1398" t="str">
            <v>MX991-WX-1A</v>
          </cell>
          <cell r="D1398" t="str">
            <v>MX991-WX-1</v>
          </cell>
          <cell r="E1398">
            <v>1168</v>
          </cell>
          <cell r="F1398" t="str">
            <v>mm</v>
          </cell>
          <cell r="G1398" t="str">
            <v>Mitsubishi Chemical</v>
          </cell>
        </row>
        <row r="1399">
          <cell r="C1399" t="str">
            <v>MX992-WTX1A</v>
          </cell>
          <cell r="D1399" t="str">
            <v>MX992-WTX1</v>
          </cell>
          <cell r="E1399">
            <v>1168</v>
          </cell>
          <cell r="F1399" t="str">
            <v>mm</v>
          </cell>
          <cell r="G1399" t="str">
            <v>Mitsubishi Chemical</v>
          </cell>
        </row>
        <row r="1400">
          <cell r="C1400" t="str">
            <v>MX993-WTX1A</v>
          </cell>
          <cell r="D1400" t="str">
            <v>MX993-WTX1</v>
          </cell>
          <cell r="E1400">
            <v>1168</v>
          </cell>
          <cell r="F1400" t="str">
            <v>mm</v>
          </cell>
          <cell r="G1400" t="str">
            <v>Mitsubishi Chemical</v>
          </cell>
        </row>
        <row r="1401">
          <cell r="C1401" t="str">
            <v>MX669-IS-7A</v>
          </cell>
          <cell r="D1401" t="str">
            <v>MX669-IS-7</v>
          </cell>
          <cell r="E1401">
            <v>940</v>
          </cell>
          <cell r="F1401" t="str">
            <v>mm</v>
          </cell>
          <cell r="G1401" t="str">
            <v>Mitsubishi Chemical</v>
          </cell>
        </row>
        <row r="1402">
          <cell r="C1402" t="str">
            <v>MX728-IA-5A</v>
          </cell>
          <cell r="D1402" t="str">
            <v>MX728-IA-5</v>
          </cell>
          <cell r="E1402">
            <v>991</v>
          </cell>
          <cell r="F1402" t="str">
            <v>mm</v>
          </cell>
          <cell r="G1402" t="str">
            <v>Mitsubishi Chemical</v>
          </cell>
        </row>
        <row r="1403">
          <cell r="C1403" t="str">
            <v>MX669-IS-8A</v>
          </cell>
          <cell r="D1403" t="str">
            <v>MX669-IS-8</v>
          </cell>
          <cell r="E1403">
            <v>927</v>
          </cell>
          <cell r="F1403" t="str">
            <v>mm</v>
          </cell>
          <cell r="G1403" t="str">
            <v>Mitsubishi Chemical</v>
          </cell>
        </row>
        <row r="1404">
          <cell r="C1404" t="str">
            <v>MX669-IS-9A</v>
          </cell>
          <cell r="D1404" t="str">
            <v>MX669-IS-9</v>
          </cell>
          <cell r="E1404">
            <v>914</v>
          </cell>
          <cell r="F1404" t="str">
            <v>mm</v>
          </cell>
          <cell r="G1404" t="str">
            <v>Mitsubishi Chemical</v>
          </cell>
        </row>
        <row r="1405">
          <cell r="C1405" t="str">
            <v>XG010-IS-1A</v>
          </cell>
          <cell r="D1405" t="str">
            <v>XG010-IS-1</v>
          </cell>
          <cell r="E1405">
            <v>1067</v>
          </cell>
          <cell r="F1405" t="str">
            <v>mm</v>
          </cell>
          <cell r="G1405" t="str">
            <v>Mitsubishi Chemical</v>
          </cell>
        </row>
        <row r="1406">
          <cell r="C1406" t="str">
            <v>AU223-IA-1Z</v>
          </cell>
          <cell r="D1406" t="str">
            <v>AU223-IA-1</v>
          </cell>
          <cell r="E1406">
            <v>1016</v>
          </cell>
          <cell r="F1406" t="str">
            <v>mm</v>
          </cell>
          <cell r="G1406" t="str">
            <v>Mitsubishi Chemical</v>
          </cell>
        </row>
        <row r="1407">
          <cell r="C1407" t="str">
            <v>MY015-WA-1AC</v>
          </cell>
          <cell r="D1407" t="str">
            <v>MY015-WA-1</v>
          </cell>
          <cell r="E1407">
            <v>1168</v>
          </cell>
          <cell r="F1407" t="str">
            <v>mm</v>
          </cell>
          <cell r="G1407" t="str">
            <v>Mitsubishi Chemical</v>
          </cell>
        </row>
        <row r="1408">
          <cell r="C1408" t="str">
            <v>MX721-IS-7AC</v>
          </cell>
          <cell r="D1408" t="str">
            <v>MX721-IS-7</v>
          </cell>
          <cell r="E1408">
            <v>940</v>
          </cell>
          <cell r="F1408" t="str">
            <v>mm</v>
          </cell>
          <cell r="G1408" t="str">
            <v>Mitsubishi Chemical</v>
          </cell>
        </row>
        <row r="1409">
          <cell r="C1409" t="str">
            <v>CW182-WS-1A</v>
          </cell>
          <cell r="D1409" t="str">
            <v>CW182-WS-1</v>
          </cell>
          <cell r="E1409">
            <v>1169</v>
          </cell>
          <cell r="F1409" t="str">
            <v>mm</v>
          </cell>
          <cell r="G1409" t="str">
            <v>Mitsubishi Chemical</v>
          </cell>
        </row>
        <row r="1410">
          <cell r="C1410" t="str">
            <v>MX794-ITX1A</v>
          </cell>
          <cell r="D1410" t="str">
            <v>MX794-ITX1</v>
          </cell>
          <cell r="E1410">
            <v>1067</v>
          </cell>
          <cell r="F1410" t="str">
            <v>mm</v>
          </cell>
          <cell r="G1410" t="str">
            <v>Mitsubishi Chemical</v>
          </cell>
        </row>
        <row r="1411">
          <cell r="C1411" t="str">
            <v>YR180-WSR1A</v>
          </cell>
          <cell r="D1411" t="str">
            <v>YR180-WSR1</v>
          </cell>
          <cell r="E1411">
            <v>1139</v>
          </cell>
          <cell r="F1411" t="str">
            <v>mm</v>
          </cell>
          <cell r="G1411" t="str">
            <v>Mitsubishi Chemical</v>
          </cell>
        </row>
        <row r="1412">
          <cell r="C1412" t="str">
            <v>SF240-IA-4A</v>
          </cell>
          <cell r="D1412" t="str">
            <v>SF240-IA-4</v>
          </cell>
          <cell r="E1412">
            <v>1003</v>
          </cell>
          <cell r="F1412" t="str">
            <v>mm</v>
          </cell>
          <cell r="G1412" t="str">
            <v>Mitsubishi Chemical</v>
          </cell>
        </row>
        <row r="1413">
          <cell r="C1413" t="str">
            <v>MX902-IR-3A</v>
          </cell>
          <cell r="D1413" t="str">
            <v>MX902-IR-3</v>
          </cell>
          <cell r="E1413">
            <v>991</v>
          </cell>
          <cell r="F1413" t="str">
            <v>mm</v>
          </cell>
          <cell r="G1413" t="str">
            <v>Mitsubishi Chemical</v>
          </cell>
        </row>
        <row r="1414">
          <cell r="C1414" t="str">
            <v>MX902-IR-5A</v>
          </cell>
          <cell r="D1414" t="str">
            <v>MX902-IR-5</v>
          </cell>
          <cell r="E1414">
            <v>965</v>
          </cell>
          <cell r="F1414" t="str">
            <v>mm</v>
          </cell>
          <cell r="G1414" t="str">
            <v>Mitsubishi Chemical</v>
          </cell>
        </row>
        <row r="1415">
          <cell r="C1415" t="str">
            <v>MX904-IS-3A</v>
          </cell>
          <cell r="D1415" t="str">
            <v>MX904-IS-3</v>
          </cell>
          <cell r="E1415">
            <v>991</v>
          </cell>
          <cell r="F1415" t="str">
            <v>mm</v>
          </cell>
          <cell r="G1415" t="str">
            <v>Mitsubishi Chemical</v>
          </cell>
        </row>
        <row r="1416">
          <cell r="C1416" t="str">
            <v>MX904-IX-2A</v>
          </cell>
          <cell r="D1416" t="str">
            <v>MX904-IX-2</v>
          </cell>
          <cell r="E1416">
            <v>1003</v>
          </cell>
          <cell r="F1416" t="str">
            <v>mm</v>
          </cell>
          <cell r="G1416" t="str">
            <v>Mitsubishi Chemical</v>
          </cell>
        </row>
        <row r="1417">
          <cell r="C1417" t="str">
            <v>MX904-IX-3A</v>
          </cell>
          <cell r="D1417" t="str">
            <v>MX904-IX-3</v>
          </cell>
          <cell r="E1417">
            <v>991</v>
          </cell>
          <cell r="F1417" t="str">
            <v>mm</v>
          </cell>
          <cell r="G1417" t="str">
            <v>Mitsubishi Chemical</v>
          </cell>
        </row>
        <row r="1418">
          <cell r="C1418" t="str">
            <v>MX904-IX-7A</v>
          </cell>
          <cell r="D1418" t="str">
            <v>MX904-IX-7</v>
          </cell>
          <cell r="E1418">
            <v>940</v>
          </cell>
          <cell r="F1418" t="str">
            <v>mm</v>
          </cell>
          <cell r="G1418" t="str">
            <v>Mitsubishi Chemical</v>
          </cell>
        </row>
        <row r="1419">
          <cell r="C1419" t="str">
            <v>MX904-IX-PA</v>
          </cell>
          <cell r="D1419" t="str">
            <v>MX904-IX-P</v>
          </cell>
          <cell r="E1419">
            <v>902</v>
          </cell>
          <cell r="F1419" t="str">
            <v>mm</v>
          </cell>
          <cell r="G1419" t="str">
            <v>Mitsubishi Chemical</v>
          </cell>
        </row>
        <row r="1420">
          <cell r="C1420" t="str">
            <v>MX905-IX-4A</v>
          </cell>
          <cell r="D1420" t="str">
            <v>MX905-IX-4</v>
          </cell>
          <cell r="E1420">
            <v>978</v>
          </cell>
          <cell r="F1420" t="str">
            <v>mm</v>
          </cell>
          <cell r="G1420" t="str">
            <v>Mitsubishi Chemical</v>
          </cell>
        </row>
        <row r="1421">
          <cell r="C1421" t="str">
            <v>MX905-IX-8A</v>
          </cell>
          <cell r="D1421" t="str">
            <v>MX905-IX-8</v>
          </cell>
          <cell r="E1421">
            <v>927</v>
          </cell>
          <cell r="F1421" t="str">
            <v>mm</v>
          </cell>
          <cell r="G1421" t="str">
            <v>Mitsubishi Chemical</v>
          </cell>
        </row>
        <row r="1422">
          <cell r="C1422" t="str">
            <v>MX905-IX-PA</v>
          </cell>
          <cell r="D1422" t="str">
            <v>MX905-IX-P</v>
          </cell>
          <cell r="E1422">
            <v>902</v>
          </cell>
          <cell r="F1422" t="str">
            <v>mm</v>
          </cell>
          <cell r="G1422" t="str">
            <v>Mitsubishi Chemical</v>
          </cell>
        </row>
        <row r="1423">
          <cell r="C1423" t="str">
            <v>MX944-IS-5A</v>
          </cell>
          <cell r="D1423" t="str">
            <v>MX944-IS-5</v>
          </cell>
          <cell r="E1423">
            <v>979</v>
          </cell>
          <cell r="F1423" t="str">
            <v>mm</v>
          </cell>
          <cell r="G1423" t="str">
            <v>Mitsubishi Chemical</v>
          </cell>
        </row>
        <row r="1424">
          <cell r="C1424" t="str">
            <v>MX945-WX-3A</v>
          </cell>
          <cell r="D1424" t="str">
            <v>MX945-WX-3</v>
          </cell>
          <cell r="E1424">
            <v>1092</v>
          </cell>
          <cell r="F1424" t="str">
            <v>mm</v>
          </cell>
          <cell r="G1424" t="str">
            <v>Mitsubishi Chemical</v>
          </cell>
        </row>
        <row r="1425">
          <cell r="C1425" t="str">
            <v>CB049-WR-1A</v>
          </cell>
          <cell r="D1425" t="str">
            <v>CB049-WR-1</v>
          </cell>
          <cell r="E1425">
            <v>1168</v>
          </cell>
          <cell r="F1425" t="str">
            <v>mm</v>
          </cell>
          <cell r="G1425" t="str">
            <v>Mitsubishi Chemical</v>
          </cell>
        </row>
        <row r="1426">
          <cell r="C1426" t="str">
            <v>CB049-WS-1A</v>
          </cell>
          <cell r="D1426" t="str">
            <v>CB049-WS-1</v>
          </cell>
          <cell r="E1426">
            <v>1168</v>
          </cell>
          <cell r="F1426" t="str">
            <v>mm</v>
          </cell>
          <cell r="G1426" t="str">
            <v>Mitsubishi Chemical</v>
          </cell>
        </row>
        <row r="1427">
          <cell r="C1427" t="str">
            <v>MX948-WS-1AT</v>
          </cell>
          <cell r="D1427" t="str">
            <v>MX948-WS-1</v>
          </cell>
          <cell r="E1427">
            <v>1168</v>
          </cell>
          <cell r="F1427" t="str">
            <v>mm</v>
          </cell>
          <cell r="G1427" t="str">
            <v>Mitsubishi Chemical</v>
          </cell>
        </row>
        <row r="1428">
          <cell r="C1428" t="str">
            <v>MX948-WX-1AT</v>
          </cell>
          <cell r="D1428" t="str">
            <v>MX948-WX-1</v>
          </cell>
          <cell r="E1428">
            <v>1168</v>
          </cell>
          <cell r="F1428" t="str">
            <v>mm</v>
          </cell>
          <cell r="G1428" t="str">
            <v>Mitsubishi Chemical</v>
          </cell>
        </row>
        <row r="1429">
          <cell r="C1429" t="str">
            <v>MX949-WS-1AT</v>
          </cell>
          <cell r="D1429" t="str">
            <v>MX949-WS-1</v>
          </cell>
          <cell r="E1429">
            <v>1168</v>
          </cell>
          <cell r="F1429" t="str">
            <v>mm</v>
          </cell>
          <cell r="G1429" t="str">
            <v>Mitsubishi Chemical</v>
          </cell>
        </row>
        <row r="1430">
          <cell r="C1430" t="str">
            <v>MX949-WX-1AT</v>
          </cell>
          <cell r="D1430" t="str">
            <v>MX949-WX-1</v>
          </cell>
          <cell r="E1430">
            <v>1168</v>
          </cell>
          <cell r="F1430" t="str">
            <v>mm</v>
          </cell>
          <cell r="G1430" t="str">
            <v>Mitsubishi Chemical</v>
          </cell>
        </row>
        <row r="1431">
          <cell r="C1431" t="str">
            <v>MX954-WS-1AT</v>
          </cell>
          <cell r="D1431" t="str">
            <v>MX954-WS-1</v>
          </cell>
          <cell r="E1431">
            <v>1168</v>
          </cell>
          <cell r="F1431" t="str">
            <v>mm</v>
          </cell>
          <cell r="G1431" t="str">
            <v>Mitsubishi Chemical</v>
          </cell>
        </row>
        <row r="1432">
          <cell r="C1432" t="str">
            <v>MX954-WX-1AT</v>
          </cell>
          <cell r="D1432" t="str">
            <v>MX954-WX-1</v>
          </cell>
          <cell r="E1432">
            <v>1168</v>
          </cell>
          <cell r="F1432" t="str">
            <v>mm</v>
          </cell>
          <cell r="G1432" t="str">
            <v>Mitsubishi Chemical</v>
          </cell>
        </row>
        <row r="1433">
          <cell r="C1433" t="str">
            <v>MX955-WS-1AT</v>
          </cell>
          <cell r="D1433" t="str">
            <v>MX955-WS-1</v>
          </cell>
          <cell r="E1433">
            <v>1168</v>
          </cell>
          <cell r="F1433" t="str">
            <v>mm</v>
          </cell>
          <cell r="G1433" t="str">
            <v>Mitsubishi Chemical</v>
          </cell>
        </row>
        <row r="1434">
          <cell r="C1434" t="str">
            <v>MX955-WX-1AT</v>
          </cell>
          <cell r="D1434" t="str">
            <v>MX955-WX-1</v>
          </cell>
          <cell r="E1434">
            <v>1168</v>
          </cell>
          <cell r="F1434" t="str">
            <v>mm</v>
          </cell>
          <cell r="G1434" t="str">
            <v>Mitsubishi Chemical</v>
          </cell>
        </row>
        <row r="1435">
          <cell r="C1435" t="str">
            <v>YR194-UL-1A</v>
          </cell>
          <cell r="D1435" t="str">
            <v>YR194-UL-1</v>
          </cell>
          <cell r="E1435">
            <v>1015</v>
          </cell>
          <cell r="F1435" t="str">
            <v>mm</v>
          </cell>
          <cell r="G1435" t="str">
            <v>Mitsubishi Chemical</v>
          </cell>
        </row>
        <row r="1436">
          <cell r="C1436" t="str">
            <v>YR194-UR-1A</v>
          </cell>
          <cell r="D1436" t="str">
            <v>YR194-UR-1</v>
          </cell>
          <cell r="E1436">
            <v>1028</v>
          </cell>
          <cell r="F1436" t="str">
            <v>mm</v>
          </cell>
          <cell r="G1436" t="str">
            <v>Mitsubishi Chemical</v>
          </cell>
        </row>
        <row r="1437">
          <cell r="C1437" t="str">
            <v>YR194-USR1A</v>
          </cell>
          <cell r="D1437" t="str">
            <v>YR194-USR1</v>
          </cell>
          <cell r="E1437">
            <v>1028</v>
          </cell>
          <cell r="F1437" t="str">
            <v>mm</v>
          </cell>
          <cell r="G1437" t="str">
            <v>Mitsubishi Chemical</v>
          </cell>
        </row>
        <row r="1438">
          <cell r="C1438" t="str">
            <v>YR194-WA-3A</v>
          </cell>
          <cell r="D1438" t="str">
            <v>YR194-WA-3</v>
          </cell>
          <cell r="E1438">
            <v>1101</v>
          </cell>
          <cell r="F1438" t="str">
            <v>mm</v>
          </cell>
          <cell r="G1438" t="str">
            <v>Mitsubishi Chemical</v>
          </cell>
        </row>
        <row r="1439">
          <cell r="C1439" t="str">
            <v>YR194-WL-3A</v>
          </cell>
          <cell r="D1439" t="str">
            <v>YR194-WL-3</v>
          </cell>
          <cell r="E1439">
            <v>1075</v>
          </cell>
          <cell r="F1439" t="str">
            <v>mm</v>
          </cell>
          <cell r="G1439" t="str">
            <v>Mitsubishi Chemical</v>
          </cell>
        </row>
        <row r="1440">
          <cell r="C1440" t="str">
            <v>YR194-WR-3A</v>
          </cell>
          <cell r="D1440" t="str">
            <v>YR194-WR-3</v>
          </cell>
          <cell r="E1440">
            <v>1101</v>
          </cell>
          <cell r="F1440" t="str">
            <v>mm</v>
          </cell>
          <cell r="G1440" t="str">
            <v>Mitsubishi Chemical</v>
          </cell>
        </row>
        <row r="1441">
          <cell r="C1441" t="str">
            <v>YR194-WR-3B</v>
          </cell>
          <cell r="D1441" t="str">
            <v>YR194-WR-3</v>
          </cell>
          <cell r="E1441">
            <v>1101</v>
          </cell>
          <cell r="F1441" t="str">
            <v>mm</v>
          </cell>
          <cell r="G1441" t="str">
            <v>Mitsubishi Chemical</v>
          </cell>
        </row>
        <row r="1442">
          <cell r="C1442" t="str">
            <v>YR194-WS-3A</v>
          </cell>
          <cell r="D1442" t="str">
            <v>YR194-WS-3</v>
          </cell>
          <cell r="E1442">
            <v>1101</v>
          </cell>
          <cell r="F1442" t="str">
            <v>mm</v>
          </cell>
          <cell r="G1442" t="str">
            <v>Mitsubishi Chemical</v>
          </cell>
        </row>
        <row r="1443">
          <cell r="C1443" t="str">
            <v>YR194-US-1A</v>
          </cell>
          <cell r="D1443" t="str">
            <v>YR194-US-1</v>
          </cell>
          <cell r="E1443">
            <v>1028</v>
          </cell>
          <cell r="F1443" t="str">
            <v>mm</v>
          </cell>
          <cell r="G1443" t="str">
            <v>Mitsubishi Chemical</v>
          </cell>
        </row>
        <row r="1444">
          <cell r="C1444" t="str">
            <v>YR194-UA-1A</v>
          </cell>
          <cell r="D1444" t="str">
            <v>YR194-UA-1</v>
          </cell>
          <cell r="E1444">
            <v>1015</v>
          </cell>
          <cell r="F1444" t="str">
            <v>mm</v>
          </cell>
          <cell r="G1444" t="str">
            <v>Mitsubishi Chemical</v>
          </cell>
        </row>
        <row r="1445">
          <cell r="C1445" t="str">
            <v>YR194-WA-3B</v>
          </cell>
          <cell r="D1445" t="str">
            <v>YR194-WA-3</v>
          </cell>
          <cell r="E1445">
            <v>1101</v>
          </cell>
          <cell r="F1445" t="str">
            <v>mm</v>
          </cell>
          <cell r="G1445" t="str">
            <v>Mitsubishi Chemical</v>
          </cell>
        </row>
        <row r="1446">
          <cell r="C1446" t="str">
            <v>YR194-WLA3A</v>
          </cell>
          <cell r="D1446" t="str">
            <v>YR194-WLA3</v>
          </cell>
          <cell r="E1446">
            <v>1088</v>
          </cell>
          <cell r="F1446" t="str">
            <v>mm</v>
          </cell>
          <cell r="G1446" t="str">
            <v>Mitsubishi Chemical</v>
          </cell>
        </row>
        <row r="1447">
          <cell r="C1447" t="str">
            <v>YR194-WL-3B</v>
          </cell>
          <cell r="D1447" t="str">
            <v>YR194-WL-3</v>
          </cell>
          <cell r="E1447">
            <v>1075</v>
          </cell>
          <cell r="F1447" t="str">
            <v>mm</v>
          </cell>
          <cell r="G1447" t="str">
            <v>Mitsubishi Chemical</v>
          </cell>
        </row>
        <row r="1448">
          <cell r="C1448" t="str">
            <v>SF348-WX-1A</v>
          </cell>
          <cell r="D1448" t="str">
            <v>SF348-WX-1</v>
          </cell>
          <cell r="E1448">
            <v>1168</v>
          </cell>
          <cell r="F1448" t="str">
            <v>mm</v>
          </cell>
          <cell r="G1448" t="str">
            <v>Mitsubishi Chemical</v>
          </cell>
        </row>
        <row r="1449">
          <cell r="C1449" t="str">
            <v>MX792-IA-1A</v>
          </cell>
          <cell r="D1449" t="str">
            <v>MX792-IA-1</v>
          </cell>
          <cell r="E1449">
            <v>1067</v>
          </cell>
          <cell r="F1449" t="str">
            <v>mm</v>
          </cell>
          <cell r="G1449" t="str">
            <v>Mitsubishi Chemical</v>
          </cell>
        </row>
        <row r="1450">
          <cell r="C1450" t="str">
            <v>SF348-WX-1A</v>
          </cell>
          <cell r="D1450" t="str">
            <v>SF348-WX-1</v>
          </cell>
          <cell r="E1450">
            <v>1168</v>
          </cell>
          <cell r="F1450" t="str">
            <v>mm</v>
          </cell>
          <cell r="G1450" t="str">
            <v>Mitsubishi Chemical</v>
          </cell>
        </row>
        <row r="1451">
          <cell r="C1451" t="str">
            <v>MX681-IS-7AC</v>
          </cell>
          <cell r="D1451" t="str">
            <v>MX681-IS-7</v>
          </cell>
          <cell r="E1451">
            <v>940</v>
          </cell>
          <cell r="F1451" t="str">
            <v>mm</v>
          </cell>
          <cell r="G1451" t="str">
            <v>Mitsubishi Chemical</v>
          </cell>
        </row>
        <row r="1452">
          <cell r="C1452" t="str">
            <v xml:space="preserve">MX876-WR-1BC </v>
          </cell>
          <cell r="D1452" t="str">
            <v>MX876-WR-1</v>
          </cell>
          <cell r="E1452">
            <v>1168</v>
          </cell>
          <cell r="F1452" t="str">
            <v>mm</v>
          </cell>
          <cell r="G1452" t="str">
            <v>Mitsubishi Chemical</v>
          </cell>
        </row>
        <row r="1453">
          <cell r="C1453" t="str">
            <v xml:space="preserve">MX934-IX-1AC </v>
          </cell>
          <cell r="D1453" t="str">
            <v>MX934-IX-1</v>
          </cell>
          <cell r="E1453">
            <v>1067</v>
          </cell>
          <cell r="F1453" t="str">
            <v>mm</v>
          </cell>
          <cell r="G1453" t="str">
            <v>Mitsubishi Chemical</v>
          </cell>
        </row>
        <row r="1454">
          <cell r="C1454" t="str">
            <v xml:space="preserve">MX936-WR-1BC </v>
          </cell>
          <cell r="D1454" t="str">
            <v>MX936-WR-1</v>
          </cell>
          <cell r="E1454">
            <v>1168</v>
          </cell>
          <cell r="F1454" t="str">
            <v>mm</v>
          </cell>
          <cell r="G1454" t="str">
            <v>Mitsubishi Chemical</v>
          </cell>
        </row>
        <row r="1455">
          <cell r="C1455" t="str">
            <v>MY015-WR-1AC</v>
          </cell>
          <cell r="D1455" t="str">
            <v>MY015-WR-1</v>
          </cell>
          <cell r="E1455">
            <v>1003</v>
          </cell>
          <cell r="F1455" t="str">
            <v>mm</v>
          </cell>
          <cell r="G1455" t="str">
            <v>Mitsubishi Chemical</v>
          </cell>
        </row>
        <row r="1456">
          <cell r="C1456" t="str">
            <v>HI003-WS-1A</v>
          </cell>
          <cell r="D1456" t="str">
            <v>HI003-WS-1</v>
          </cell>
          <cell r="E1456">
            <v>1168</v>
          </cell>
          <cell r="F1456" t="str">
            <v>mm</v>
          </cell>
          <cell r="G1456" t="str">
            <v>Mitsubishi Chemical</v>
          </cell>
        </row>
        <row r="1457">
          <cell r="C1457" t="str">
            <v>CW182-WSR1A</v>
          </cell>
          <cell r="D1457" t="str">
            <v>CW182-WSR1</v>
          </cell>
          <cell r="E1457">
            <v>1169</v>
          </cell>
          <cell r="F1457" t="str">
            <v>mm</v>
          </cell>
          <cell r="G1457" t="str">
            <v>Mitsubishi Chemical</v>
          </cell>
        </row>
        <row r="1458">
          <cell r="C1458" t="str">
            <v>MX697-IL-1AO</v>
          </cell>
          <cell r="D1458" t="str">
            <v>MX697-IL-1</v>
          </cell>
          <cell r="E1458">
            <v>1067</v>
          </cell>
          <cell r="F1458" t="str">
            <v>mm</v>
          </cell>
          <cell r="G1458" t="str">
            <v>Mitsubishi Chemical</v>
          </cell>
        </row>
        <row r="1459">
          <cell r="C1459" t="str">
            <v>MX699-IA-1AO</v>
          </cell>
          <cell r="D1459" t="str">
            <v>MX699-IA-1</v>
          </cell>
          <cell r="E1459">
            <v>1067</v>
          </cell>
          <cell r="F1459" t="str">
            <v>mm</v>
          </cell>
          <cell r="G1459" t="str">
            <v>Mitsubishi Chemical</v>
          </cell>
        </row>
        <row r="1460">
          <cell r="C1460" t="str">
            <v>MX699-IR-1AO</v>
          </cell>
          <cell r="D1460" t="str">
            <v>MX699-IR-1</v>
          </cell>
          <cell r="E1460">
            <v>1067</v>
          </cell>
          <cell r="F1460" t="str">
            <v>mm</v>
          </cell>
          <cell r="G1460" t="str">
            <v>Mitsubishi Chemical</v>
          </cell>
        </row>
        <row r="1461">
          <cell r="C1461" t="str">
            <v>MX783-WR-1CO</v>
          </cell>
          <cell r="D1461" t="str">
            <v>MX783-WR-1</v>
          </cell>
          <cell r="E1461">
            <v>1168</v>
          </cell>
          <cell r="F1461" t="str">
            <v>mm</v>
          </cell>
          <cell r="G1461" t="str">
            <v>Mitsubishi Chemical</v>
          </cell>
        </row>
        <row r="1462">
          <cell r="C1462" t="str">
            <v>MX727-IS-1AO</v>
          </cell>
          <cell r="D1462" t="str">
            <v>MX727-IS-1</v>
          </cell>
          <cell r="E1462">
            <v>1067</v>
          </cell>
          <cell r="F1462" t="str">
            <v>mm</v>
          </cell>
          <cell r="G1462" t="str">
            <v>Mitsubishi Chemical</v>
          </cell>
        </row>
        <row r="1463">
          <cell r="C1463" t="str">
            <v>SF254-IA-1C</v>
          </cell>
          <cell r="D1463" t="str">
            <v>SF254-IA-1</v>
          </cell>
          <cell r="E1463">
            <v>1054</v>
          </cell>
          <cell r="F1463" t="str">
            <v>mm</v>
          </cell>
          <cell r="G1463" t="str">
            <v>Mitsubishi Chemical</v>
          </cell>
        </row>
        <row r="1464">
          <cell r="C1464" t="str">
            <v>SF245-WR-1I</v>
          </cell>
          <cell r="D1464" t="str">
            <v>SF245-WR-1</v>
          </cell>
          <cell r="E1464">
            <v>1143</v>
          </cell>
          <cell r="F1464" t="str">
            <v>mm</v>
          </cell>
          <cell r="G1464" t="str">
            <v>Mitsubishi Chemical</v>
          </cell>
        </row>
        <row r="1465">
          <cell r="C1465" t="str">
            <v>SF245-WS-1I</v>
          </cell>
          <cell r="D1465" t="str">
            <v>SF245-WS-1</v>
          </cell>
          <cell r="E1465">
            <v>1143</v>
          </cell>
          <cell r="F1465" t="str">
            <v>mm</v>
          </cell>
          <cell r="G1465" t="str">
            <v>Mitsubishi Chemical</v>
          </cell>
        </row>
        <row r="1466">
          <cell r="C1466" t="str">
            <v>YR195-IS-PA</v>
          </cell>
          <cell r="D1466" t="str">
            <v>YR195-IS-P</v>
          </cell>
          <cell r="E1466">
            <v>889</v>
          </cell>
          <cell r="F1466" t="str">
            <v>mm</v>
          </cell>
          <cell r="G1466" t="str">
            <v>Mitsubishi Chemical</v>
          </cell>
        </row>
        <row r="1467">
          <cell r="C1467" t="str">
            <v>MX954-WS-1B</v>
          </cell>
          <cell r="D1467" t="str">
            <v>MX954-WS-1</v>
          </cell>
          <cell r="E1467">
            <v>1168</v>
          </cell>
          <cell r="F1467" t="str">
            <v>mm</v>
          </cell>
          <cell r="G1467" t="str">
            <v>Mitsubishi Chemical</v>
          </cell>
        </row>
        <row r="1468">
          <cell r="C1468" t="str">
            <v>MX954-WX-1B</v>
          </cell>
          <cell r="D1468" t="str">
            <v>MX954-WX-1</v>
          </cell>
          <cell r="E1468">
            <v>1168</v>
          </cell>
          <cell r="F1468" t="str">
            <v>mm</v>
          </cell>
          <cell r="G1468" t="str">
            <v>Mitsubishi Chemical</v>
          </cell>
        </row>
        <row r="1469">
          <cell r="C1469" t="str">
            <v>CW150-WS-1B</v>
          </cell>
          <cell r="D1469" t="str">
            <v>CW150-WS-1</v>
          </cell>
          <cell r="E1469">
            <v>1169</v>
          </cell>
          <cell r="F1469" t="str">
            <v>mm</v>
          </cell>
          <cell r="G1469" t="str">
            <v>Mitsubishi Chemical</v>
          </cell>
        </row>
        <row r="1470">
          <cell r="C1470" t="str">
            <v>CW151-WR-3B</v>
          </cell>
          <cell r="D1470" t="str">
            <v>CW151-WR-3</v>
          </cell>
          <cell r="E1470">
            <v>1119</v>
          </cell>
          <cell r="F1470" t="str">
            <v>mm</v>
          </cell>
          <cell r="G1470" t="str">
            <v>Mitsubishi Chemical</v>
          </cell>
        </row>
        <row r="1471">
          <cell r="C1471" t="str">
            <v>CW151-WS-3B</v>
          </cell>
          <cell r="D1471" t="str">
            <v>CW151-WS-3</v>
          </cell>
          <cell r="E1471">
            <v>1119</v>
          </cell>
          <cell r="F1471" t="str">
            <v>mm</v>
          </cell>
          <cell r="G1471" t="str">
            <v>Mitsubishi Chemical</v>
          </cell>
        </row>
        <row r="1472">
          <cell r="C1472" t="str">
            <v>MX959-WS-1AT</v>
          </cell>
          <cell r="D1472" t="str">
            <v>MX959-WS-1</v>
          </cell>
          <cell r="E1472">
            <v>1168</v>
          </cell>
          <cell r="F1472" t="str">
            <v>mm</v>
          </cell>
          <cell r="G1472" t="str">
            <v>Mitsubishi Chemical</v>
          </cell>
        </row>
        <row r="1473">
          <cell r="C1473" t="str">
            <v>MX960-WS-1AT</v>
          </cell>
          <cell r="D1473" t="str">
            <v>MX960-WS-1</v>
          </cell>
          <cell r="E1473">
            <v>1168</v>
          </cell>
          <cell r="F1473" t="str">
            <v>mm</v>
          </cell>
          <cell r="G1473" t="str">
            <v>Mitsubishi Chemical</v>
          </cell>
        </row>
        <row r="1474">
          <cell r="C1474" t="str">
            <v>CL047-IA-1A</v>
          </cell>
          <cell r="D1474" t="str">
            <v>CL047-IA-1</v>
          </cell>
          <cell r="E1474">
            <v>1067</v>
          </cell>
          <cell r="F1474" t="str">
            <v>mm</v>
          </cell>
          <cell r="G1474" t="str">
            <v>Mitsubishi Chemical</v>
          </cell>
        </row>
        <row r="1475">
          <cell r="C1475" t="str">
            <v>CL047-IR-1A</v>
          </cell>
          <cell r="D1475" t="str">
            <v>CL047-IR-1</v>
          </cell>
          <cell r="E1475">
            <v>1067</v>
          </cell>
          <cell r="F1475" t="str">
            <v>mm</v>
          </cell>
          <cell r="G1475" t="str">
            <v>Mitsubishi Chemical</v>
          </cell>
        </row>
        <row r="1476">
          <cell r="C1476" t="str">
            <v>CL048-IS-1A</v>
          </cell>
          <cell r="D1476" t="str">
            <v>CL048-IS-1</v>
          </cell>
          <cell r="E1476">
            <v>1067</v>
          </cell>
          <cell r="F1476" t="str">
            <v>mm</v>
          </cell>
          <cell r="G1476" t="str">
            <v>Mitsubishi Chemical</v>
          </cell>
        </row>
        <row r="1477">
          <cell r="C1477" t="str">
            <v>CL049-WL-1A</v>
          </cell>
          <cell r="D1477" t="str">
            <v>CL049-WL-1</v>
          </cell>
          <cell r="E1477">
            <v>1143</v>
          </cell>
          <cell r="F1477" t="str">
            <v>mm</v>
          </cell>
          <cell r="G1477" t="str">
            <v>Mitsubishi Chemical</v>
          </cell>
        </row>
        <row r="1478">
          <cell r="C1478" t="str">
            <v>CL049-WL-3A</v>
          </cell>
          <cell r="D1478" t="str">
            <v>CL049-WL-3</v>
          </cell>
          <cell r="E1478">
            <v>1143</v>
          </cell>
          <cell r="F1478" t="str">
            <v>mm</v>
          </cell>
          <cell r="G1478" t="str">
            <v>Mitsubishi Chemical</v>
          </cell>
        </row>
        <row r="1479">
          <cell r="C1479" t="str">
            <v>CW150-WR-1B</v>
          </cell>
          <cell r="D1479" t="str">
            <v>CW150-WR-1</v>
          </cell>
          <cell r="E1479">
            <v>1169</v>
          </cell>
          <cell r="F1479" t="str">
            <v>mm</v>
          </cell>
          <cell r="G1479" t="str">
            <v>Mitsubishi Chemical</v>
          </cell>
        </row>
        <row r="1480">
          <cell r="C1480" t="str">
            <v>CW159-WR-1AY</v>
          </cell>
          <cell r="D1480" t="str">
            <v>CW159-WR-1</v>
          </cell>
          <cell r="E1480">
            <v>1144</v>
          </cell>
          <cell r="F1480" t="str">
            <v>mm</v>
          </cell>
          <cell r="G1480" t="str">
            <v>Mitsubishi Chemical</v>
          </cell>
        </row>
        <row r="1481">
          <cell r="C1481" t="str">
            <v>CW166-WA-1AY</v>
          </cell>
          <cell r="D1481" t="str">
            <v>CW166-WA-1</v>
          </cell>
          <cell r="E1481">
            <v>1169</v>
          </cell>
          <cell r="F1481" t="str">
            <v>mm</v>
          </cell>
          <cell r="G1481" t="str">
            <v>Mitsubishi Chemical</v>
          </cell>
        </row>
        <row r="1482">
          <cell r="C1482" t="str">
            <v>AX181-IR-1PA</v>
          </cell>
          <cell r="D1482" t="str">
            <v>AX181-IR-1</v>
          </cell>
          <cell r="E1482">
            <v>1016</v>
          </cell>
          <cell r="F1482" t="str">
            <v>mm</v>
          </cell>
          <cell r="G1482" t="str">
            <v>Aldila</v>
          </cell>
        </row>
        <row r="1483">
          <cell r="C1483" t="str">
            <v>AX181-ISR1PA</v>
          </cell>
          <cell r="D1483" t="str">
            <v>AX181-ISR1</v>
          </cell>
          <cell r="E1483">
            <v>1016</v>
          </cell>
          <cell r="F1483" t="str">
            <v>mm</v>
          </cell>
          <cell r="G1483" t="str">
            <v>Aldila</v>
          </cell>
        </row>
        <row r="1484">
          <cell r="C1484" t="str">
            <v>AU235-WS-1A</v>
          </cell>
          <cell r="D1484" t="str">
            <v>AU235-WS-1</v>
          </cell>
          <cell r="E1484">
            <v>1168</v>
          </cell>
          <cell r="F1484" t="str">
            <v>mm</v>
          </cell>
          <cell r="G1484" t="str">
            <v>Mitsubishi Chemical</v>
          </cell>
        </row>
        <row r="1485">
          <cell r="C1485" t="str">
            <v>AU236-WS-1A</v>
          </cell>
          <cell r="D1485" t="str">
            <v>AU236-WS-1</v>
          </cell>
          <cell r="E1485">
            <v>1168</v>
          </cell>
          <cell r="F1485" t="str">
            <v>mm</v>
          </cell>
          <cell r="G1485" t="str">
            <v>Mitsubishi Chemical</v>
          </cell>
        </row>
        <row r="1486">
          <cell r="C1486" t="str">
            <v>AU238-WS-1A</v>
          </cell>
          <cell r="D1486" t="str">
            <v>AU238-WS-1</v>
          </cell>
          <cell r="E1486">
            <v>1168</v>
          </cell>
          <cell r="F1486" t="str">
            <v>mm</v>
          </cell>
          <cell r="G1486" t="str">
            <v>Mitsubishi Chemical</v>
          </cell>
        </row>
        <row r="1487">
          <cell r="C1487" t="str">
            <v>AU237-WS-1A</v>
          </cell>
          <cell r="D1487" t="str">
            <v>AU237-WS-1</v>
          </cell>
          <cell r="E1487">
            <v>1168</v>
          </cell>
          <cell r="F1487" t="str">
            <v>mm</v>
          </cell>
          <cell r="G1487" t="str">
            <v>Mitsubishi Chemical</v>
          </cell>
        </row>
        <row r="1488">
          <cell r="C1488" t="str">
            <v>AU233-WS-1A</v>
          </cell>
          <cell r="D1488" t="str">
            <v>AU233-WS-1</v>
          </cell>
          <cell r="E1488">
            <v>1168</v>
          </cell>
          <cell r="F1488" t="str">
            <v>mm</v>
          </cell>
          <cell r="G1488" t="str">
            <v>Mitsubishi Chemical</v>
          </cell>
        </row>
        <row r="1489">
          <cell r="C1489" t="str">
            <v>AU234-WS-1A</v>
          </cell>
          <cell r="D1489" t="str">
            <v>AU234-WS-1</v>
          </cell>
          <cell r="E1489">
            <v>1168</v>
          </cell>
          <cell r="F1489" t="str">
            <v>mm</v>
          </cell>
          <cell r="G1489" t="str">
            <v>Mitsubishi Chemical</v>
          </cell>
        </row>
        <row r="1490">
          <cell r="C1490" t="str">
            <v>CW159-IW-1A</v>
          </cell>
          <cell r="D1490" t="str">
            <v>CW159-IW-1</v>
          </cell>
          <cell r="E1490">
            <v>1041</v>
          </cell>
          <cell r="F1490" t="str">
            <v>mm</v>
          </cell>
          <cell r="G1490" t="str">
            <v>Mitsubishi Chemical</v>
          </cell>
        </row>
        <row r="1491">
          <cell r="C1491" t="str">
            <v>AU233-WA-1A</v>
          </cell>
          <cell r="D1491" t="str">
            <v>AU233-WA-1</v>
          </cell>
          <cell r="E1491">
            <v>1168</v>
          </cell>
          <cell r="F1491" t="str">
            <v>mm</v>
          </cell>
          <cell r="G1491" t="str">
            <v>Mitsubishi Chemical</v>
          </cell>
        </row>
        <row r="1492">
          <cell r="C1492" t="str">
            <v>AU233-WR-1A</v>
          </cell>
          <cell r="D1492" t="str">
            <v>AU233-WR-1</v>
          </cell>
          <cell r="E1492">
            <v>1168</v>
          </cell>
          <cell r="F1492" t="str">
            <v>mm</v>
          </cell>
          <cell r="G1492" t="str">
            <v>Mitsubishi Chemical</v>
          </cell>
        </row>
        <row r="1493">
          <cell r="C1493" t="str">
            <v>AU233-WX-1A</v>
          </cell>
          <cell r="D1493" t="str">
            <v>AU233-WX-1</v>
          </cell>
          <cell r="E1493">
            <v>1168</v>
          </cell>
          <cell r="F1493" t="str">
            <v>mm</v>
          </cell>
          <cell r="G1493" t="str">
            <v>Mitsubishi Chemical</v>
          </cell>
        </row>
        <row r="1494">
          <cell r="C1494" t="str">
            <v>AU234-WX-1A</v>
          </cell>
          <cell r="D1494" t="str">
            <v>AU234-WX-1</v>
          </cell>
          <cell r="E1494">
            <v>1168</v>
          </cell>
          <cell r="F1494" t="str">
            <v>mm</v>
          </cell>
          <cell r="G1494" t="str">
            <v>Mitsubishi Chemical</v>
          </cell>
        </row>
        <row r="1495">
          <cell r="C1495" t="str">
            <v>AU235-WX-1A</v>
          </cell>
          <cell r="D1495" t="str">
            <v>AU235-WX-1</v>
          </cell>
          <cell r="E1495">
            <v>1168</v>
          </cell>
          <cell r="F1495" t="str">
            <v>mm</v>
          </cell>
          <cell r="G1495" t="str">
            <v>Mitsubishi Chemical</v>
          </cell>
        </row>
        <row r="1496">
          <cell r="C1496" t="str">
            <v>AU237-WX-1A</v>
          </cell>
          <cell r="D1496" t="str">
            <v>AU237-WX-1</v>
          </cell>
          <cell r="E1496">
            <v>1168</v>
          </cell>
          <cell r="F1496" t="str">
            <v>mm</v>
          </cell>
          <cell r="G1496" t="str">
            <v>Mitsubishi Chemical</v>
          </cell>
        </row>
        <row r="1497">
          <cell r="C1497" t="str">
            <v>AU238-WX-1A</v>
          </cell>
          <cell r="D1497" t="str">
            <v>AU238-WX-1</v>
          </cell>
          <cell r="E1497">
            <v>1168</v>
          </cell>
          <cell r="F1497" t="str">
            <v>mm</v>
          </cell>
          <cell r="G1497" t="str">
            <v>Mitsubishi Chemical</v>
          </cell>
        </row>
        <row r="1498">
          <cell r="C1498" t="str">
            <v>AU236-WX-1A</v>
          </cell>
          <cell r="D1498" t="str">
            <v>AU236-WX-1</v>
          </cell>
          <cell r="E1498">
            <v>1168</v>
          </cell>
          <cell r="F1498" t="str">
            <v>mm</v>
          </cell>
          <cell r="G1498" t="str">
            <v>Mitsubishi Chemical</v>
          </cell>
        </row>
        <row r="1499">
          <cell r="C1499" t="str">
            <v>AU234-WR-1A</v>
          </cell>
          <cell r="D1499" t="str">
            <v>AU234-WR-1</v>
          </cell>
          <cell r="E1499">
            <v>1168</v>
          </cell>
          <cell r="F1499" t="str">
            <v>mm</v>
          </cell>
          <cell r="G1499" t="str">
            <v>Mitsubishi Chemical</v>
          </cell>
        </row>
        <row r="1500">
          <cell r="C1500" t="str">
            <v>SF254-IR-1B</v>
          </cell>
          <cell r="D1500" t="str">
            <v>SF254-IR-1</v>
          </cell>
          <cell r="E1500">
            <v>1054</v>
          </cell>
          <cell r="F1500" t="str">
            <v>mm</v>
          </cell>
          <cell r="G1500" t="str">
            <v>Mitsubishi Chemical</v>
          </cell>
        </row>
        <row r="1501">
          <cell r="C1501" t="str">
            <v>SF254-IS-1B</v>
          </cell>
          <cell r="D1501" t="str">
            <v>SF254-IS-1</v>
          </cell>
          <cell r="E1501">
            <v>1054</v>
          </cell>
          <cell r="F1501" t="str">
            <v>mm</v>
          </cell>
          <cell r="G1501" t="str">
            <v>Mitsubishi Chemical</v>
          </cell>
        </row>
        <row r="1502">
          <cell r="C1502" t="str">
            <v>CW159-WA-1AY</v>
          </cell>
          <cell r="D1502" t="str">
            <v>CW159-WA-1</v>
          </cell>
          <cell r="E1502">
            <v>1144</v>
          </cell>
          <cell r="F1502" t="str">
            <v>mm</v>
          </cell>
          <cell r="G1502" t="str">
            <v>Mitsubishi Chemical</v>
          </cell>
        </row>
        <row r="1503">
          <cell r="C1503" t="str">
            <v>AU240-WA-1A</v>
          </cell>
          <cell r="D1503" t="str">
            <v>AU240-WA-1</v>
          </cell>
          <cell r="E1503">
            <v>1168</v>
          </cell>
          <cell r="F1503" t="str">
            <v>mm</v>
          </cell>
          <cell r="G1503" t="str">
            <v>Mitsubishi Chemical</v>
          </cell>
        </row>
        <row r="1504">
          <cell r="C1504" t="str">
            <v>MX956-WTX1AO</v>
          </cell>
          <cell r="D1504" t="str">
            <v>MX956-WTX1</v>
          </cell>
          <cell r="E1504">
            <v>1168</v>
          </cell>
          <cell r="F1504" t="str">
            <v>mm</v>
          </cell>
          <cell r="G1504" t="str">
            <v>Mitsubishi Chemical</v>
          </cell>
        </row>
        <row r="1505">
          <cell r="C1505" t="str">
            <v>CW183-IR-2B</v>
          </cell>
          <cell r="D1505" t="str">
            <v>CW183-IR-2</v>
          </cell>
          <cell r="E1505">
            <v>1030</v>
          </cell>
          <cell r="F1505" t="str">
            <v>mm</v>
          </cell>
          <cell r="G1505" t="str">
            <v>Mitsubishi Chemical</v>
          </cell>
        </row>
        <row r="1506">
          <cell r="C1506" t="str">
            <v>CW183-IS-2B</v>
          </cell>
          <cell r="D1506" t="str">
            <v>CW183-IS-2</v>
          </cell>
          <cell r="E1506">
            <v>1030</v>
          </cell>
          <cell r="F1506" t="str">
            <v>mm</v>
          </cell>
          <cell r="G1506" t="str">
            <v>Mitsubishi Chemical</v>
          </cell>
        </row>
        <row r="1507">
          <cell r="C1507" t="str">
            <v>AU240-WR-1A</v>
          </cell>
          <cell r="D1507" t="str">
            <v>AU240-WR-1</v>
          </cell>
          <cell r="E1507">
            <v>1168</v>
          </cell>
          <cell r="F1507" t="str">
            <v>mm</v>
          </cell>
          <cell r="G1507" t="str">
            <v>Mitsubishi Chemical</v>
          </cell>
        </row>
        <row r="1508">
          <cell r="C1508" t="str">
            <v>AU240-WS-1A</v>
          </cell>
          <cell r="D1508" t="str">
            <v>AU240-WS-1</v>
          </cell>
          <cell r="E1508">
            <v>1168</v>
          </cell>
          <cell r="F1508" t="str">
            <v>mm</v>
          </cell>
          <cell r="G1508" t="str">
            <v>Mitsubishi Chemical</v>
          </cell>
        </row>
        <row r="1509">
          <cell r="C1509" t="str">
            <v>AU241-WA-1A</v>
          </cell>
          <cell r="D1509" t="str">
            <v>AU241-WA-1</v>
          </cell>
          <cell r="E1509">
            <v>1168</v>
          </cell>
          <cell r="F1509" t="str">
            <v>mm</v>
          </cell>
          <cell r="G1509" t="str">
            <v>Mitsubishi Chemical</v>
          </cell>
        </row>
        <row r="1510">
          <cell r="C1510" t="str">
            <v>AU241-WR-1A</v>
          </cell>
          <cell r="D1510" t="str">
            <v>AU241-WR-1</v>
          </cell>
          <cell r="E1510">
            <v>1168</v>
          </cell>
          <cell r="F1510" t="str">
            <v>mm</v>
          </cell>
          <cell r="G1510" t="str">
            <v>Mitsubishi Chemical</v>
          </cell>
        </row>
        <row r="1511">
          <cell r="C1511" t="str">
            <v>AU241-WS-1A</v>
          </cell>
          <cell r="D1511" t="str">
            <v>AU241-WS-1</v>
          </cell>
          <cell r="E1511">
            <v>1168</v>
          </cell>
          <cell r="F1511" t="str">
            <v>mm</v>
          </cell>
          <cell r="G1511" t="str">
            <v>Mitsubishi Chemical</v>
          </cell>
        </row>
        <row r="1512">
          <cell r="C1512" t="str">
            <v>SF245-WSR1I</v>
          </cell>
          <cell r="D1512" t="str">
            <v>SF245-WSR1</v>
          </cell>
          <cell r="E1512">
            <v>1143</v>
          </cell>
          <cell r="F1512" t="str">
            <v>mm</v>
          </cell>
          <cell r="G1512" t="str">
            <v>Mitsubishi Chemical</v>
          </cell>
        </row>
        <row r="1513">
          <cell r="C1513" t="str">
            <v>AU240-WR-1A</v>
          </cell>
          <cell r="D1513" t="str">
            <v>AU240-WR-1</v>
          </cell>
          <cell r="E1513">
            <v>1168</v>
          </cell>
          <cell r="F1513" t="str">
            <v>mm</v>
          </cell>
          <cell r="G1513" t="str">
            <v>Mitsubishi Chemical</v>
          </cell>
        </row>
        <row r="1514">
          <cell r="C1514" t="str">
            <v>AU242-WW-1A</v>
          </cell>
          <cell r="D1514" t="str">
            <v>AU242-WW-1</v>
          </cell>
          <cell r="E1514">
            <v>1168</v>
          </cell>
          <cell r="F1514" t="str">
            <v>mm</v>
          </cell>
          <cell r="G1514" t="str">
            <v>Mitsubishi Chemical</v>
          </cell>
        </row>
        <row r="1515">
          <cell r="C1515" t="str">
            <v>YR190-UR-1A</v>
          </cell>
          <cell r="D1515" t="str">
            <v>YR190-UR-1</v>
          </cell>
          <cell r="E1515">
            <v>1020</v>
          </cell>
          <cell r="F1515" t="str">
            <v>mm</v>
          </cell>
          <cell r="G1515" t="str">
            <v>Mitsubishi Chemical</v>
          </cell>
        </row>
        <row r="1516">
          <cell r="C1516" t="str">
            <v>YR190-US-1A</v>
          </cell>
          <cell r="D1516" t="str">
            <v>YR190-US-1</v>
          </cell>
          <cell r="E1516">
            <v>1020</v>
          </cell>
          <cell r="F1516" t="str">
            <v>mm</v>
          </cell>
          <cell r="G1516" t="str">
            <v>Mitsubishi Chemical</v>
          </cell>
        </row>
        <row r="1517">
          <cell r="C1517" t="str">
            <v>YR190-USR1A</v>
          </cell>
          <cell r="D1517" t="str">
            <v>YR190-USR1</v>
          </cell>
          <cell r="E1517">
            <v>1020</v>
          </cell>
          <cell r="F1517" t="str">
            <v>mm</v>
          </cell>
          <cell r="G1517" t="str">
            <v>Mitsubishi Chemical</v>
          </cell>
        </row>
        <row r="1518">
          <cell r="C1518" t="str">
            <v>YR190-WR-1A</v>
          </cell>
          <cell r="D1518" t="str">
            <v>YR190-WR-1</v>
          </cell>
          <cell r="E1518">
            <v>1140</v>
          </cell>
          <cell r="F1518" t="str">
            <v>mm</v>
          </cell>
          <cell r="G1518" t="str">
            <v>Mitsubishi Chemical</v>
          </cell>
        </row>
        <row r="1519">
          <cell r="C1519" t="str">
            <v>YR190-WR-3A</v>
          </cell>
          <cell r="D1519" t="str">
            <v>YR190-WR-3</v>
          </cell>
          <cell r="E1519">
            <v>1068</v>
          </cell>
          <cell r="F1519" t="str">
            <v>mm</v>
          </cell>
          <cell r="G1519" t="str">
            <v>Mitsubishi Chemical</v>
          </cell>
        </row>
        <row r="1520">
          <cell r="C1520" t="str">
            <v>YR190-WS-1A</v>
          </cell>
          <cell r="D1520" t="str">
            <v>YR190-WS-1</v>
          </cell>
          <cell r="E1520">
            <v>1140</v>
          </cell>
          <cell r="F1520" t="str">
            <v>mm</v>
          </cell>
          <cell r="G1520" t="str">
            <v>Mitsubishi Chemical</v>
          </cell>
        </row>
        <row r="1521">
          <cell r="C1521" t="str">
            <v>YR190-WS-3A</v>
          </cell>
          <cell r="D1521" t="str">
            <v>YR190-WS-3</v>
          </cell>
          <cell r="E1521">
            <v>1068</v>
          </cell>
          <cell r="F1521" t="str">
            <v>mm</v>
          </cell>
          <cell r="G1521" t="str">
            <v>Mitsubishi Chemical</v>
          </cell>
        </row>
        <row r="1522">
          <cell r="C1522" t="str">
            <v>YR190-WSR1A</v>
          </cell>
          <cell r="D1522" t="str">
            <v>YR190-WSR1</v>
          </cell>
          <cell r="E1522">
            <v>1140</v>
          </cell>
          <cell r="F1522" t="str">
            <v>mm</v>
          </cell>
          <cell r="G1522" t="str">
            <v>Mitsubishi Chemical</v>
          </cell>
        </row>
        <row r="1523">
          <cell r="C1523" t="str">
            <v>YR190-WSR3A</v>
          </cell>
          <cell r="D1523" t="str">
            <v>YR190-WSR3</v>
          </cell>
          <cell r="E1523">
            <v>1068</v>
          </cell>
          <cell r="F1523" t="str">
            <v>mm</v>
          </cell>
          <cell r="G1523" t="str">
            <v>Mitsubishi Chemical</v>
          </cell>
        </row>
        <row r="1524">
          <cell r="C1524" t="str">
            <v>MX953-WS-1B</v>
          </cell>
          <cell r="D1524" t="str">
            <v>MX953-WS-1</v>
          </cell>
          <cell r="E1524">
            <v>1168</v>
          </cell>
          <cell r="F1524" t="str">
            <v>mm</v>
          </cell>
          <cell r="G1524" t="str">
            <v>Mitsubishi Chemical</v>
          </cell>
        </row>
        <row r="1525">
          <cell r="C1525" t="str">
            <v xml:space="preserve">MX955-WS-1B </v>
          </cell>
          <cell r="D1525" t="str">
            <v>MX955-WS-1</v>
          </cell>
          <cell r="E1525">
            <v>1168</v>
          </cell>
          <cell r="F1525" t="str">
            <v>mm</v>
          </cell>
          <cell r="G1525" t="str">
            <v>Mitsubishi Chemical</v>
          </cell>
        </row>
        <row r="1526">
          <cell r="C1526" t="str">
            <v>MX955-WX-1B</v>
          </cell>
          <cell r="D1526" t="str">
            <v>MX955-WX-1</v>
          </cell>
          <cell r="E1526">
            <v>1168</v>
          </cell>
          <cell r="F1526" t="str">
            <v>mm</v>
          </cell>
          <cell r="G1526" t="str">
            <v>Mitsubishi Chemical</v>
          </cell>
        </row>
        <row r="1527">
          <cell r="C1527" t="str">
            <v>AX184-WSR3PA</v>
          </cell>
          <cell r="D1527" t="str">
            <v>AX184-WSR3</v>
          </cell>
          <cell r="E1527">
            <v>1105</v>
          </cell>
          <cell r="F1527" t="str">
            <v>mm</v>
          </cell>
          <cell r="G1527" t="str">
            <v>Aldila</v>
          </cell>
        </row>
        <row r="1528">
          <cell r="C1528" t="str">
            <v>MY025-ILL4A</v>
          </cell>
          <cell r="D1528" t="str">
            <v>MY025-ILL4</v>
          </cell>
          <cell r="E1528">
            <v>978</v>
          </cell>
          <cell r="F1528" t="str">
            <v>mm</v>
          </cell>
          <cell r="G1528" t="str">
            <v>Mitsubishi Chemical</v>
          </cell>
        </row>
        <row r="1529">
          <cell r="C1529" t="str">
            <v>MY025-ILL5A</v>
          </cell>
          <cell r="D1529" t="str">
            <v>MY025-ILL5</v>
          </cell>
          <cell r="E1529">
            <v>965</v>
          </cell>
          <cell r="F1529" t="str">
            <v>mm</v>
          </cell>
          <cell r="G1529" t="str">
            <v>Mitsubishi Chemical</v>
          </cell>
        </row>
        <row r="1530">
          <cell r="C1530" t="str">
            <v>MY025-ILL6A</v>
          </cell>
          <cell r="D1530" t="str">
            <v>MY025-ILL6</v>
          </cell>
          <cell r="E1530">
            <v>953</v>
          </cell>
          <cell r="F1530" t="str">
            <v>mm</v>
          </cell>
          <cell r="G1530" t="str">
            <v>Mitsubishi Chemical</v>
          </cell>
        </row>
        <row r="1531">
          <cell r="C1531" t="str">
            <v>MY025-ILL8A</v>
          </cell>
          <cell r="D1531" t="str">
            <v>MY025-ILL8</v>
          </cell>
          <cell r="E1531">
            <v>927</v>
          </cell>
          <cell r="F1531" t="str">
            <v>mm</v>
          </cell>
          <cell r="G1531" t="str">
            <v>Mitsubishi Chemical</v>
          </cell>
        </row>
        <row r="1532">
          <cell r="C1532" t="str">
            <v>MY025-ILL9A</v>
          </cell>
          <cell r="D1532" t="str">
            <v>MY025-ILL9</v>
          </cell>
          <cell r="E1532">
            <v>914</v>
          </cell>
          <cell r="F1532" t="str">
            <v>mm</v>
          </cell>
          <cell r="G1532" t="str">
            <v>Mitsubishi Chemical</v>
          </cell>
        </row>
        <row r="1533">
          <cell r="C1533" t="str">
            <v>MY026-IL-4A</v>
          </cell>
          <cell r="D1533" t="str">
            <v>MY026-IL-4</v>
          </cell>
          <cell r="E1533">
            <v>1003</v>
          </cell>
          <cell r="F1533" t="str">
            <v>mm</v>
          </cell>
          <cell r="G1533" t="str">
            <v>Mitsubishi Chemical</v>
          </cell>
        </row>
        <row r="1534">
          <cell r="C1534" t="str">
            <v>MY026-IL-5A</v>
          </cell>
          <cell r="D1534" t="str">
            <v>MY026-IL-5</v>
          </cell>
          <cell r="E1534">
            <v>991</v>
          </cell>
          <cell r="F1534" t="str">
            <v>mm</v>
          </cell>
          <cell r="G1534" t="str">
            <v>Mitsubishi Chemical</v>
          </cell>
        </row>
        <row r="1535">
          <cell r="C1535" t="str">
            <v>MY026-IL-6A</v>
          </cell>
          <cell r="D1535" t="str">
            <v>MY026-IL-6</v>
          </cell>
          <cell r="E1535">
            <v>978</v>
          </cell>
          <cell r="F1535" t="str">
            <v>mm</v>
          </cell>
          <cell r="G1535" t="str">
            <v>Mitsubishi Chemical</v>
          </cell>
        </row>
        <row r="1536">
          <cell r="C1536" t="str">
            <v>MY026-IL-7A</v>
          </cell>
          <cell r="D1536" t="str">
            <v>MY026-IL-7</v>
          </cell>
          <cell r="E1536">
            <v>965</v>
          </cell>
          <cell r="F1536" t="str">
            <v>mm</v>
          </cell>
          <cell r="G1536" t="str">
            <v>Mitsubishi Chemical</v>
          </cell>
        </row>
        <row r="1537">
          <cell r="C1537" t="str">
            <v>MY026-IL-8A</v>
          </cell>
          <cell r="D1537" t="str">
            <v>MY026-IL-8</v>
          </cell>
          <cell r="E1537">
            <v>953</v>
          </cell>
          <cell r="F1537" t="str">
            <v>mm</v>
          </cell>
          <cell r="G1537" t="str">
            <v>Mitsubishi Chemical</v>
          </cell>
        </row>
        <row r="1538">
          <cell r="C1538" t="str">
            <v>MY026-IL-9A</v>
          </cell>
          <cell r="D1538" t="str">
            <v>MY026-IL-9</v>
          </cell>
          <cell r="E1538">
            <v>940</v>
          </cell>
          <cell r="F1538" t="str">
            <v>mm</v>
          </cell>
          <cell r="G1538" t="str">
            <v>Mitsubishi Chemical</v>
          </cell>
        </row>
        <row r="1539">
          <cell r="C1539" t="str">
            <v>MY026-IL-PA</v>
          </cell>
          <cell r="D1539" t="str">
            <v>MY026-IL-P</v>
          </cell>
          <cell r="E1539">
            <v>927</v>
          </cell>
          <cell r="F1539" t="str">
            <v>mm</v>
          </cell>
          <cell r="G1539" t="str">
            <v>Mitsubishi Chemical</v>
          </cell>
        </row>
        <row r="1540">
          <cell r="C1540" t="str">
            <v>MY027-IA-4A</v>
          </cell>
          <cell r="D1540" t="str">
            <v>MY027-IA-4</v>
          </cell>
          <cell r="E1540">
            <v>1003</v>
          </cell>
          <cell r="F1540" t="str">
            <v>mm</v>
          </cell>
          <cell r="G1540" t="str">
            <v>Mitsubishi Chemical</v>
          </cell>
        </row>
        <row r="1541">
          <cell r="C1541" t="str">
            <v>MY027-IA-5A</v>
          </cell>
          <cell r="D1541" t="str">
            <v>MY027-IA-5</v>
          </cell>
          <cell r="E1541">
            <v>991</v>
          </cell>
          <cell r="F1541" t="str">
            <v>mm</v>
          </cell>
          <cell r="G1541" t="str">
            <v>Mitsubishi Chemical</v>
          </cell>
        </row>
        <row r="1542">
          <cell r="C1542" t="str">
            <v>MY027-IA-7A</v>
          </cell>
          <cell r="D1542" t="str">
            <v>MY027-IA-7</v>
          </cell>
          <cell r="E1542">
            <v>965</v>
          </cell>
          <cell r="F1542" t="str">
            <v>mm</v>
          </cell>
          <cell r="G1542" t="str">
            <v>Mitsubishi Chemical</v>
          </cell>
        </row>
        <row r="1543">
          <cell r="C1543" t="str">
            <v>MY027-IA-8A</v>
          </cell>
          <cell r="D1543" t="str">
            <v>MY027-IA-8</v>
          </cell>
          <cell r="E1543">
            <v>953</v>
          </cell>
          <cell r="F1543" t="str">
            <v>mm</v>
          </cell>
          <cell r="G1543" t="str">
            <v>Mitsubishi Chemical</v>
          </cell>
        </row>
        <row r="1544">
          <cell r="C1544" t="str">
            <v>MY027-IA-9A</v>
          </cell>
          <cell r="D1544" t="str">
            <v>MY027-IA-9</v>
          </cell>
          <cell r="E1544">
            <v>940</v>
          </cell>
          <cell r="F1544" t="str">
            <v>mm</v>
          </cell>
          <cell r="G1544" t="str">
            <v>Mitsubishi Chemical</v>
          </cell>
        </row>
        <row r="1545">
          <cell r="C1545" t="str">
            <v>MY027-IA-PA</v>
          </cell>
          <cell r="D1545" t="str">
            <v>MY027-IA-P</v>
          </cell>
          <cell r="E1545">
            <v>927</v>
          </cell>
          <cell r="F1545" t="str">
            <v>mm</v>
          </cell>
          <cell r="G1545" t="str">
            <v>Mitsubishi Chemical</v>
          </cell>
        </row>
        <row r="1546">
          <cell r="C1546" t="str">
            <v>MY027-IR-3A</v>
          </cell>
          <cell r="D1546" t="str">
            <v>MY027-IR-3</v>
          </cell>
          <cell r="E1546">
            <v>1016</v>
          </cell>
          <cell r="F1546" t="str">
            <v>mm</v>
          </cell>
          <cell r="G1546" t="str">
            <v>Mitsubishi Chemical</v>
          </cell>
        </row>
        <row r="1547">
          <cell r="C1547" t="str">
            <v>MY027-IR-4A</v>
          </cell>
          <cell r="D1547" t="str">
            <v>MY027-IR-4</v>
          </cell>
          <cell r="E1547">
            <v>1003</v>
          </cell>
          <cell r="F1547" t="str">
            <v>mm</v>
          </cell>
          <cell r="G1547" t="str">
            <v>Mitsubishi Chemical</v>
          </cell>
        </row>
        <row r="1548">
          <cell r="C1548" t="str">
            <v>MY027-IR-6A</v>
          </cell>
          <cell r="D1548" t="str">
            <v>MY027-IR-6</v>
          </cell>
          <cell r="E1548">
            <v>978</v>
          </cell>
          <cell r="F1548" t="str">
            <v>mm</v>
          </cell>
          <cell r="G1548" t="str">
            <v>Mitsubishi Chemical</v>
          </cell>
        </row>
        <row r="1549">
          <cell r="C1549" t="str">
            <v>MY027-IR-8A</v>
          </cell>
          <cell r="D1549" t="str">
            <v>MY027-IR-8</v>
          </cell>
          <cell r="E1549">
            <v>953</v>
          </cell>
          <cell r="F1549" t="str">
            <v>mm</v>
          </cell>
          <cell r="G1549" t="str">
            <v>Mitsubishi Chemical</v>
          </cell>
        </row>
        <row r="1550">
          <cell r="C1550" t="str">
            <v>MY027-IR-PA</v>
          </cell>
          <cell r="D1550" t="str">
            <v>MY027-IR-P</v>
          </cell>
          <cell r="E1550">
            <v>927</v>
          </cell>
          <cell r="F1550" t="str">
            <v>mm</v>
          </cell>
          <cell r="G1550" t="str">
            <v>Mitsubishi Chemical</v>
          </cell>
        </row>
        <row r="1551">
          <cell r="C1551" t="str">
            <v>MY027-IS-3A</v>
          </cell>
          <cell r="D1551" t="str">
            <v>MY027-IS-3</v>
          </cell>
          <cell r="E1551">
            <v>1016</v>
          </cell>
          <cell r="F1551" t="str">
            <v>mm</v>
          </cell>
          <cell r="G1551" t="str">
            <v>Mitsubishi Chemical</v>
          </cell>
        </row>
        <row r="1552">
          <cell r="C1552" t="str">
            <v>MY027-IS-4A</v>
          </cell>
          <cell r="D1552" t="str">
            <v>MY027-IS-4</v>
          </cell>
          <cell r="E1552">
            <v>1003</v>
          </cell>
          <cell r="F1552" t="str">
            <v>mm</v>
          </cell>
          <cell r="G1552" t="str">
            <v>Mitsubishi Chemical</v>
          </cell>
        </row>
        <row r="1553">
          <cell r="C1553" t="str">
            <v>MY027-IS-5A</v>
          </cell>
          <cell r="D1553" t="str">
            <v>MY027-IS-5</v>
          </cell>
          <cell r="E1553">
            <v>991</v>
          </cell>
          <cell r="F1553" t="str">
            <v>mm</v>
          </cell>
          <cell r="G1553" t="str">
            <v>Mitsubishi Chemical</v>
          </cell>
        </row>
        <row r="1554">
          <cell r="C1554" t="str">
            <v>MY027-IS-6A</v>
          </cell>
          <cell r="D1554" t="str">
            <v>MY027-IS-6</v>
          </cell>
          <cell r="E1554">
            <v>978</v>
          </cell>
          <cell r="F1554" t="str">
            <v>mm</v>
          </cell>
          <cell r="G1554" t="str">
            <v>Mitsubishi Chemical</v>
          </cell>
        </row>
        <row r="1555">
          <cell r="C1555" t="str">
            <v>MY027-IS-7A</v>
          </cell>
          <cell r="D1555" t="str">
            <v>MY027-IS-7</v>
          </cell>
          <cell r="E1555">
            <v>965</v>
          </cell>
          <cell r="F1555" t="str">
            <v>mm</v>
          </cell>
          <cell r="G1555" t="str">
            <v>Mitsubishi Chemical</v>
          </cell>
        </row>
        <row r="1556">
          <cell r="C1556" t="str">
            <v>MY027-IS-8A</v>
          </cell>
          <cell r="D1556" t="str">
            <v>MY027-IS-8</v>
          </cell>
          <cell r="E1556">
            <v>953</v>
          </cell>
          <cell r="F1556" t="str">
            <v>mm</v>
          </cell>
          <cell r="G1556" t="str">
            <v>Mitsubishi Chemical</v>
          </cell>
        </row>
        <row r="1557">
          <cell r="C1557" t="str">
            <v>MY027-IS-9A</v>
          </cell>
          <cell r="D1557" t="str">
            <v>MY027-IS-9</v>
          </cell>
          <cell r="E1557">
            <v>940</v>
          </cell>
          <cell r="F1557" t="str">
            <v>mm</v>
          </cell>
          <cell r="G1557" t="str">
            <v>Mitsubishi Chemical</v>
          </cell>
        </row>
        <row r="1558">
          <cell r="C1558" t="str">
            <v>MY027-IS-PA</v>
          </cell>
          <cell r="D1558" t="str">
            <v>MY027-IS-P</v>
          </cell>
          <cell r="E1558">
            <v>927</v>
          </cell>
          <cell r="F1558" t="str">
            <v>mm</v>
          </cell>
          <cell r="G1558" t="str">
            <v>Mitsubishi Chemical</v>
          </cell>
        </row>
        <row r="1559">
          <cell r="C1559" t="str">
            <v>MY028-IR-3A</v>
          </cell>
          <cell r="D1559" t="str">
            <v>MY028-IR-3</v>
          </cell>
          <cell r="E1559">
            <v>1016</v>
          </cell>
          <cell r="F1559" t="str">
            <v>mm</v>
          </cell>
          <cell r="G1559" t="str">
            <v>Mitsubishi Chemical</v>
          </cell>
        </row>
        <row r="1560">
          <cell r="C1560" t="str">
            <v>MY028-IR-5A</v>
          </cell>
          <cell r="D1560" t="str">
            <v>MY028-IR-5</v>
          </cell>
          <cell r="E1560">
            <v>991</v>
          </cell>
          <cell r="F1560" t="str">
            <v>mm</v>
          </cell>
          <cell r="G1560" t="str">
            <v>Mitsubishi Chemical</v>
          </cell>
        </row>
        <row r="1561">
          <cell r="C1561" t="str">
            <v>MY028-IR-8A</v>
          </cell>
          <cell r="D1561" t="str">
            <v>MY028-IR-8</v>
          </cell>
          <cell r="E1561">
            <v>953</v>
          </cell>
          <cell r="F1561" t="str">
            <v>mm</v>
          </cell>
          <cell r="G1561" t="str">
            <v>Mitsubishi Chemical</v>
          </cell>
        </row>
        <row r="1562">
          <cell r="C1562" t="str">
            <v>MY028-IS-3A</v>
          </cell>
          <cell r="D1562" t="str">
            <v>MY028-IS-3</v>
          </cell>
          <cell r="E1562">
            <v>1016</v>
          </cell>
          <cell r="F1562" t="str">
            <v>mm</v>
          </cell>
          <cell r="G1562" t="str">
            <v>Mitsubishi Chemical</v>
          </cell>
        </row>
        <row r="1563">
          <cell r="C1563" t="str">
            <v>MY028-IS-4A</v>
          </cell>
          <cell r="D1563" t="str">
            <v>MY028-IS-4</v>
          </cell>
          <cell r="E1563">
            <v>1003</v>
          </cell>
          <cell r="F1563" t="str">
            <v>mm</v>
          </cell>
          <cell r="G1563" t="str">
            <v>Mitsubishi Chemical</v>
          </cell>
        </row>
        <row r="1564">
          <cell r="C1564" t="str">
            <v>MY028-IS-5A</v>
          </cell>
          <cell r="D1564" t="str">
            <v>MY028-IS-5</v>
          </cell>
          <cell r="E1564">
            <v>991</v>
          </cell>
          <cell r="F1564" t="str">
            <v>mm</v>
          </cell>
          <cell r="G1564" t="str">
            <v>Mitsubishi Chemical</v>
          </cell>
        </row>
        <row r="1565">
          <cell r="C1565" t="str">
            <v>MY028-IS-6A</v>
          </cell>
          <cell r="D1565" t="str">
            <v>MY028-IS-6</v>
          </cell>
          <cell r="E1565">
            <v>978</v>
          </cell>
          <cell r="F1565" t="str">
            <v>mm</v>
          </cell>
          <cell r="G1565" t="str">
            <v>Mitsubishi Chemical</v>
          </cell>
        </row>
        <row r="1566">
          <cell r="C1566" t="str">
            <v>MY028-IS-7A</v>
          </cell>
          <cell r="D1566" t="str">
            <v>MY028-IS-7</v>
          </cell>
          <cell r="E1566">
            <v>965</v>
          </cell>
          <cell r="F1566" t="str">
            <v>mm</v>
          </cell>
          <cell r="G1566" t="str">
            <v>Mitsubishi Chemical</v>
          </cell>
        </row>
        <row r="1567">
          <cell r="C1567" t="str">
            <v>MY028-IS-8A</v>
          </cell>
          <cell r="D1567" t="str">
            <v>MY028-IS-8</v>
          </cell>
          <cell r="E1567">
            <v>953</v>
          </cell>
          <cell r="F1567" t="str">
            <v>mm</v>
          </cell>
          <cell r="G1567" t="str">
            <v>Mitsubishi Chemical</v>
          </cell>
        </row>
        <row r="1568">
          <cell r="C1568" t="str">
            <v>MY028-IS-9A</v>
          </cell>
          <cell r="D1568" t="str">
            <v>MY028-IS-9</v>
          </cell>
          <cell r="E1568">
            <v>940</v>
          </cell>
          <cell r="F1568" t="str">
            <v>mm</v>
          </cell>
          <cell r="G1568" t="str">
            <v>Mitsubishi Chemical</v>
          </cell>
        </row>
        <row r="1569">
          <cell r="C1569" t="str">
            <v>MY028-IS-PA</v>
          </cell>
          <cell r="D1569" t="str">
            <v>MY028-IS-P</v>
          </cell>
          <cell r="E1569">
            <v>927</v>
          </cell>
          <cell r="F1569" t="str">
            <v>mm</v>
          </cell>
          <cell r="G1569" t="str">
            <v>Mitsubishi Chemical</v>
          </cell>
        </row>
        <row r="1570">
          <cell r="C1570" t="str">
            <v>MY028-IR-9A</v>
          </cell>
          <cell r="D1570" t="str">
            <v>MY028-IR-9</v>
          </cell>
          <cell r="E1570">
            <v>940</v>
          </cell>
          <cell r="F1570" t="str">
            <v>mm</v>
          </cell>
          <cell r="G1570" t="str">
            <v>Mitsubishi Chemical</v>
          </cell>
        </row>
        <row r="1571">
          <cell r="C1571" t="str">
            <v>MY028-IR-PA</v>
          </cell>
          <cell r="D1571" t="str">
            <v>MY028-IR-P</v>
          </cell>
          <cell r="E1571">
            <v>927</v>
          </cell>
          <cell r="F1571" t="str">
            <v>mm</v>
          </cell>
          <cell r="G1571" t="str">
            <v>Mitsubishi Chemical</v>
          </cell>
        </row>
        <row r="1572">
          <cell r="C1572" t="str">
            <v>MY028-IR-6A</v>
          </cell>
          <cell r="D1572" t="str">
            <v>MY028-IR-6</v>
          </cell>
          <cell r="E1572">
            <v>978</v>
          </cell>
          <cell r="F1572" t="str">
            <v>mm</v>
          </cell>
          <cell r="G1572" t="str">
            <v>Mitsubishi Chemical</v>
          </cell>
        </row>
        <row r="1573">
          <cell r="C1573" t="str">
            <v>MY028-IR-7A</v>
          </cell>
          <cell r="D1573" t="str">
            <v>MY028-IR-7</v>
          </cell>
          <cell r="E1573">
            <v>965</v>
          </cell>
          <cell r="F1573" t="str">
            <v>mm</v>
          </cell>
          <cell r="G1573" t="str">
            <v>Mitsubishi Chemical</v>
          </cell>
        </row>
        <row r="1574">
          <cell r="C1574" t="str">
            <v>MY028-IR-4A</v>
          </cell>
          <cell r="D1574" t="str">
            <v>MY028-IR-4</v>
          </cell>
          <cell r="E1574">
            <v>1003</v>
          </cell>
          <cell r="F1574" t="str">
            <v>mm</v>
          </cell>
          <cell r="G1574" t="str">
            <v>Mitsubishi Chemical</v>
          </cell>
        </row>
        <row r="1575">
          <cell r="C1575" t="str">
            <v>MY027-IR-9A</v>
          </cell>
          <cell r="D1575" t="str">
            <v>MY027-IR-9</v>
          </cell>
          <cell r="E1575">
            <v>940</v>
          </cell>
          <cell r="F1575" t="str">
            <v>mm</v>
          </cell>
          <cell r="G1575" t="str">
            <v>Mitsubishi Chemical</v>
          </cell>
        </row>
        <row r="1576">
          <cell r="C1576" t="str">
            <v>MY027-IR-7A</v>
          </cell>
          <cell r="D1576" t="str">
            <v>MY027-IR-7</v>
          </cell>
          <cell r="E1576">
            <v>965</v>
          </cell>
          <cell r="F1576" t="str">
            <v>mm</v>
          </cell>
          <cell r="G1576" t="str">
            <v>Mitsubishi Chemical</v>
          </cell>
        </row>
        <row r="1577">
          <cell r="C1577" t="str">
            <v>MY027-IR-5A</v>
          </cell>
          <cell r="D1577" t="str">
            <v>MY027-IR-5</v>
          </cell>
          <cell r="E1577">
            <v>991</v>
          </cell>
          <cell r="F1577" t="str">
            <v>mm</v>
          </cell>
          <cell r="G1577" t="str">
            <v>Mitsubishi Chemical</v>
          </cell>
        </row>
        <row r="1578">
          <cell r="C1578" t="str">
            <v>MY027-IA-6A</v>
          </cell>
          <cell r="D1578" t="str">
            <v>MY027-IA-6</v>
          </cell>
          <cell r="E1578">
            <v>978</v>
          </cell>
          <cell r="F1578" t="str">
            <v>mm</v>
          </cell>
          <cell r="G1578" t="str">
            <v>Mitsubishi Chemical</v>
          </cell>
        </row>
        <row r="1579">
          <cell r="C1579" t="str">
            <v>MY025-ILLPA</v>
          </cell>
          <cell r="D1579" t="str">
            <v>MY025-ILLP</v>
          </cell>
          <cell r="E1579">
            <v>902</v>
          </cell>
          <cell r="F1579" t="str">
            <v>mm</v>
          </cell>
          <cell r="G1579" t="str">
            <v>Mitsubishi Chemical</v>
          </cell>
        </row>
        <row r="1580">
          <cell r="C1580" t="str">
            <v>MY025-ILL7A</v>
          </cell>
          <cell r="D1580" t="str">
            <v>MY025-ILL7</v>
          </cell>
          <cell r="E1580">
            <v>940</v>
          </cell>
          <cell r="F1580" t="str">
            <v>mm</v>
          </cell>
          <cell r="G1580" t="str">
            <v>Mitsubishi Chemical</v>
          </cell>
        </row>
        <row r="1581">
          <cell r="C1581" t="str">
            <v>AU235-WTX1A</v>
          </cell>
          <cell r="D1581" t="str">
            <v>AU235-WTX1</v>
          </cell>
          <cell r="E1581">
            <v>1168</v>
          </cell>
          <cell r="F1581" t="str">
            <v>mm</v>
          </cell>
          <cell r="G1581" t="str">
            <v>Mitsubishi Chemical</v>
          </cell>
        </row>
        <row r="1582">
          <cell r="C1582" t="str">
            <v>MX955-WS-1B</v>
          </cell>
          <cell r="D1582" t="str">
            <v>MX955-WS-1</v>
          </cell>
          <cell r="E1582">
            <v>1168</v>
          </cell>
          <cell r="F1582" t="str">
            <v>mm</v>
          </cell>
          <cell r="G1582" t="str">
            <v>Mitsubishi Chemical</v>
          </cell>
        </row>
        <row r="1583">
          <cell r="C1583" t="str">
            <v>CW159-WW-1A</v>
          </cell>
          <cell r="D1583" t="str">
            <v>CW159-WW-1</v>
          </cell>
          <cell r="E1583">
            <v>1144</v>
          </cell>
          <cell r="F1583" t="str">
            <v>mm</v>
          </cell>
          <cell r="G1583" t="str">
            <v>Mitsubishi Chemical</v>
          </cell>
        </row>
        <row r="1584">
          <cell r="C1584" t="str">
            <v>AU234-WTX1A</v>
          </cell>
          <cell r="D1584" t="str">
            <v>AU234-WTX1</v>
          </cell>
          <cell r="E1584">
            <v>1168</v>
          </cell>
          <cell r="F1584" t="str">
            <v>mm</v>
          </cell>
          <cell r="G1584" t="str">
            <v>Mitsubishi Chemical</v>
          </cell>
        </row>
        <row r="1585">
          <cell r="C1585" t="str">
            <v>AU237-WTX1A</v>
          </cell>
          <cell r="D1585" t="str">
            <v>AU237-WTX1</v>
          </cell>
          <cell r="E1585">
            <v>1168</v>
          </cell>
          <cell r="F1585" t="str">
            <v>mm</v>
          </cell>
          <cell r="G1585" t="str">
            <v>Mitsubishi Chemical</v>
          </cell>
        </row>
        <row r="1586">
          <cell r="C1586" t="str">
            <v>AU236-WTX1A</v>
          </cell>
          <cell r="D1586" t="str">
            <v>AU236-WTX1</v>
          </cell>
          <cell r="E1586">
            <v>1168</v>
          </cell>
          <cell r="F1586" t="str">
            <v>mm</v>
          </cell>
          <cell r="G1586" t="str">
            <v>Mitsubishi Chemical</v>
          </cell>
        </row>
        <row r="1587">
          <cell r="C1587" t="str">
            <v>AU238-WTX1A</v>
          </cell>
          <cell r="D1587" t="str">
            <v>AU238-WTX1</v>
          </cell>
          <cell r="E1587">
            <v>1168</v>
          </cell>
          <cell r="F1587" t="str">
            <v>mm</v>
          </cell>
          <cell r="G1587" t="str">
            <v>Mitsubishi Chemical</v>
          </cell>
        </row>
        <row r="1588">
          <cell r="C1588" t="str">
            <v>YR174-IR-5A</v>
          </cell>
          <cell r="D1588" t="str">
            <v>YR174-IR-5</v>
          </cell>
          <cell r="E1588">
            <v>994</v>
          </cell>
          <cell r="F1588" t="str">
            <v>mm</v>
          </cell>
          <cell r="G1588" t="str">
            <v>Mitsubishi Chemical</v>
          </cell>
        </row>
        <row r="1589">
          <cell r="C1589" t="str">
            <v>YR174-IR-6A</v>
          </cell>
          <cell r="D1589" t="str">
            <v>YR174-IR-6</v>
          </cell>
          <cell r="E1589">
            <v>981</v>
          </cell>
          <cell r="F1589" t="str">
            <v>mm</v>
          </cell>
          <cell r="G1589" t="str">
            <v>Mitsubishi Chemical</v>
          </cell>
        </row>
        <row r="1590">
          <cell r="C1590" t="str">
            <v>CB049-WX-1A</v>
          </cell>
          <cell r="D1590" t="str">
            <v>CB049-WX-1</v>
          </cell>
          <cell r="E1590">
            <v>1168</v>
          </cell>
          <cell r="F1590" t="str">
            <v>mm</v>
          </cell>
          <cell r="G1590" t="str">
            <v>Mitsubishi Chemical</v>
          </cell>
        </row>
        <row r="1591">
          <cell r="C1591" t="str">
            <v>MX948-WS-1A</v>
          </cell>
          <cell r="D1591" t="str">
            <v>MX948-WS-1</v>
          </cell>
          <cell r="E1591">
            <v>1168</v>
          </cell>
          <cell r="F1591" t="str">
            <v>mm</v>
          </cell>
          <cell r="G1591" t="str">
            <v>Mitsubishi Chemical</v>
          </cell>
        </row>
        <row r="1592">
          <cell r="C1592" t="str">
            <v>MX721-IS-4A</v>
          </cell>
          <cell r="D1592" t="str">
            <v>MX721-IS-4</v>
          </cell>
          <cell r="E1592">
            <v>978</v>
          </cell>
          <cell r="F1592" t="str">
            <v>mm</v>
          </cell>
          <cell r="G1592" t="str">
            <v>Mitsubishi Chemical</v>
          </cell>
        </row>
        <row r="1593">
          <cell r="C1593" t="str">
            <v>MX729-IR-4A</v>
          </cell>
          <cell r="D1593" t="str">
            <v>MX729-IR-4</v>
          </cell>
          <cell r="E1593">
            <v>1003</v>
          </cell>
          <cell r="F1593" t="str">
            <v>mm</v>
          </cell>
          <cell r="G1593" t="str">
            <v>Mitsubishi Chemical</v>
          </cell>
        </row>
        <row r="1594">
          <cell r="C1594" t="str">
            <v>MX669-IS-5A</v>
          </cell>
          <cell r="D1594" t="str">
            <v>MX669-IS-5</v>
          </cell>
          <cell r="E1594">
            <v>965</v>
          </cell>
          <cell r="F1594" t="str">
            <v>mm</v>
          </cell>
          <cell r="G1594" t="str">
            <v>Mitsubishi Chemical</v>
          </cell>
        </row>
        <row r="1595">
          <cell r="C1595" t="str">
            <v>MX669-IS-6A</v>
          </cell>
          <cell r="D1595" t="str">
            <v>MX669-IS-6</v>
          </cell>
          <cell r="E1595">
            <v>953</v>
          </cell>
          <cell r="F1595" t="str">
            <v>mm</v>
          </cell>
          <cell r="G1595" t="str">
            <v>Mitsubishi Chemical</v>
          </cell>
        </row>
        <row r="1596">
          <cell r="C1596" t="str">
            <v>AX186-WR-1AA</v>
          </cell>
          <cell r="D1596" t="str">
            <v>AX186-WR-1</v>
          </cell>
          <cell r="E1596">
            <v>1168</v>
          </cell>
          <cell r="F1596" t="str">
            <v>mm</v>
          </cell>
          <cell r="G1596" t="str">
            <v>Aldila</v>
          </cell>
        </row>
        <row r="1597">
          <cell r="C1597" t="str">
            <v>MX726-IS-4A</v>
          </cell>
          <cell r="D1597" t="str">
            <v>MX726-IS-4</v>
          </cell>
          <cell r="E1597">
            <v>978</v>
          </cell>
          <cell r="F1597" t="str">
            <v>mm</v>
          </cell>
          <cell r="G1597" t="str">
            <v>Mitsubishi Chemical</v>
          </cell>
        </row>
        <row r="1598">
          <cell r="C1598" t="str">
            <v>MX681-ITX3A</v>
          </cell>
          <cell r="D1598" t="str">
            <v>MX681-ITX3</v>
          </cell>
          <cell r="E1598">
            <v>991</v>
          </cell>
          <cell r="F1598" t="str">
            <v>mm</v>
          </cell>
          <cell r="G1598" t="str">
            <v>Mitsubishi Chemical</v>
          </cell>
        </row>
        <row r="1599">
          <cell r="C1599" t="str">
            <v>MY015-WA-1AO</v>
          </cell>
          <cell r="D1599" t="str">
            <v>MY015-WA-1</v>
          </cell>
          <cell r="E1599">
            <v>1168</v>
          </cell>
          <cell r="F1599" t="str">
            <v>mm</v>
          </cell>
          <cell r="G1599" t="str">
            <v>Mitsubishi Chemical</v>
          </cell>
        </row>
        <row r="1600">
          <cell r="C1600" t="str">
            <v>MY015-WR-1AO</v>
          </cell>
          <cell r="D1600" t="str">
            <v>MY015-WR-1</v>
          </cell>
          <cell r="E1600">
            <v>1168</v>
          </cell>
          <cell r="F1600" t="str">
            <v>mm</v>
          </cell>
          <cell r="G1600" t="str">
            <v>Mitsubishi Chemical</v>
          </cell>
        </row>
        <row r="1601">
          <cell r="C1601" t="str">
            <v>MX698-IL-1AO</v>
          </cell>
          <cell r="D1601" t="str">
            <v>MX698-IL-1</v>
          </cell>
          <cell r="E1601">
            <v>1067</v>
          </cell>
          <cell r="F1601" t="str">
            <v>mm</v>
          </cell>
          <cell r="G1601" t="str">
            <v>Mitsubishi Chemical</v>
          </cell>
        </row>
        <row r="1602">
          <cell r="C1602" t="str">
            <v>MX700-IR-1AO</v>
          </cell>
          <cell r="D1602" t="str">
            <v>MX700-IR-1</v>
          </cell>
          <cell r="E1602">
            <v>1067</v>
          </cell>
          <cell r="F1602" t="str">
            <v>mm</v>
          </cell>
          <cell r="G1602" t="str">
            <v>Mitsubishi Chemical</v>
          </cell>
        </row>
        <row r="1603">
          <cell r="C1603" t="str">
            <v>MX701-IS-1AO</v>
          </cell>
          <cell r="D1603" t="str">
            <v>MX701-IS-1</v>
          </cell>
          <cell r="E1603">
            <v>1067</v>
          </cell>
          <cell r="F1603" t="str">
            <v>mm</v>
          </cell>
          <cell r="G1603" t="str">
            <v>Mitsubishi Chemical</v>
          </cell>
        </row>
        <row r="1604">
          <cell r="C1604" t="str">
            <v>AX066-WR-1AA</v>
          </cell>
          <cell r="D1604" t="str">
            <v>AX066-WR-1</v>
          </cell>
          <cell r="E1604">
            <v>1168</v>
          </cell>
          <cell r="F1604" t="str">
            <v>mm</v>
          </cell>
          <cell r="G1604" t="str">
            <v>Aldila</v>
          </cell>
        </row>
        <row r="1605">
          <cell r="C1605" t="str">
            <v>AX066-WS-1AA</v>
          </cell>
          <cell r="D1605" t="str">
            <v>AX066-WS-1</v>
          </cell>
          <cell r="E1605">
            <v>1168</v>
          </cell>
          <cell r="F1605" t="str">
            <v>mm</v>
          </cell>
          <cell r="G1605" t="str">
            <v>Aldila</v>
          </cell>
        </row>
        <row r="1606">
          <cell r="C1606" t="str">
            <v>MY016-WR-1AO</v>
          </cell>
          <cell r="D1606" t="str">
            <v>MY016-WR-1</v>
          </cell>
          <cell r="E1606">
            <v>1168</v>
          </cell>
          <cell r="F1606" t="str">
            <v>mm</v>
          </cell>
          <cell r="G1606" t="str">
            <v>Mitsubishi Chemical</v>
          </cell>
        </row>
        <row r="1607">
          <cell r="C1607" t="str">
            <v>MX954-WX-1A</v>
          </cell>
          <cell r="D1607" t="str">
            <v>MX954-WX-1</v>
          </cell>
          <cell r="E1607">
            <v>1168</v>
          </cell>
          <cell r="F1607" t="str">
            <v>mm</v>
          </cell>
          <cell r="G1607" t="str">
            <v>Mitsubishi Chemical</v>
          </cell>
        </row>
        <row r="1608">
          <cell r="C1608" t="str">
            <v>CL057-WR-1A</v>
          </cell>
          <cell r="D1608" t="str">
            <v>CL057-WR-1</v>
          </cell>
          <cell r="E1608">
            <v>1168</v>
          </cell>
          <cell r="F1608" t="str">
            <v>mm</v>
          </cell>
          <cell r="G1608" t="str">
            <v>Mitsubishi Chemical</v>
          </cell>
        </row>
        <row r="1609">
          <cell r="C1609" t="str">
            <v>CL055-WS-1A</v>
          </cell>
          <cell r="D1609" t="str">
            <v>CL055-WS-1</v>
          </cell>
          <cell r="E1609">
            <v>1168</v>
          </cell>
          <cell r="F1609" t="str">
            <v>mm</v>
          </cell>
          <cell r="G1609" t="str">
            <v>Mitsubishi Chemical</v>
          </cell>
        </row>
        <row r="1610">
          <cell r="C1610" t="str">
            <v>CL057-WA-1A</v>
          </cell>
          <cell r="D1610" t="str">
            <v>CL057-WA-1</v>
          </cell>
          <cell r="E1610">
            <v>1168</v>
          </cell>
          <cell r="F1610" t="str">
            <v>mm</v>
          </cell>
          <cell r="G1610" t="str">
            <v>Mitsubishi Chemical</v>
          </cell>
        </row>
        <row r="1611">
          <cell r="C1611" t="str">
            <v>CL057-WR-1A</v>
          </cell>
          <cell r="D1611" t="str">
            <v>CL057-WR-1</v>
          </cell>
          <cell r="E1611">
            <v>1168</v>
          </cell>
          <cell r="F1611" t="str">
            <v>mm</v>
          </cell>
          <cell r="G1611" t="str">
            <v>Mitsubishi Chemical</v>
          </cell>
        </row>
        <row r="1612">
          <cell r="C1612" t="str">
            <v>CL057-WR-1A</v>
          </cell>
          <cell r="D1612" t="str">
            <v>CL057-WR-1</v>
          </cell>
          <cell r="E1612">
            <v>1168</v>
          </cell>
          <cell r="F1612" t="str">
            <v>mm</v>
          </cell>
          <cell r="G1612" t="str">
            <v>Mitsubishi Chemical</v>
          </cell>
        </row>
        <row r="1613">
          <cell r="C1613" t="str">
            <v>CL057-WR-1A</v>
          </cell>
          <cell r="D1613" t="str">
            <v>CL057-WR-1</v>
          </cell>
          <cell r="E1613">
            <v>1168</v>
          </cell>
          <cell r="F1613" t="str">
            <v>mm</v>
          </cell>
          <cell r="G1613" t="str">
            <v>Mitsubishi Chemical</v>
          </cell>
        </row>
        <row r="1614">
          <cell r="C1614" t="str">
            <v>CL057-WA-1A</v>
          </cell>
          <cell r="D1614" t="str">
            <v>CL057-WA-1</v>
          </cell>
          <cell r="E1614">
            <v>1168</v>
          </cell>
          <cell r="F1614" t="str">
            <v>mm</v>
          </cell>
          <cell r="G1614" t="str">
            <v>Mitsubishi Chemical</v>
          </cell>
        </row>
        <row r="1615">
          <cell r="C1615" t="str">
            <v>CL057-WA-1A</v>
          </cell>
          <cell r="D1615" t="str">
            <v>CL057-WA-1</v>
          </cell>
          <cell r="E1615">
            <v>1168</v>
          </cell>
          <cell r="F1615" t="str">
            <v>mm</v>
          </cell>
          <cell r="G1615" t="str">
            <v>Mitsubishi Chemical</v>
          </cell>
        </row>
        <row r="1616">
          <cell r="C1616" t="str">
            <v>CL055-WX-1A</v>
          </cell>
          <cell r="D1616" t="str">
            <v>CL055-WX-1</v>
          </cell>
          <cell r="E1616">
            <v>1168</v>
          </cell>
          <cell r="F1616" t="str">
            <v>mm</v>
          </cell>
          <cell r="G1616" t="str">
            <v>Mitsubishi Chemical</v>
          </cell>
        </row>
        <row r="1617">
          <cell r="C1617" t="str">
            <v>CL055-WX-1A</v>
          </cell>
          <cell r="D1617" t="str">
            <v>CL055-WX-1</v>
          </cell>
          <cell r="E1617">
            <v>1168</v>
          </cell>
          <cell r="F1617" t="str">
            <v>mm</v>
          </cell>
          <cell r="G1617" t="str">
            <v>Mitsubishi Chemical</v>
          </cell>
        </row>
        <row r="1618">
          <cell r="C1618" t="str">
            <v>CL055-WS-1A</v>
          </cell>
          <cell r="D1618" t="str">
            <v>CL055-WS-1</v>
          </cell>
          <cell r="E1618">
            <v>1168</v>
          </cell>
          <cell r="F1618" t="str">
            <v>mm</v>
          </cell>
          <cell r="G1618" t="str">
            <v>Mitsubishi Chemical</v>
          </cell>
        </row>
        <row r="1619">
          <cell r="C1619" t="str">
            <v>CL055-WS-1A</v>
          </cell>
          <cell r="D1619" t="str">
            <v>CL055-WS-1</v>
          </cell>
          <cell r="E1619">
            <v>1168</v>
          </cell>
          <cell r="F1619" t="str">
            <v>mm</v>
          </cell>
          <cell r="G1619" t="str">
            <v>Mitsubishi Chemical</v>
          </cell>
        </row>
        <row r="1620">
          <cell r="C1620" t="str">
            <v>CL055-WR-1A</v>
          </cell>
          <cell r="D1620" t="str">
            <v>CL055-WR-1</v>
          </cell>
          <cell r="E1620">
            <v>1168</v>
          </cell>
          <cell r="F1620" t="str">
            <v>mm</v>
          </cell>
          <cell r="G1620" t="str">
            <v>Mitsubishi Chemical</v>
          </cell>
        </row>
        <row r="1621">
          <cell r="C1621" t="str">
            <v>CL055-WR-1A</v>
          </cell>
          <cell r="D1621" t="str">
            <v>CL055-WR-1</v>
          </cell>
          <cell r="E1621">
            <v>1168</v>
          </cell>
          <cell r="F1621" t="str">
            <v>mm</v>
          </cell>
          <cell r="G1621" t="str">
            <v>Mitsubishi Chemical</v>
          </cell>
        </row>
        <row r="1622">
          <cell r="C1622" t="str">
            <v>CL055-WR-1A</v>
          </cell>
          <cell r="D1622" t="str">
            <v>CL055-WR-1</v>
          </cell>
          <cell r="E1622">
            <v>1168</v>
          </cell>
          <cell r="F1622" t="str">
            <v>mm</v>
          </cell>
          <cell r="G1622" t="str">
            <v>Mitsubishi Chemical</v>
          </cell>
        </row>
        <row r="1623">
          <cell r="C1623" t="str">
            <v>CL053-WX-1A</v>
          </cell>
          <cell r="D1623" t="str">
            <v>CL053-WX-1</v>
          </cell>
          <cell r="E1623">
            <v>1168</v>
          </cell>
          <cell r="F1623" t="str">
            <v>mm</v>
          </cell>
          <cell r="G1623" t="str">
            <v>Mitsubishi Chemical</v>
          </cell>
        </row>
        <row r="1624">
          <cell r="C1624" t="str">
            <v>CL053-WX-1A</v>
          </cell>
          <cell r="D1624" t="str">
            <v>CL053-WX-1</v>
          </cell>
          <cell r="E1624">
            <v>1168</v>
          </cell>
          <cell r="F1624" t="str">
            <v>mm</v>
          </cell>
          <cell r="G1624" t="str">
            <v>Mitsubishi Chemical</v>
          </cell>
        </row>
        <row r="1625">
          <cell r="C1625" t="str">
            <v>CL053-WX-1A</v>
          </cell>
          <cell r="D1625" t="str">
            <v>CL053-WX-1</v>
          </cell>
          <cell r="E1625">
            <v>1168</v>
          </cell>
          <cell r="F1625" t="str">
            <v>mm</v>
          </cell>
          <cell r="G1625" t="str">
            <v>Mitsubishi Chemical</v>
          </cell>
        </row>
        <row r="1626">
          <cell r="C1626" t="str">
            <v>CL053-WS-1A</v>
          </cell>
          <cell r="D1626" t="str">
            <v>CL053-WS-1</v>
          </cell>
          <cell r="E1626">
            <v>1168</v>
          </cell>
          <cell r="F1626" t="str">
            <v>mm</v>
          </cell>
          <cell r="G1626" t="str">
            <v>Mitsubishi Chemical</v>
          </cell>
        </row>
        <row r="1627">
          <cell r="C1627" t="str">
            <v>CL053-WS-1A</v>
          </cell>
          <cell r="D1627" t="str">
            <v>CL053-WS-1</v>
          </cell>
          <cell r="E1627">
            <v>1168</v>
          </cell>
          <cell r="F1627" t="str">
            <v>mm</v>
          </cell>
          <cell r="G1627" t="str">
            <v>Mitsubishi Chemical</v>
          </cell>
        </row>
        <row r="1628">
          <cell r="C1628" t="str">
            <v>CL053-WS-1A</v>
          </cell>
          <cell r="D1628" t="str">
            <v>CL053-WS-1</v>
          </cell>
          <cell r="E1628">
            <v>1168</v>
          </cell>
          <cell r="F1628" t="str">
            <v>mm</v>
          </cell>
          <cell r="G1628" t="str">
            <v>Mitsubishi Chemical</v>
          </cell>
        </row>
        <row r="1629">
          <cell r="C1629" t="str">
            <v>CL051-IA-1A</v>
          </cell>
          <cell r="D1629" t="str">
            <v>CL051-IA-1</v>
          </cell>
          <cell r="E1629">
            <v>1067</v>
          </cell>
          <cell r="F1629" t="str">
            <v>mm</v>
          </cell>
          <cell r="G1629" t="str">
            <v>Mitsubishi Chemical</v>
          </cell>
        </row>
        <row r="1630">
          <cell r="C1630" t="str">
            <v>CL051-IR-1A</v>
          </cell>
          <cell r="D1630" t="str">
            <v>CL051-IR-1</v>
          </cell>
          <cell r="E1630">
            <v>1067</v>
          </cell>
          <cell r="F1630" t="str">
            <v>mm</v>
          </cell>
          <cell r="G1630" t="str">
            <v>Mitsubishi Chemical</v>
          </cell>
        </row>
        <row r="1631">
          <cell r="C1631" t="str">
            <v>CL052-IS-1A</v>
          </cell>
          <cell r="D1631" t="str">
            <v>CL052-IS-1</v>
          </cell>
          <cell r="E1631">
            <v>1068</v>
          </cell>
          <cell r="F1631" t="str">
            <v>mm</v>
          </cell>
          <cell r="G1631" t="str">
            <v>Mitsubishi Chemical</v>
          </cell>
        </row>
        <row r="1632">
          <cell r="C1632" t="str">
            <v>CL052-IX-1A</v>
          </cell>
          <cell r="D1632" t="str">
            <v>CL052-IX-1</v>
          </cell>
          <cell r="E1632">
            <v>1068</v>
          </cell>
          <cell r="F1632" t="str">
            <v>mm</v>
          </cell>
          <cell r="G1632" t="str">
            <v>Mitsubishi Chemical</v>
          </cell>
        </row>
        <row r="1633">
          <cell r="C1633" t="str">
            <v>MX947-WSR1A</v>
          </cell>
          <cell r="D1633" t="str">
            <v>MX947-WSR1</v>
          </cell>
          <cell r="E1633">
            <v>1168</v>
          </cell>
          <cell r="F1633" t="str">
            <v>mm</v>
          </cell>
          <cell r="G1633" t="str">
            <v>Mitsubishi Chemical</v>
          </cell>
        </row>
        <row r="1634">
          <cell r="C1634" t="str">
            <v>MX947-WX-1A</v>
          </cell>
          <cell r="D1634" t="str">
            <v>MX947-WX-1</v>
          </cell>
          <cell r="E1634">
            <v>1168</v>
          </cell>
          <cell r="F1634" t="str">
            <v>mm</v>
          </cell>
          <cell r="G1634" t="str">
            <v>Mitsubishi Chemical</v>
          </cell>
        </row>
        <row r="1635">
          <cell r="C1635" t="str">
            <v>MX952-WX-1A</v>
          </cell>
          <cell r="D1635" t="str">
            <v>MX952-WX-1</v>
          </cell>
          <cell r="E1635">
            <v>1168</v>
          </cell>
          <cell r="F1635" t="str">
            <v>mm</v>
          </cell>
          <cell r="G1635" t="str">
            <v>Mitsubishi Chemical</v>
          </cell>
        </row>
        <row r="1636">
          <cell r="C1636" t="str">
            <v>MX953-WSR1A</v>
          </cell>
          <cell r="D1636" t="str">
            <v>MX953-WSR1</v>
          </cell>
          <cell r="E1636">
            <v>1168</v>
          </cell>
          <cell r="F1636" t="str">
            <v>mm</v>
          </cell>
          <cell r="G1636" t="str">
            <v>Mitsubishi Chemical</v>
          </cell>
        </row>
        <row r="1637">
          <cell r="C1637" t="str">
            <v>MX953-WX-1A</v>
          </cell>
          <cell r="D1637" t="str">
            <v>MX953-WX-1</v>
          </cell>
          <cell r="E1637">
            <v>1168</v>
          </cell>
          <cell r="F1637" t="str">
            <v>mm</v>
          </cell>
          <cell r="G1637" t="str">
            <v>Mitsubishi Chemical</v>
          </cell>
        </row>
        <row r="1638">
          <cell r="C1638" t="str">
            <v>MX946-WR-1A</v>
          </cell>
          <cell r="D1638" t="str">
            <v>MX946-WR-1</v>
          </cell>
          <cell r="E1638">
            <v>1168</v>
          </cell>
          <cell r="F1638" t="str">
            <v>mm</v>
          </cell>
          <cell r="G1638" t="str">
            <v>Mitsubishi Chemical</v>
          </cell>
        </row>
        <row r="1639">
          <cell r="C1639" t="str">
            <v>MX946-WSR1A</v>
          </cell>
          <cell r="D1639" t="str">
            <v>MX946-WSR1</v>
          </cell>
          <cell r="E1639">
            <v>1168</v>
          </cell>
          <cell r="F1639" t="str">
            <v>mm</v>
          </cell>
          <cell r="G1639" t="str">
            <v>Mitsubishi Chemical</v>
          </cell>
        </row>
        <row r="1640">
          <cell r="C1640" t="str">
            <v>MX946-WX-1A</v>
          </cell>
          <cell r="D1640" t="str">
            <v>MX946-WX-1</v>
          </cell>
          <cell r="E1640">
            <v>1168</v>
          </cell>
          <cell r="F1640" t="str">
            <v>mm</v>
          </cell>
          <cell r="G1640" t="str">
            <v>Mitsubishi Chemical</v>
          </cell>
        </row>
        <row r="1641">
          <cell r="C1641" t="str">
            <v>YR174-ILA5A</v>
          </cell>
          <cell r="D1641" t="str">
            <v>YR174-ILA5</v>
          </cell>
          <cell r="E1641">
            <v>987</v>
          </cell>
          <cell r="F1641" t="str">
            <v>mm</v>
          </cell>
          <cell r="G1641" t="str">
            <v>Mitsubishi Chemical</v>
          </cell>
        </row>
        <row r="1642">
          <cell r="C1642" t="str">
            <v>MX824-WS-1CO</v>
          </cell>
          <cell r="D1642" t="str">
            <v>MX824-WS-1</v>
          </cell>
          <cell r="E1642">
            <v>1168</v>
          </cell>
          <cell r="F1642" t="str">
            <v>mm</v>
          </cell>
          <cell r="G1642" t="str">
            <v>Mitsubishi Chemical</v>
          </cell>
        </row>
        <row r="1643">
          <cell r="C1643" t="str">
            <v>MX936-WS-1BO</v>
          </cell>
          <cell r="D1643" t="str">
            <v>MX936-WS-1</v>
          </cell>
          <cell r="E1643">
            <v>1168</v>
          </cell>
          <cell r="F1643" t="str">
            <v>mm</v>
          </cell>
          <cell r="G1643" t="str">
            <v>Mitsubishi Chemical</v>
          </cell>
        </row>
        <row r="1644">
          <cell r="C1644" t="str">
            <v>MZ052-WS-1AF</v>
          </cell>
          <cell r="D1644" t="str">
            <v>MZ052-WS-1</v>
          </cell>
          <cell r="E1644">
            <v>1168</v>
          </cell>
          <cell r="F1644" t="str">
            <v>mm</v>
          </cell>
          <cell r="G1644" t="str">
            <v>Mitsubishi Chemical</v>
          </cell>
        </row>
        <row r="1645">
          <cell r="C1645" t="str">
            <v>MZ052-WX-1AF</v>
          </cell>
          <cell r="D1645" t="str">
            <v>MZ052-WX-1</v>
          </cell>
          <cell r="E1645">
            <v>1168</v>
          </cell>
          <cell r="F1645" t="str">
            <v>mm</v>
          </cell>
          <cell r="G1645" t="str">
            <v>Mitsubishi Chemical</v>
          </cell>
        </row>
        <row r="1646">
          <cell r="C1646" t="str">
            <v>MZ053-WS-1AF</v>
          </cell>
          <cell r="D1646" t="str">
            <v>MZ053-WS-1</v>
          </cell>
          <cell r="E1646">
            <v>1168</v>
          </cell>
          <cell r="F1646" t="str">
            <v>mm</v>
          </cell>
          <cell r="G1646" t="str">
            <v>Mitsubishi Chemical</v>
          </cell>
        </row>
        <row r="1647">
          <cell r="C1647" t="str">
            <v>MZ054-WR-1AF</v>
          </cell>
          <cell r="D1647" t="str">
            <v>MZ054-WR-1</v>
          </cell>
          <cell r="E1647">
            <v>1168</v>
          </cell>
          <cell r="F1647" t="str">
            <v>mm</v>
          </cell>
          <cell r="G1647" t="str">
            <v>Mitsubishi Chemical</v>
          </cell>
        </row>
        <row r="1648">
          <cell r="C1648" t="str">
            <v>MZ056-WX-1AF</v>
          </cell>
          <cell r="D1648" t="str">
            <v>MZ056-WX-1</v>
          </cell>
          <cell r="E1648">
            <v>1168</v>
          </cell>
          <cell r="F1648" t="str">
            <v>mm</v>
          </cell>
          <cell r="G1648" t="str">
            <v>Mitsubishi Chemical</v>
          </cell>
        </row>
        <row r="1649">
          <cell r="C1649" t="str">
            <v>MZ058-IS-2AF</v>
          </cell>
          <cell r="D1649" t="str">
            <v>MZ058-IS-2</v>
          </cell>
          <cell r="E1649">
            <v>1067</v>
          </cell>
          <cell r="F1649" t="str">
            <v>mm</v>
          </cell>
          <cell r="G1649" t="str">
            <v>Mitsubishi Chemical</v>
          </cell>
        </row>
        <row r="1650">
          <cell r="C1650" t="str">
            <v>MZ059-IX-2AF</v>
          </cell>
          <cell r="D1650" t="str">
            <v>MZ059-IX-2</v>
          </cell>
          <cell r="E1650">
            <v>1067</v>
          </cell>
          <cell r="F1650" t="str">
            <v>mm</v>
          </cell>
          <cell r="G1650" t="str">
            <v>Mitsubishi Chemical</v>
          </cell>
        </row>
        <row r="1651">
          <cell r="C1651" t="str">
            <v>MZ054-WS-1AF</v>
          </cell>
          <cell r="D1651" t="str">
            <v>MZ054-WS-1</v>
          </cell>
          <cell r="E1651">
            <v>1168</v>
          </cell>
          <cell r="F1651" t="str">
            <v>mm</v>
          </cell>
          <cell r="G1651" t="str">
            <v>Mitsubishi Chemical</v>
          </cell>
        </row>
        <row r="1652">
          <cell r="C1652" t="str">
            <v>MZ055-WR-1AF</v>
          </cell>
          <cell r="D1652" t="str">
            <v>MZ055-WR-1</v>
          </cell>
          <cell r="E1652">
            <v>1168</v>
          </cell>
          <cell r="F1652" t="str">
            <v>mm</v>
          </cell>
          <cell r="G1652" t="str">
            <v>Mitsubishi Chemical</v>
          </cell>
        </row>
        <row r="1653">
          <cell r="C1653" t="str">
            <v>MZ055-WS-1AF</v>
          </cell>
          <cell r="D1653" t="str">
            <v>MZ055-WS-1</v>
          </cell>
          <cell r="E1653">
            <v>1168</v>
          </cell>
          <cell r="F1653" t="str">
            <v>mm</v>
          </cell>
          <cell r="G1653" t="str">
            <v>Mitsubishi Chemical</v>
          </cell>
        </row>
        <row r="1654">
          <cell r="C1654" t="str">
            <v>MZ053-WX-1AF</v>
          </cell>
          <cell r="D1654" t="str">
            <v>MZ053-WX-1</v>
          </cell>
          <cell r="E1654">
            <v>1168</v>
          </cell>
          <cell r="F1654" t="str">
            <v>mm</v>
          </cell>
          <cell r="G1654" t="str">
            <v>Mitsubishi Chemical</v>
          </cell>
        </row>
        <row r="1655">
          <cell r="C1655" t="str">
            <v>MX947-WR-1A</v>
          </cell>
          <cell r="D1655" t="str">
            <v>MX947-WR-1</v>
          </cell>
          <cell r="E1655">
            <v>1168</v>
          </cell>
          <cell r="F1655" t="str">
            <v>mm</v>
          </cell>
          <cell r="G1655" t="str">
            <v>Mitsubishi Chemical</v>
          </cell>
        </row>
        <row r="1656">
          <cell r="C1656" t="str">
            <v>MX948-WTX1A</v>
          </cell>
          <cell r="D1656" t="str">
            <v>MX948-WTX1</v>
          </cell>
          <cell r="E1656">
            <v>1168</v>
          </cell>
          <cell r="F1656" t="str">
            <v>mm</v>
          </cell>
          <cell r="G1656" t="str">
            <v>Mitsubishi Chemical</v>
          </cell>
        </row>
        <row r="1657">
          <cell r="C1657" t="str">
            <v>MX953-WS-1A</v>
          </cell>
          <cell r="D1657" t="str">
            <v>MX953-WS-1</v>
          </cell>
          <cell r="E1657">
            <v>1168</v>
          </cell>
          <cell r="F1657" t="str">
            <v>mm</v>
          </cell>
          <cell r="G1657" t="str">
            <v>Mitsubishi Chemical</v>
          </cell>
        </row>
        <row r="1658">
          <cell r="C1658" t="str">
            <v>MX955-WS-1A</v>
          </cell>
          <cell r="D1658" t="str">
            <v>MX955-WS-1</v>
          </cell>
          <cell r="E1658">
            <v>1168</v>
          </cell>
          <cell r="F1658" t="str">
            <v>mm</v>
          </cell>
          <cell r="G1658" t="str">
            <v>Mitsubishi Chemical</v>
          </cell>
        </row>
        <row r="1659">
          <cell r="C1659" t="str">
            <v>MX956-WX-1A</v>
          </cell>
          <cell r="D1659" t="str">
            <v>MX956-WX-1</v>
          </cell>
          <cell r="E1659">
            <v>1168</v>
          </cell>
          <cell r="F1659" t="str">
            <v>mm</v>
          </cell>
          <cell r="G1659" t="str">
            <v>Mitsubishi Chemical</v>
          </cell>
        </row>
        <row r="1660">
          <cell r="C1660" t="str">
            <v>MX948-WS-1E</v>
          </cell>
          <cell r="D1660" t="str">
            <v>MX948-WS-1</v>
          </cell>
          <cell r="E1660">
            <v>1168</v>
          </cell>
          <cell r="F1660" t="str">
            <v>mm</v>
          </cell>
          <cell r="G1660" t="str">
            <v>Mitsubishi Chemical</v>
          </cell>
        </row>
        <row r="1661">
          <cell r="C1661" t="str">
            <v>MX948-WX-1E</v>
          </cell>
          <cell r="D1661" t="str">
            <v>MX948-WX-1</v>
          </cell>
          <cell r="E1661">
            <v>1168</v>
          </cell>
          <cell r="F1661" t="str">
            <v>mm</v>
          </cell>
          <cell r="G1661" t="str">
            <v>Mitsubishi Chemical</v>
          </cell>
        </row>
        <row r="1662">
          <cell r="C1662" t="str">
            <v>MX949-WS-1E</v>
          </cell>
          <cell r="D1662" t="str">
            <v>MX949-WS-1</v>
          </cell>
          <cell r="E1662">
            <v>1168</v>
          </cell>
          <cell r="F1662" t="str">
            <v>mm</v>
          </cell>
          <cell r="G1662" t="str">
            <v>Mitsubishi Chemical</v>
          </cell>
        </row>
        <row r="1663">
          <cell r="C1663" t="str">
            <v>MX949-WX-1E</v>
          </cell>
          <cell r="D1663" t="str">
            <v>MX949-WX-1</v>
          </cell>
          <cell r="E1663">
            <v>1168</v>
          </cell>
          <cell r="F1663" t="str">
            <v>mm</v>
          </cell>
          <cell r="G1663" t="str">
            <v>Mitsubishi Chemical</v>
          </cell>
        </row>
        <row r="1664">
          <cell r="C1664" t="str">
            <v>MX960-WX-1A</v>
          </cell>
          <cell r="D1664" t="str">
            <v>MX960-WX-1</v>
          </cell>
          <cell r="E1664">
            <v>1168</v>
          </cell>
          <cell r="F1664" t="str">
            <v>mm</v>
          </cell>
          <cell r="G1664" t="str">
            <v>Mitsubishi Chemical</v>
          </cell>
        </row>
        <row r="1665">
          <cell r="C1665" t="str">
            <v>MX962-WX-1A</v>
          </cell>
          <cell r="D1665" t="str">
            <v>MX962-WX-1</v>
          </cell>
          <cell r="E1665">
            <v>1168</v>
          </cell>
          <cell r="F1665" t="str">
            <v>mm</v>
          </cell>
          <cell r="G1665" t="str">
            <v>Mitsubishi Chemical</v>
          </cell>
        </row>
        <row r="1666">
          <cell r="C1666" t="str">
            <v>CL053-WR-1A</v>
          </cell>
          <cell r="D1666" t="str">
            <v>CL053-WR-1</v>
          </cell>
          <cell r="E1666">
            <v>1168</v>
          </cell>
          <cell r="F1666" t="str">
            <v>mm</v>
          </cell>
          <cell r="G1666" t="str">
            <v>Mitsubishi Chemical</v>
          </cell>
        </row>
        <row r="1667">
          <cell r="C1667" t="str">
            <v>MX730-IS-4A</v>
          </cell>
          <cell r="D1667" t="str">
            <v>MX730-IS-4</v>
          </cell>
          <cell r="E1667">
            <v>1003</v>
          </cell>
          <cell r="F1667" t="str">
            <v>mm</v>
          </cell>
          <cell r="G1667" t="str">
            <v>Mitsubishi Chemical</v>
          </cell>
        </row>
        <row r="1668">
          <cell r="C1668" t="str">
            <v>CL057-WS-1A</v>
          </cell>
          <cell r="D1668" t="str">
            <v>CL057-WS-1</v>
          </cell>
          <cell r="E1668">
            <v>1168</v>
          </cell>
          <cell r="F1668" t="str">
            <v>mm</v>
          </cell>
          <cell r="G1668" t="str">
            <v>Mitsubishi Chemical</v>
          </cell>
        </row>
        <row r="1669">
          <cell r="C1669" t="str">
            <v>CL051-IA-1A</v>
          </cell>
          <cell r="D1669" t="str">
            <v>CL051-IA-1</v>
          </cell>
          <cell r="E1669">
            <v>1067</v>
          </cell>
          <cell r="F1669" t="str">
            <v>mm</v>
          </cell>
          <cell r="G1669" t="str">
            <v>Mitsubishi Chemical</v>
          </cell>
        </row>
        <row r="1670">
          <cell r="C1670" t="str">
            <v>CL051-IR-1A</v>
          </cell>
          <cell r="D1670" t="str">
            <v>CL051-IR-1</v>
          </cell>
          <cell r="E1670">
            <v>1067</v>
          </cell>
          <cell r="F1670" t="str">
            <v>mm</v>
          </cell>
          <cell r="G1670" t="str">
            <v>Mitsubishi Chemical</v>
          </cell>
        </row>
        <row r="1671">
          <cell r="C1671" t="str">
            <v>CL052-IS-1A</v>
          </cell>
          <cell r="D1671" t="str">
            <v>CL052-IS-1</v>
          </cell>
          <cell r="E1671">
            <v>1068</v>
          </cell>
          <cell r="F1671" t="str">
            <v>mm</v>
          </cell>
          <cell r="G1671" t="str">
            <v>Mitsubishi Chemical</v>
          </cell>
        </row>
        <row r="1672">
          <cell r="C1672" t="str">
            <v>CL052-IX-1A</v>
          </cell>
          <cell r="D1672" t="str">
            <v>CL052-IX-1</v>
          </cell>
          <cell r="E1672">
            <v>1068</v>
          </cell>
          <cell r="F1672" t="str">
            <v>mm</v>
          </cell>
          <cell r="G1672" t="str">
            <v>Mitsubishi Chemical</v>
          </cell>
        </row>
        <row r="1673">
          <cell r="C1673" t="str">
            <v>CW138-IX-1A</v>
          </cell>
          <cell r="D1673" t="str">
            <v>CW138-IX-1</v>
          </cell>
          <cell r="E1673">
            <v>1068</v>
          </cell>
          <cell r="F1673" t="str">
            <v>mm</v>
          </cell>
          <cell r="G1673" t="str">
            <v>Mitsubishi Chemical</v>
          </cell>
        </row>
        <row r="1674">
          <cell r="C1674" t="str">
            <v>CW138-IS-1A</v>
          </cell>
          <cell r="D1674" t="str">
            <v>CW138-IS-1</v>
          </cell>
          <cell r="E1674">
            <v>1068</v>
          </cell>
          <cell r="F1674" t="str">
            <v>mm</v>
          </cell>
          <cell r="G1674" t="str">
            <v>Mitsubishi Chemical</v>
          </cell>
        </row>
        <row r="1675">
          <cell r="C1675" t="str">
            <v>MX730-IS-4A</v>
          </cell>
          <cell r="D1675" t="str">
            <v>MX730-IS-4</v>
          </cell>
          <cell r="E1675">
            <v>1003</v>
          </cell>
          <cell r="F1675" t="str">
            <v>mm</v>
          </cell>
          <cell r="G1675" t="str">
            <v>Mitsubishi Chemical</v>
          </cell>
        </row>
        <row r="1676">
          <cell r="C1676" t="str">
            <v>AX181-IR-1PCY</v>
          </cell>
          <cell r="D1676" t="str">
            <v>AX181-IR-1</v>
          </cell>
          <cell r="E1676">
            <v>1016</v>
          </cell>
          <cell r="F1676" t="str">
            <v>mm</v>
          </cell>
          <cell r="G1676" t="str">
            <v>Aldila</v>
          </cell>
        </row>
        <row r="1677">
          <cell r="C1677" t="str">
            <v>AX217-WR-1PCY</v>
          </cell>
          <cell r="D1677" t="str">
            <v>AX217-WR-1</v>
          </cell>
          <cell r="E1677">
            <v>1168</v>
          </cell>
          <cell r="F1677" t="str">
            <v>mm</v>
          </cell>
          <cell r="G1677" t="str">
            <v>Aldila</v>
          </cell>
        </row>
        <row r="1678">
          <cell r="C1678" t="str">
            <v>AX217-WS-1PCY</v>
          </cell>
          <cell r="D1678" t="str">
            <v>AX217-WS-1</v>
          </cell>
          <cell r="E1678">
            <v>1168</v>
          </cell>
          <cell r="F1678" t="str">
            <v>mm</v>
          </cell>
          <cell r="G1678" t="str">
            <v>Aldila</v>
          </cell>
        </row>
        <row r="1679">
          <cell r="C1679" t="str">
            <v>AX217-WSR1PCY</v>
          </cell>
          <cell r="D1679" t="str">
            <v>AX217-WSR1</v>
          </cell>
          <cell r="E1679">
            <v>1168</v>
          </cell>
          <cell r="F1679" t="str">
            <v>mm</v>
          </cell>
          <cell r="G1679" t="str">
            <v>Aldila</v>
          </cell>
        </row>
        <row r="1680">
          <cell r="C1680" t="str">
            <v>AX181-IS-1PCY</v>
          </cell>
          <cell r="D1680" t="str">
            <v>AX181-IS-1</v>
          </cell>
          <cell r="E1680">
            <v>1016</v>
          </cell>
          <cell r="F1680" t="str">
            <v>mm</v>
          </cell>
          <cell r="G1680" t="str">
            <v>Aldila</v>
          </cell>
        </row>
        <row r="1681">
          <cell r="C1681" t="str">
            <v>AX181-ISR1PCY</v>
          </cell>
          <cell r="D1681" t="str">
            <v>AX181-ISR1</v>
          </cell>
          <cell r="E1681">
            <v>1016</v>
          </cell>
          <cell r="F1681" t="str">
            <v>mm</v>
          </cell>
          <cell r="G1681" t="str">
            <v>Aldila</v>
          </cell>
        </row>
        <row r="1682">
          <cell r="C1682" t="str">
            <v>AX184-WR-3PCY</v>
          </cell>
          <cell r="D1682" t="str">
            <v>AX184-WR-3</v>
          </cell>
          <cell r="E1682">
            <v>1105</v>
          </cell>
          <cell r="F1682" t="str">
            <v>mm</v>
          </cell>
          <cell r="G1682" t="str">
            <v>Aldila</v>
          </cell>
        </row>
        <row r="1683">
          <cell r="C1683" t="str">
            <v>AX184-WS-3PCY</v>
          </cell>
          <cell r="D1683" t="str">
            <v>AX184-WS-3</v>
          </cell>
          <cell r="E1683">
            <v>1105</v>
          </cell>
          <cell r="F1683" t="str">
            <v>mm</v>
          </cell>
          <cell r="G1683" t="str">
            <v>Aldila</v>
          </cell>
        </row>
        <row r="1684">
          <cell r="C1684" t="str">
            <v>AX184-WSR3PCY</v>
          </cell>
          <cell r="D1684" t="str">
            <v>AX184-WSR3</v>
          </cell>
          <cell r="E1684">
            <v>1105</v>
          </cell>
          <cell r="F1684" t="str">
            <v>mm</v>
          </cell>
          <cell r="G1684" t="str">
            <v>Aldila</v>
          </cell>
        </row>
        <row r="1685">
          <cell r="C1685" t="str">
            <v>MX949-WS-1AO</v>
          </cell>
          <cell r="D1685" t="str">
            <v>MX949-WS-1</v>
          </cell>
          <cell r="E1685">
            <v>1168</v>
          </cell>
          <cell r="F1685" t="str">
            <v>mm</v>
          </cell>
          <cell r="G1685" t="str">
            <v>Mitsubishi Chemical</v>
          </cell>
        </row>
        <row r="1686">
          <cell r="C1686" t="str">
            <v>MX891-WS-1A</v>
          </cell>
          <cell r="D1686" t="str">
            <v>MX891-WS-1</v>
          </cell>
          <cell r="E1686">
            <v>1168</v>
          </cell>
          <cell r="F1686" t="str">
            <v>mm</v>
          </cell>
          <cell r="G1686" t="str">
            <v>Mitsubishi Chemical</v>
          </cell>
        </row>
        <row r="1687">
          <cell r="C1687" t="str">
            <v>CL050-UL-3A</v>
          </cell>
          <cell r="D1687" t="str">
            <v>CL050-UL-3</v>
          </cell>
          <cell r="E1687">
            <v>1041</v>
          </cell>
          <cell r="F1687" t="str">
            <v>mm</v>
          </cell>
          <cell r="G1687" t="str">
            <v>Mitsubishi Chemical</v>
          </cell>
        </row>
        <row r="1688">
          <cell r="C1688" t="str">
            <v>AX140-IA-3AB</v>
          </cell>
          <cell r="D1688" t="str">
            <v>AX140-IA-3</v>
          </cell>
          <cell r="E1688">
            <v>1016</v>
          </cell>
          <cell r="F1688" t="str">
            <v>mm</v>
          </cell>
          <cell r="G1688" t="str">
            <v>Aldila</v>
          </cell>
        </row>
        <row r="1689">
          <cell r="C1689" t="str">
            <v>MX922-IA-1BO</v>
          </cell>
          <cell r="D1689" t="str">
            <v>MX922-IA-1</v>
          </cell>
          <cell r="E1689">
            <v>1067</v>
          </cell>
          <cell r="F1689" t="str">
            <v>mm</v>
          </cell>
          <cell r="G1689" t="str">
            <v>Mitsubishi Chemical</v>
          </cell>
        </row>
        <row r="1690">
          <cell r="C1690" t="str">
            <v>MX923-IR-1AO</v>
          </cell>
          <cell r="D1690" t="str">
            <v>MX923-IR-1</v>
          </cell>
          <cell r="E1690">
            <v>1067</v>
          </cell>
          <cell r="F1690" t="str">
            <v>mm</v>
          </cell>
          <cell r="G1690" t="str">
            <v>Mitsubishi Chemical</v>
          </cell>
        </row>
        <row r="1691">
          <cell r="C1691" t="str">
            <v>MX923-IS-1AO</v>
          </cell>
          <cell r="D1691" t="str">
            <v>MX923-IS-1</v>
          </cell>
          <cell r="E1691">
            <v>1067</v>
          </cell>
          <cell r="F1691" t="str">
            <v>mm</v>
          </cell>
          <cell r="G1691" t="str">
            <v>Mitsubishi Chemical</v>
          </cell>
        </row>
        <row r="1692">
          <cell r="C1692" t="str">
            <v>MX759-WX-1BO</v>
          </cell>
          <cell r="D1692" t="str">
            <v>MX759-WX-1</v>
          </cell>
          <cell r="E1692">
            <v>1168</v>
          </cell>
          <cell r="F1692" t="str">
            <v>mm</v>
          </cell>
          <cell r="G1692" t="str">
            <v>Mitsubishi Chemical</v>
          </cell>
        </row>
        <row r="1693">
          <cell r="C1693" t="str">
            <v>MX783-WR-1BO</v>
          </cell>
          <cell r="D1693" t="str">
            <v>MX783-WR-1</v>
          </cell>
          <cell r="E1693">
            <v>1168</v>
          </cell>
          <cell r="F1693" t="str">
            <v>mm</v>
          </cell>
          <cell r="G1693" t="str">
            <v>Mitsubishi Chemical</v>
          </cell>
        </row>
        <row r="1694">
          <cell r="C1694" t="str">
            <v>MX824-WR-1BO</v>
          </cell>
          <cell r="D1694" t="str">
            <v>MX824-WR-1</v>
          </cell>
          <cell r="E1694">
            <v>1168</v>
          </cell>
          <cell r="F1694" t="str">
            <v>mm</v>
          </cell>
          <cell r="G1694" t="str">
            <v>Mitsubishi Chemical</v>
          </cell>
        </row>
        <row r="1695">
          <cell r="C1695" t="str">
            <v>MX824-WS-1BO</v>
          </cell>
          <cell r="D1695" t="str">
            <v>MX824-WS-1</v>
          </cell>
          <cell r="E1695">
            <v>1168</v>
          </cell>
          <cell r="F1695" t="str">
            <v>mm</v>
          </cell>
          <cell r="G1695" t="str">
            <v>Mitsubishi Chemical</v>
          </cell>
        </row>
        <row r="1696">
          <cell r="C1696" t="str">
            <v>MX835-WR-1AO</v>
          </cell>
          <cell r="D1696" t="str">
            <v>MX835-WR-1</v>
          </cell>
          <cell r="E1696">
            <v>1168</v>
          </cell>
          <cell r="F1696" t="str">
            <v>mm</v>
          </cell>
          <cell r="G1696" t="str">
            <v>Mitsubishi Chemical</v>
          </cell>
        </row>
        <row r="1697">
          <cell r="C1697" t="str">
            <v>MX835-WX-1AO</v>
          </cell>
          <cell r="D1697" t="str">
            <v>MX835-WX-1</v>
          </cell>
          <cell r="E1697">
            <v>1168</v>
          </cell>
          <cell r="F1697" t="str">
            <v>mm</v>
          </cell>
          <cell r="G1697" t="str">
            <v>Mitsubishi Chemical</v>
          </cell>
        </row>
        <row r="1698">
          <cell r="C1698" t="str">
            <v>MX837-WS-1AO</v>
          </cell>
          <cell r="D1698" t="str">
            <v>MX837-WS-1</v>
          </cell>
          <cell r="E1698">
            <v>1168</v>
          </cell>
          <cell r="F1698" t="str">
            <v>mm</v>
          </cell>
          <cell r="G1698" t="str">
            <v>Mitsubishi Chemical</v>
          </cell>
        </row>
        <row r="1699">
          <cell r="C1699" t="str">
            <v>MX837-WX-1AO</v>
          </cell>
          <cell r="D1699" t="str">
            <v>MX837-WX-1</v>
          </cell>
          <cell r="E1699">
            <v>1168</v>
          </cell>
          <cell r="F1699" t="str">
            <v>mm</v>
          </cell>
          <cell r="G1699" t="str">
            <v>Mitsubishi Chemical</v>
          </cell>
        </row>
        <row r="1700">
          <cell r="C1700" t="str">
            <v>MX838-WS-1AO</v>
          </cell>
          <cell r="D1700" t="str">
            <v>MX838-WS-1</v>
          </cell>
          <cell r="E1700">
            <v>1168</v>
          </cell>
          <cell r="F1700" t="str">
            <v>mm</v>
          </cell>
          <cell r="G1700" t="str">
            <v>Mitsubishi Chemical</v>
          </cell>
        </row>
        <row r="1701">
          <cell r="C1701" t="str">
            <v>MX838-WX-1AO</v>
          </cell>
          <cell r="D1701" t="str">
            <v>MX838-WX-1</v>
          </cell>
          <cell r="E1701">
            <v>1168</v>
          </cell>
          <cell r="F1701" t="str">
            <v>mm</v>
          </cell>
          <cell r="G1701" t="str">
            <v>Mitsubishi Chemical</v>
          </cell>
        </row>
        <row r="1702">
          <cell r="C1702" t="str">
            <v>MX919-WA-1AO</v>
          </cell>
          <cell r="D1702" t="str">
            <v>MX919-WA-1</v>
          </cell>
          <cell r="E1702">
            <v>1168</v>
          </cell>
          <cell r="F1702" t="str">
            <v>mm</v>
          </cell>
          <cell r="G1702" t="str">
            <v>Mitsubishi Chemical</v>
          </cell>
        </row>
        <row r="1703">
          <cell r="C1703" t="str">
            <v>MX919-WR-1AO</v>
          </cell>
          <cell r="D1703" t="str">
            <v>MX919-WR-1</v>
          </cell>
          <cell r="E1703">
            <v>1168</v>
          </cell>
          <cell r="F1703" t="str">
            <v>mm</v>
          </cell>
          <cell r="G1703" t="str">
            <v>Mitsubishi Chemical</v>
          </cell>
        </row>
        <row r="1704">
          <cell r="C1704" t="str">
            <v>MX919-WS-1AO</v>
          </cell>
          <cell r="D1704" t="str">
            <v>MX919-WS-1</v>
          </cell>
          <cell r="E1704">
            <v>1168</v>
          </cell>
          <cell r="F1704" t="str">
            <v>mm</v>
          </cell>
          <cell r="G1704" t="str">
            <v>Mitsubishi Chemical</v>
          </cell>
        </row>
        <row r="1705">
          <cell r="C1705" t="str">
            <v>MX972-WR-1AO</v>
          </cell>
          <cell r="D1705" t="str">
            <v>MX972-WR-1</v>
          </cell>
          <cell r="E1705">
            <v>1168</v>
          </cell>
          <cell r="F1705" t="str">
            <v>mm</v>
          </cell>
          <cell r="G1705" t="str">
            <v>Mitsubishi Chemical</v>
          </cell>
        </row>
        <row r="1706">
          <cell r="C1706" t="str">
            <v>MX974-WR-1AO</v>
          </cell>
          <cell r="D1706" t="str">
            <v>MX974-WR-1</v>
          </cell>
          <cell r="E1706">
            <v>1168</v>
          </cell>
          <cell r="F1706" t="str">
            <v>mm</v>
          </cell>
          <cell r="G1706" t="str">
            <v>Mitsubishi Chemical</v>
          </cell>
        </row>
        <row r="1707">
          <cell r="C1707" t="str">
            <v>MX974-WX-1AO</v>
          </cell>
          <cell r="D1707" t="str">
            <v>MX974-WX-1</v>
          </cell>
          <cell r="E1707">
            <v>1168</v>
          </cell>
          <cell r="F1707" t="str">
            <v>mm</v>
          </cell>
          <cell r="G1707" t="str">
            <v>Mitsubishi Chemical</v>
          </cell>
        </row>
        <row r="1708">
          <cell r="C1708" t="str">
            <v>MX923-IR-1BO</v>
          </cell>
          <cell r="D1708" t="str">
            <v>MX923-IR-1</v>
          </cell>
          <cell r="E1708">
            <v>1067</v>
          </cell>
          <cell r="F1708" t="str">
            <v>mm</v>
          </cell>
          <cell r="G1708" t="str">
            <v>Mitsubishi Chemical</v>
          </cell>
        </row>
        <row r="1709">
          <cell r="C1709" t="str">
            <v>MX923-IS-1BO</v>
          </cell>
          <cell r="D1709" t="str">
            <v>MX923-IS-1</v>
          </cell>
          <cell r="E1709">
            <v>1067</v>
          </cell>
          <cell r="F1709" t="str">
            <v>mm</v>
          </cell>
          <cell r="G1709" t="str">
            <v>Mitsubishi Chemical</v>
          </cell>
        </row>
        <row r="1710">
          <cell r="C1710" t="str">
            <v>MX924-IX-1AO</v>
          </cell>
          <cell r="D1710" t="str">
            <v>MX924-IX-1</v>
          </cell>
          <cell r="E1710">
            <v>1067</v>
          </cell>
          <cell r="F1710" t="str">
            <v>mm</v>
          </cell>
          <cell r="G1710" t="str">
            <v>Mitsubishi Chemical</v>
          </cell>
        </row>
        <row r="1711">
          <cell r="C1711" t="str">
            <v>MX974-WS-1AO</v>
          </cell>
          <cell r="D1711" t="str">
            <v>MX974-WS-1</v>
          </cell>
          <cell r="E1711">
            <v>1168</v>
          </cell>
          <cell r="F1711" t="str">
            <v>mm</v>
          </cell>
          <cell r="G1711" t="str">
            <v>Mitsubishi Chemical</v>
          </cell>
        </row>
        <row r="1712">
          <cell r="C1712" t="str">
            <v>MX972-WS-1AO</v>
          </cell>
          <cell r="D1712" t="str">
            <v>MX972-WS-1</v>
          </cell>
          <cell r="E1712">
            <v>1168</v>
          </cell>
          <cell r="F1712" t="str">
            <v>mm</v>
          </cell>
          <cell r="G1712" t="str">
            <v>Mitsubishi Chemical</v>
          </cell>
        </row>
        <row r="1713">
          <cell r="C1713" t="str">
            <v>MY045-IA-3A</v>
          </cell>
          <cell r="D1713" t="str">
            <v>MY045-IA-3</v>
          </cell>
          <cell r="E1713">
            <v>1067</v>
          </cell>
          <cell r="F1713" t="str">
            <v>mm</v>
          </cell>
          <cell r="G1713" t="str">
            <v>Mitsubishi Chemical</v>
          </cell>
        </row>
        <row r="1714">
          <cell r="C1714" t="str">
            <v>MY045-IR-3A</v>
          </cell>
          <cell r="D1714" t="str">
            <v>MY045-IR-3</v>
          </cell>
          <cell r="E1714">
            <v>1067</v>
          </cell>
          <cell r="F1714" t="str">
            <v>mm</v>
          </cell>
          <cell r="G1714" t="str">
            <v>Mitsubishi Chemical</v>
          </cell>
        </row>
        <row r="1715">
          <cell r="C1715" t="str">
            <v>MY046-IR-3A</v>
          </cell>
          <cell r="D1715" t="str">
            <v>MY046-IR-3</v>
          </cell>
          <cell r="E1715">
            <v>1067</v>
          </cell>
          <cell r="F1715" t="str">
            <v>mm</v>
          </cell>
          <cell r="G1715" t="str">
            <v>Mitsubishi Chemical</v>
          </cell>
        </row>
        <row r="1716">
          <cell r="C1716" t="str">
            <v>MY046-IS-3A</v>
          </cell>
          <cell r="D1716" t="str">
            <v>MY046-IS-3</v>
          </cell>
          <cell r="E1716">
            <v>1067</v>
          </cell>
          <cell r="F1716" t="str">
            <v>mm</v>
          </cell>
          <cell r="G1716" t="str">
            <v>Mitsubishi Chemical</v>
          </cell>
        </row>
        <row r="1717">
          <cell r="C1717" t="str">
            <v>MY047-IR-3A</v>
          </cell>
          <cell r="D1717" t="str">
            <v>MY047-IR-3</v>
          </cell>
          <cell r="E1717">
            <v>1067</v>
          </cell>
          <cell r="F1717" t="str">
            <v>mm</v>
          </cell>
          <cell r="G1717" t="str">
            <v>Mitsubishi Chemical</v>
          </cell>
        </row>
        <row r="1718">
          <cell r="C1718" t="str">
            <v>MY047-IS-3A</v>
          </cell>
          <cell r="D1718" t="str">
            <v>MY047-IS-3</v>
          </cell>
          <cell r="E1718">
            <v>1067</v>
          </cell>
          <cell r="F1718" t="str">
            <v>mm</v>
          </cell>
          <cell r="G1718" t="str">
            <v>Mitsubishi Chemical</v>
          </cell>
        </row>
        <row r="1719">
          <cell r="C1719" t="str">
            <v>MY047-IX-3A</v>
          </cell>
          <cell r="D1719" t="str">
            <v>MY047-IX-3</v>
          </cell>
          <cell r="E1719">
            <v>1067</v>
          </cell>
          <cell r="F1719" t="str">
            <v>mm</v>
          </cell>
          <cell r="G1719" t="str">
            <v>Mitsubishi Chemical</v>
          </cell>
        </row>
        <row r="1720">
          <cell r="C1720" t="str">
            <v>MY048-IS-3A</v>
          </cell>
          <cell r="D1720" t="str">
            <v>MY048-IS-3</v>
          </cell>
          <cell r="E1720">
            <v>1067</v>
          </cell>
          <cell r="F1720" t="str">
            <v>mm</v>
          </cell>
          <cell r="G1720" t="str">
            <v>Mitsubishi Chemical</v>
          </cell>
        </row>
        <row r="1721">
          <cell r="C1721" t="str">
            <v>MY048-IX-3A</v>
          </cell>
          <cell r="D1721" t="str">
            <v>MY048-IX-3</v>
          </cell>
          <cell r="E1721">
            <v>1067</v>
          </cell>
          <cell r="F1721" t="str">
            <v>mm</v>
          </cell>
          <cell r="G1721" t="str">
            <v>Mitsubishi Chemical</v>
          </cell>
        </row>
        <row r="1722">
          <cell r="C1722" t="str">
            <v>MY049-IX-3A</v>
          </cell>
          <cell r="D1722" t="str">
            <v>MY049-IX-3</v>
          </cell>
          <cell r="E1722">
            <v>1067</v>
          </cell>
          <cell r="F1722" t="str">
            <v>mm</v>
          </cell>
          <cell r="G1722" t="str">
            <v>Mitsubishi Chemical</v>
          </cell>
        </row>
        <row r="1723">
          <cell r="C1723" t="str">
            <v>MX698-IL-1C</v>
          </cell>
          <cell r="D1723" t="str">
            <v>MX698-IL-1</v>
          </cell>
          <cell r="E1723">
            <v>1067</v>
          </cell>
          <cell r="F1723" t="str">
            <v>mm</v>
          </cell>
          <cell r="G1723" t="str">
            <v>Mitsubishi Chemical</v>
          </cell>
        </row>
        <row r="1724">
          <cell r="C1724" t="str">
            <v>MX701-IS-1C</v>
          </cell>
          <cell r="D1724" t="str">
            <v>MX701-IS-1</v>
          </cell>
          <cell r="E1724">
            <v>1067</v>
          </cell>
          <cell r="F1724" t="str">
            <v>mm</v>
          </cell>
          <cell r="G1724" t="str">
            <v>Mitsubishi Chemical</v>
          </cell>
        </row>
        <row r="1725">
          <cell r="C1725" t="str">
            <v>SF240-IS-3A</v>
          </cell>
          <cell r="D1725" t="str">
            <v>SF240-IS-3</v>
          </cell>
          <cell r="E1725">
            <v>1016</v>
          </cell>
          <cell r="F1725" t="str">
            <v>mm</v>
          </cell>
          <cell r="G1725" t="str">
            <v>Mitsubishi Chemical</v>
          </cell>
        </row>
        <row r="1726">
          <cell r="C1726" t="str">
            <v>MX948-WR-1A</v>
          </cell>
          <cell r="D1726" t="str">
            <v>MX948-WR-1</v>
          </cell>
          <cell r="E1726">
            <v>1168</v>
          </cell>
          <cell r="F1726" t="str">
            <v>mm</v>
          </cell>
          <cell r="G1726" t="str">
            <v>Mitsubishi Chemical</v>
          </cell>
        </row>
        <row r="1727">
          <cell r="C1727" t="str">
            <v>MX953-WR-1A</v>
          </cell>
          <cell r="D1727" t="str">
            <v>MX953-WR-1</v>
          </cell>
          <cell r="E1727">
            <v>1168</v>
          </cell>
          <cell r="F1727" t="str">
            <v>mm</v>
          </cell>
          <cell r="G1727" t="str">
            <v>Mitsubishi Chemical</v>
          </cell>
        </row>
        <row r="1728">
          <cell r="C1728" t="str">
            <v>MX947-WS-1AT</v>
          </cell>
          <cell r="D1728" t="str">
            <v>MX947-WS-1</v>
          </cell>
          <cell r="E1728">
            <v>1168</v>
          </cell>
          <cell r="F1728" t="str">
            <v>mm</v>
          </cell>
          <cell r="G1728" t="str">
            <v>Mitsubishi Chemical</v>
          </cell>
        </row>
        <row r="1729">
          <cell r="C1729" t="str">
            <v>MX953-WS-1AT</v>
          </cell>
          <cell r="D1729" t="str">
            <v>MX953-WS-1</v>
          </cell>
          <cell r="E1729">
            <v>1168</v>
          </cell>
          <cell r="F1729" t="str">
            <v>mm</v>
          </cell>
          <cell r="G1729" t="str">
            <v>Mitsubishi Chemical</v>
          </cell>
        </row>
        <row r="1730">
          <cell r="C1730" t="str">
            <v>MX699-IR-1C</v>
          </cell>
          <cell r="D1730" t="str">
            <v>MX699-IR-1</v>
          </cell>
          <cell r="E1730">
            <v>1067</v>
          </cell>
          <cell r="F1730" t="str">
            <v>mm</v>
          </cell>
          <cell r="G1730" t="str">
            <v>Mitsubishi Chemical</v>
          </cell>
        </row>
        <row r="1731">
          <cell r="C1731" t="str">
            <v>SF312-WR-1A</v>
          </cell>
          <cell r="D1731" t="str">
            <v>SF312-WR-1</v>
          </cell>
          <cell r="E1731">
            <v>1168</v>
          </cell>
          <cell r="F1731" t="str">
            <v>mm</v>
          </cell>
          <cell r="G1731" t="str">
            <v>Mitsubishi Chemical</v>
          </cell>
        </row>
        <row r="1732">
          <cell r="C1732" t="str">
            <v>MX961-WX-1AO</v>
          </cell>
          <cell r="D1732" t="str">
            <v>MX961-WX-1</v>
          </cell>
          <cell r="E1732">
            <v>1168</v>
          </cell>
          <cell r="F1732" t="str">
            <v>mm</v>
          </cell>
          <cell r="G1732" t="str">
            <v>Mitsubishi Chemical</v>
          </cell>
        </row>
        <row r="1733">
          <cell r="C1733" t="str">
            <v>MX962-WX-1AO</v>
          </cell>
          <cell r="D1733" t="str">
            <v>MX962-WX-1</v>
          </cell>
          <cell r="E1733">
            <v>1168</v>
          </cell>
          <cell r="F1733" t="str">
            <v>mm</v>
          </cell>
          <cell r="G1733" t="str">
            <v>Mitsubishi Chemical</v>
          </cell>
        </row>
        <row r="1734">
          <cell r="C1734" t="str">
            <v>MX947-WS-1AO</v>
          </cell>
          <cell r="D1734" t="str">
            <v>MX947-WS-1</v>
          </cell>
          <cell r="E1734">
            <v>1168</v>
          </cell>
          <cell r="F1734" t="str">
            <v>mm</v>
          </cell>
          <cell r="G1734" t="str">
            <v>Mitsubishi Chemical</v>
          </cell>
        </row>
        <row r="1735">
          <cell r="C1735" t="str">
            <v>MX959-WS-1AO</v>
          </cell>
          <cell r="D1735" t="str">
            <v>MX959-WS-1</v>
          </cell>
          <cell r="E1735">
            <v>1168</v>
          </cell>
          <cell r="F1735" t="str">
            <v>mm</v>
          </cell>
          <cell r="G1735" t="str">
            <v>Mitsubishi Chemical</v>
          </cell>
        </row>
        <row r="1736">
          <cell r="C1736" t="str">
            <v>MX950-WX-1AO</v>
          </cell>
          <cell r="D1736" t="str">
            <v>MX950-WX-1</v>
          </cell>
          <cell r="E1736">
            <v>1168</v>
          </cell>
          <cell r="F1736" t="str">
            <v>mm</v>
          </cell>
          <cell r="G1736" t="str">
            <v>Mitsubishi Chemical</v>
          </cell>
        </row>
        <row r="1737">
          <cell r="C1737" t="str">
            <v>MX960-WR-1AO</v>
          </cell>
          <cell r="D1737" t="str">
            <v>MX960-WR-1</v>
          </cell>
          <cell r="E1737">
            <v>1168</v>
          </cell>
          <cell r="F1737" t="str">
            <v>mm</v>
          </cell>
          <cell r="G1737" t="str">
            <v>Mitsubishi Chemical</v>
          </cell>
        </row>
        <row r="1738">
          <cell r="C1738" t="str">
            <v>HI003-WA-1A</v>
          </cell>
          <cell r="D1738" t="str">
            <v>HI003-WA-1</v>
          </cell>
          <cell r="E1738">
            <v>1168</v>
          </cell>
          <cell r="F1738" t="str">
            <v>mm</v>
          </cell>
          <cell r="G1738" t="str">
            <v>Mitsubishi Chemical</v>
          </cell>
        </row>
        <row r="1739">
          <cell r="C1739" t="str">
            <v>HI004-WR-1A</v>
          </cell>
          <cell r="D1739" t="str">
            <v>HI004-WR-1</v>
          </cell>
          <cell r="E1739">
            <v>1168</v>
          </cell>
          <cell r="F1739" t="str">
            <v>mm</v>
          </cell>
          <cell r="G1739" t="str">
            <v>Mitsubishi Chemical</v>
          </cell>
        </row>
        <row r="1740">
          <cell r="C1740" t="str">
            <v>HI004-WS-1A</v>
          </cell>
          <cell r="D1740" t="str">
            <v>HI004-WS-1</v>
          </cell>
          <cell r="E1740">
            <v>1168</v>
          </cell>
          <cell r="F1740" t="str">
            <v>mm</v>
          </cell>
          <cell r="G1740" t="str">
            <v>Mitsubishi Chemical</v>
          </cell>
        </row>
        <row r="1741">
          <cell r="C1741" t="str">
            <v>MX934-IS-1A</v>
          </cell>
          <cell r="D1741" t="str">
            <v>MX934-IS-1</v>
          </cell>
          <cell r="E1741">
            <v>1067</v>
          </cell>
          <cell r="F1741" t="str">
            <v>mm</v>
          </cell>
          <cell r="G1741" t="str">
            <v>Mitsubishi Chemical</v>
          </cell>
        </row>
        <row r="1742">
          <cell r="C1742" t="str">
            <v>MX728-IA-4A</v>
          </cell>
          <cell r="D1742" t="str">
            <v>MX728-IA-4</v>
          </cell>
          <cell r="E1742">
            <v>1003</v>
          </cell>
          <cell r="F1742" t="str">
            <v>mm</v>
          </cell>
          <cell r="G1742" t="str">
            <v>Mitsubishi Chemical</v>
          </cell>
        </row>
        <row r="1743">
          <cell r="C1743" t="str">
            <v>MX721-ITX2B</v>
          </cell>
          <cell r="D1743" t="str">
            <v>MX721-ITX2</v>
          </cell>
          <cell r="E1743">
            <v>1016</v>
          </cell>
          <cell r="F1743" t="str">
            <v>mm</v>
          </cell>
          <cell r="G1743" t="str">
            <v>Mitsubishi Chemical</v>
          </cell>
        </row>
        <row r="1744">
          <cell r="C1744" t="str">
            <v>MX953-WS-1AO</v>
          </cell>
          <cell r="D1744" t="str">
            <v>MX953-WS-1</v>
          </cell>
          <cell r="E1744">
            <v>1168</v>
          </cell>
          <cell r="F1744" t="str">
            <v>mm</v>
          </cell>
          <cell r="G1744" t="str">
            <v>Mitsubishi Chemical</v>
          </cell>
        </row>
        <row r="1745">
          <cell r="C1745" t="str">
            <v>MX956-WX-1AO</v>
          </cell>
          <cell r="D1745" t="str">
            <v>MX956-WX-1</v>
          </cell>
          <cell r="E1745">
            <v>1168</v>
          </cell>
          <cell r="F1745" t="str">
            <v>mm</v>
          </cell>
          <cell r="G1745" t="str">
            <v>Mitsubishi Chemical</v>
          </cell>
        </row>
        <row r="1746">
          <cell r="C1746" t="str">
            <v>MX959-WR-1AO</v>
          </cell>
          <cell r="D1746" t="str">
            <v>MX959-WR-1</v>
          </cell>
          <cell r="E1746">
            <v>1168</v>
          </cell>
          <cell r="F1746" t="str">
            <v>mm</v>
          </cell>
          <cell r="G1746" t="str">
            <v>Mitsubishi Chemical</v>
          </cell>
        </row>
        <row r="1747">
          <cell r="C1747" t="str">
            <v>MZ048-IA-7AY</v>
          </cell>
          <cell r="D1747" t="str">
            <v>MZ048-IA-7</v>
          </cell>
          <cell r="E1747">
            <v>965</v>
          </cell>
          <cell r="F1747" t="str">
            <v>mm</v>
          </cell>
          <cell r="G1747" t="str">
            <v>Mitsubishi Chemical</v>
          </cell>
        </row>
        <row r="1748">
          <cell r="C1748" t="str">
            <v>MZ049-IR-7AY</v>
          </cell>
          <cell r="D1748" t="str">
            <v>MZ049-IR-7</v>
          </cell>
          <cell r="E1748">
            <v>965</v>
          </cell>
          <cell r="F1748" t="str">
            <v>mm</v>
          </cell>
          <cell r="G1748" t="str">
            <v>Mitsubishi Chemical</v>
          </cell>
        </row>
        <row r="1749">
          <cell r="C1749" t="str">
            <v>MZ050-IS-7AY</v>
          </cell>
          <cell r="D1749" t="str">
            <v>MZ050-IS-7</v>
          </cell>
          <cell r="E1749">
            <v>940</v>
          </cell>
          <cell r="F1749" t="str">
            <v>mm</v>
          </cell>
          <cell r="G1749" t="str">
            <v>Mitsubishi Chemical</v>
          </cell>
        </row>
        <row r="1750">
          <cell r="C1750" t="str">
            <v>MZ051-IS-7AY</v>
          </cell>
          <cell r="D1750" t="str">
            <v>MZ051-IS-7</v>
          </cell>
          <cell r="E1750">
            <v>940</v>
          </cell>
          <cell r="F1750" t="str">
            <v>mm</v>
          </cell>
          <cell r="G1750" t="str">
            <v>Mitsubishi Chemical</v>
          </cell>
        </row>
        <row r="1751">
          <cell r="C1751" t="str">
            <v>MY028-IS-2A</v>
          </cell>
          <cell r="D1751" t="str">
            <v>MY028-IS-2</v>
          </cell>
          <cell r="E1751">
            <v>1029</v>
          </cell>
          <cell r="F1751" t="str">
            <v>mm</v>
          </cell>
          <cell r="G1751" t="str">
            <v>Mitsubishi Chemical</v>
          </cell>
        </row>
        <row r="1752">
          <cell r="C1752" t="str">
            <v>SF268-IS-3A</v>
          </cell>
          <cell r="D1752" t="str">
            <v>SF268-IS-3</v>
          </cell>
          <cell r="E1752">
            <v>991</v>
          </cell>
          <cell r="F1752" t="str">
            <v>mm</v>
          </cell>
          <cell r="G1752" t="str">
            <v>Mitsubishi Chemical</v>
          </cell>
        </row>
        <row r="1753">
          <cell r="C1753" t="str">
            <v>CW108-ITX3A</v>
          </cell>
          <cell r="D1753" t="str">
            <v>CW108-ITX3</v>
          </cell>
          <cell r="E1753">
            <v>991</v>
          </cell>
          <cell r="F1753" t="str">
            <v>mm</v>
          </cell>
          <cell r="G1753" t="str">
            <v>Mitsubishi Chemical</v>
          </cell>
        </row>
        <row r="1754">
          <cell r="C1754" t="str">
            <v>CW106-IR-4A</v>
          </cell>
          <cell r="D1754" t="str">
            <v>CW106-IR-4</v>
          </cell>
          <cell r="E1754">
            <v>978</v>
          </cell>
          <cell r="F1754" t="str">
            <v>mm</v>
          </cell>
          <cell r="G1754" t="str">
            <v>Mitsubishi Chemical</v>
          </cell>
        </row>
        <row r="1755">
          <cell r="C1755" t="str">
            <v>CW184-IS-5A</v>
          </cell>
          <cell r="D1755" t="str">
            <v>CW184-IS-5</v>
          </cell>
          <cell r="E1755">
            <v>966</v>
          </cell>
          <cell r="F1755" t="str">
            <v>mm</v>
          </cell>
          <cell r="G1755" t="str">
            <v>Mitsubishi Chemical</v>
          </cell>
        </row>
        <row r="1756">
          <cell r="C1756" t="str">
            <v>CW184-IS-4A</v>
          </cell>
          <cell r="D1756" t="str">
            <v>CW184-IS-4</v>
          </cell>
          <cell r="E1756">
            <v>979</v>
          </cell>
          <cell r="F1756" t="str">
            <v>mm</v>
          </cell>
          <cell r="G1756" t="str">
            <v>Mitsubishi Chemical</v>
          </cell>
        </row>
        <row r="1757">
          <cell r="C1757" t="str">
            <v>CW184-IS-6A</v>
          </cell>
          <cell r="D1757" t="str">
            <v>CW184-IS-6</v>
          </cell>
          <cell r="E1757">
            <v>954</v>
          </cell>
          <cell r="F1757" t="str">
            <v>mm</v>
          </cell>
          <cell r="G1757" t="str">
            <v>Mitsubishi Chemical</v>
          </cell>
        </row>
        <row r="1758">
          <cell r="C1758" t="str">
            <v>CW184-IS-7A</v>
          </cell>
          <cell r="D1758" t="str">
            <v>CW184-IS-7</v>
          </cell>
          <cell r="E1758">
            <v>941</v>
          </cell>
          <cell r="F1758" t="str">
            <v>mm</v>
          </cell>
          <cell r="G1758" t="str">
            <v>Mitsubishi Chemical</v>
          </cell>
        </row>
        <row r="1759">
          <cell r="C1759" t="str">
            <v>CW184-IS-9A</v>
          </cell>
          <cell r="D1759" t="str">
            <v>CW184-IS-9</v>
          </cell>
          <cell r="E1759">
            <v>915</v>
          </cell>
          <cell r="F1759" t="str">
            <v>mm</v>
          </cell>
          <cell r="G1759" t="str">
            <v>Mitsubishi Chemical</v>
          </cell>
        </row>
        <row r="1760">
          <cell r="C1760" t="str">
            <v>CW184-IS-PA</v>
          </cell>
          <cell r="D1760" t="str">
            <v>CW184-IS-P</v>
          </cell>
          <cell r="E1760">
            <v>903</v>
          </cell>
          <cell r="F1760" t="str">
            <v>mm</v>
          </cell>
          <cell r="G1760" t="str">
            <v>Mitsubishi Chemical</v>
          </cell>
        </row>
        <row r="1761">
          <cell r="C1761" t="str">
            <v>CW184-IS-8A</v>
          </cell>
          <cell r="D1761" t="str">
            <v>CW184-IS-8</v>
          </cell>
          <cell r="E1761">
            <v>928</v>
          </cell>
          <cell r="F1761" t="str">
            <v>mm</v>
          </cell>
          <cell r="G1761" t="str">
            <v>Mitsubishi Chemical</v>
          </cell>
        </row>
        <row r="1762">
          <cell r="C1762" t="str">
            <v>CW103-WS-1A</v>
          </cell>
          <cell r="D1762" t="str">
            <v>CW103-WS-1</v>
          </cell>
          <cell r="E1762">
            <v>1169</v>
          </cell>
          <cell r="F1762" t="str">
            <v>mm</v>
          </cell>
          <cell r="G1762" t="str">
            <v>Mitsubishi Chemical</v>
          </cell>
        </row>
        <row r="1763">
          <cell r="C1763" t="str">
            <v>AX176-WTS1AB</v>
          </cell>
          <cell r="D1763" t="str">
            <v>AX176-WTS1</v>
          </cell>
          <cell r="E1763">
            <v>1168</v>
          </cell>
          <cell r="F1763" t="str">
            <v>mm</v>
          </cell>
          <cell r="G1763" t="str">
            <v>Aldila</v>
          </cell>
        </row>
        <row r="1764">
          <cell r="C1764" t="str">
            <v>AX176-WTX1AB</v>
          </cell>
          <cell r="D1764" t="str">
            <v>AX176-WTX1</v>
          </cell>
          <cell r="E1764">
            <v>1168</v>
          </cell>
          <cell r="F1764" t="str">
            <v>mm</v>
          </cell>
          <cell r="G1764" t="str">
            <v>Aldila</v>
          </cell>
        </row>
        <row r="1765">
          <cell r="C1765" t="str">
            <v>AX177-WTS1AB</v>
          </cell>
          <cell r="D1765" t="str">
            <v>AX177-WTS1</v>
          </cell>
          <cell r="E1765">
            <v>1168</v>
          </cell>
          <cell r="F1765" t="str">
            <v>mm</v>
          </cell>
          <cell r="G1765" t="str">
            <v>Aldila</v>
          </cell>
        </row>
        <row r="1766">
          <cell r="C1766" t="str">
            <v>AX177-WTX1AB</v>
          </cell>
          <cell r="D1766" t="str">
            <v>AX177-WTX1</v>
          </cell>
          <cell r="E1766">
            <v>1168</v>
          </cell>
          <cell r="F1766" t="str">
            <v>mm</v>
          </cell>
          <cell r="G1766" t="str">
            <v>Aldila</v>
          </cell>
        </row>
        <row r="1767">
          <cell r="C1767" t="str">
            <v>AX210-WS-1AA</v>
          </cell>
          <cell r="D1767" t="str">
            <v>AX210-WS-1</v>
          </cell>
          <cell r="E1767">
            <v>1168</v>
          </cell>
          <cell r="F1767" t="str">
            <v>mm</v>
          </cell>
          <cell r="G1767" t="str">
            <v>Aldila</v>
          </cell>
        </row>
        <row r="1768">
          <cell r="C1768" t="str">
            <v>AX212-WS-1AA</v>
          </cell>
          <cell r="D1768" t="str">
            <v>AX212-WS-1</v>
          </cell>
          <cell r="E1768">
            <v>1168</v>
          </cell>
          <cell r="F1768" t="str">
            <v>mm</v>
          </cell>
          <cell r="G1768" t="str">
            <v>Aldila</v>
          </cell>
        </row>
        <row r="1769">
          <cell r="C1769" t="str">
            <v>AX213-WS-1AA</v>
          </cell>
          <cell r="D1769" t="str">
            <v>AX213-WS-1</v>
          </cell>
          <cell r="E1769">
            <v>1168</v>
          </cell>
          <cell r="F1769" t="str">
            <v>mm</v>
          </cell>
          <cell r="G1769" t="str">
            <v>Aldila</v>
          </cell>
        </row>
        <row r="1770">
          <cell r="C1770" t="str">
            <v>AX214-WX-1AA</v>
          </cell>
          <cell r="D1770" t="str">
            <v>AX214-WX-1</v>
          </cell>
          <cell r="E1770">
            <v>1168</v>
          </cell>
          <cell r="F1770" t="str">
            <v>mm</v>
          </cell>
          <cell r="G1770" t="str">
            <v>Aldila</v>
          </cell>
        </row>
        <row r="1771">
          <cell r="C1771" t="str">
            <v>AX215-WS-1AA</v>
          </cell>
          <cell r="D1771" t="str">
            <v>AX215-WS-1</v>
          </cell>
          <cell r="E1771">
            <v>1168</v>
          </cell>
          <cell r="F1771" t="str">
            <v>mm</v>
          </cell>
          <cell r="G1771" t="str">
            <v>Aldila</v>
          </cell>
        </row>
        <row r="1772">
          <cell r="C1772" t="str">
            <v>AX215-WX-1AA</v>
          </cell>
          <cell r="D1772" t="str">
            <v>AX215-WX-1</v>
          </cell>
          <cell r="E1772">
            <v>1168</v>
          </cell>
          <cell r="F1772" t="str">
            <v>mm</v>
          </cell>
          <cell r="G1772" t="str">
            <v>Aldila</v>
          </cell>
        </row>
        <row r="1773">
          <cell r="C1773" t="str">
            <v>AX216-WS-1AA</v>
          </cell>
          <cell r="D1773" t="str">
            <v>AX216-WS-1</v>
          </cell>
          <cell r="E1773">
            <v>1168</v>
          </cell>
          <cell r="F1773" t="str">
            <v>mm</v>
          </cell>
          <cell r="G1773" t="str">
            <v>Aldila</v>
          </cell>
        </row>
        <row r="1774">
          <cell r="C1774" t="str">
            <v>MX721-IS-6AO</v>
          </cell>
          <cell r="D1774" t="str">
            <v>MX721-IS-6</v>
          </cell>
          <cell r="E1774">
            <v>953</v>
          </cell>
          <cell r="F1774" t="str">
            <v>mm</v>
          </cell>
          <cell r="G1774" t="str">
            <v>Mitsubishi Chemical</v>
          </cell>
        </row>
        <row r="1775">
          <cell r="C1775" t="str">
            <v>MX721-IS-7AO</v>
          </cell>
          <cell r="D1775" t="str">
            <v>MX721-IS-7</v>
          </cell>
          <cell r="E1775">
            <v>940</v>
          </cell>
          <cell r="F1775" t="str">
            <v>mm</v>
          </cell>
          <cell r="G1775" t="str">
            <v>Mitsubishi Chemical</v>
          </cell>
        </row>
        <row r="1776">
          <cell r="C1776" t="str">
            <v>MX721-IS-8AO</v>
          </cell>
          <cell r="D1776" t="str">
            <v>MX721-IS-8</v>
          </cell>
          <cell r="E1776">
            <v>927</v>
          </cell>
          <cell r="F1776" t="str">
            <v>mm</v>
          </cell>
          <cell r="G1776" t="str">
            <v>Mitsubishi Chemical</v>
          </cell>
        </row>
        <row r="1777">
          <cell r="C1777" t="str">
            <v>MX721-IS-9AO</v>
          </cell>
          <cell r="D1777" t="str">
            <v>MX721-IS-9</v>
          </cell>
          <cell r="E1777">
            <v>914</v>
          </cell>
          <cell r="F1777" t="str">
            <v>mm</v>
          </cell>
          <cell r="G1777" t="str">
            <v>Mitsubishi Chemical</v>
          </cell>
        </row>
        <row r="1778">
          <cell r="C1778" t="str">
            <v>MX721-IS-PAO</v>
          </cell>
          <cell r="D1778" t="str">
            <v>MX721-IS-P</v>
          </cell>
          <cell r="E1778">
            <v>902</v>
          </cell>
          <cell r="F1778" t="str">
            <v>mm</v>
          </cell>
          <cell r="G1778" t="str">
            <v>Mitsubishi Chemical</v>
          </cell>
        </row>
        <row r="1779">
          <cell r="C1779" t="str">
            <v>MX721-IS-3AO</v>
          </cell>
          <cell r="D1779" t="str">
            <v>MX721-IS-3</v>
          </cell>
          <cell r="E1779">
            <v>991</v>
          </cell>
          <cell r="F1779" t="str">
            <v>mm</v>
          </cell>
          <cell r="G1779" t="str">
            <v>Mitsubishi Chemical</v>
          </cell>
        </row>
        <row r="1780">
          <cell r="C1780" t="str">
            <v>MX721-IS-4AO</v>
          </cell>
          <cell r="D1780" t="str">
            <v>MX721-IS-4</v>
          </cell>
          <cell r="E1780">
            <v>978</v>
          </cell>
          <cell r="F1780" t="str">
            <v>mm</v>
          </cell>
          <cell r="G1780" t="str">
            <v>Mitsubishi Chemical</v>
          </cell>
        </row>
        <row r="1781">
          <cell r="C1781" t="str">
            <v>MX721-IS-5AO</v>
          </cell>
          <cell r="D1781" t="str">
            <v>MX721-IS-5</v>
          </cell>
          <cell r="E1781">
            <v>965</v>
          </cell>
          <cell r="F1781" t="str">
            <v>mm</v>
          </cell>
          <cell r="G1781" t="str">
            <v>Mitsubishi Chemical</v>
          </cell>
        </row>
        <row r="1782">
          <cell r="C1782" t="str">
            <v>MY040-WS-1A</v>
          </cell>
          <cell r="D1782" t="str">
            <v>MY040-WS-1</v>
          </cell>
          <cell r="E1782">
            <v>1168</v>
          </cell>
          <cell r="F1782" t="str">
            <v>mm</v>
          </cell>
          <cell r="G1782" t="str">
            <v>Mitsubishi Chemical</v>
          </cell>
        </row>
        <row r="1783">
          <cell r="C1783" t="str">
            <v>MY040-WX-1A</v>
          </cell>
          <cell r="D1783" t="str">
            <v>MY040-WX-1</v>
          </cell>
          <cell r="E1783">
            <v>1168</v>
          </cell>
          <cell r="F1783" t="str">
            <v>mm</v>
          </cell>
          <cell r="G1783" t="str">
            <v>Mitsubishi Chemical</v>
          </cell>
        </row>
        <row r="1784">
          <cell r="C1784" t="str">
            <v>MY041-WS-1A</v>
          </cell>
          <cell r="D1784" t="str">
            <v>MY041-WS-1</v>
          </cell>
          <cell r="E1784">
            <v>1168</v>
          </cell>
          <cell r="F1784" t="str">
            <v>mm</v>
          </cell>
          <cell r="G1784" t="str">
            <v>Mitsubishi Chemical</v>
          </cell>
        </row>
        <row r="1785">
          <cell r="C1785" t="str">
            <v>MY041-WX-1A</v>
          </cell>
          <cell r="D1785" t="str">
            <v>MY041-WX-1</v>
          </cell>
          <cell r="E1785">
            <v>1168</v>
          </cell>
          <cell r="F1785" t="str">
            <v>mm</v>
          </cell>
          <cell r="G1785" t="str">
            <v>Mitsubishi Chemical</v>
          </cell>
        </row>
        <row r="1786">
          <cell r="C1786" t="str">
            <v>MY042-WS-1A</v>
          </cell>
          <cell r="D1786" t="str">
            <v>MY042-WS-1</v>
          </cell>
          <cell r="E1786">
            <v>1168</v>
          </cell>
          <cell r="F1786" t="str">
            <v>mm</v>
          </cell>
          <cell r="G1786" t="str">
            <v>Mitsubishi Chemical</v>
          </cell>
        </row>
        <row r="1787">
          <cell r="C1787" t="str">
            <v>MY042-WX-1A</v>
          </cell>
          <cell r="D1787" t="str">
            <v>MY042-WX-1</v>
          </cell>
          <cell r="E1787">
            <v>1168</v>
          </cell>
          <cell r="F1787" t="str">
            <v>mm</v>
          </cell>
          <cell r="G1787" t="str">
            <v>Mitsubishi Chemical</v>
          </cell>
        </row>
        <row r="1788">
          <cell r="C1788" t="str">
            <v>MY041-WR-1A</v>
          </cell>
          <cell r="D1788" t="str">
            <v>MY041-WR-1</v>
          </cell>
          <cell r="E1788">
            <v>1168</v>
          </cell>
          <cell r="F1788" t="str">
            <v>mm</v>
          </cell>
          <cell r="G1788" t="str">
            <v>Mitsubishi Chemical</v>
          </cell>
        </row>
        <row r="1789">
          <cell r="C1789" t="str">
            <v>AX191-WR-1AA</v>
          </cell>
          <cell r="D1789" t="str">
            <v>AX191-WR-1</v>
          </cell>
          <cell r="E1789">
            <v>1168</v>
          </cell>
          <cell r="F1789" t="str">
            <v>mm</v>
          </cell>
          <cell r="G1789" t="str">
            <v>Aldila</v>
          </cell>
        </row>
        <row r="1790">
          <cell r="C1790" t="str">
            <v>MY043-WS-1A</v>
          </cell>
          <cell r="D1790" t="str">
            <v>MY043-WS-1</v>
          </cell>
          <cell r="E1790">
            <v>1168</v>
          </cell>
          <cell r="F1790" t="str">
            <v>mm</v>
          </cell>
          <cell r="G1790" t="str">
            <v>Mitsubishi Chemical</v>
          </cell>
        </row>
        <row r="1791">
          <cell r="C1791" t="str">
            <v>MY043-WX-1A</v>
          </cell>
          <cell r="D1791" t="str">
            <v>MY043-WX-1</v>
          </cell>
          <cell r="E1791">
            <v>1168</v>
          </cell>
          <cell r="F1791" t="str">
            <v>mm</v>
          </cell>
          <cell r="G1791" t="str">
            <v>Mitsubishi Chemical</v>
          </cell>
        </row>
        <row r="1792">
          <cell r="C1792" t="str">
            <v>MY044-WX-1A</v>
          </cell>
          <cell r="D1792" t="str">
            <v>MY044-WX-1</v>
          </cell>
          <cell r="E1792">
            <v>1168</v>
          </cell>
          <cell r="F1792" t="str">
            <v>mm</v>
          </cell>
          <cell r="G1792" t="str">
            <v>Mitsubishi Chemical</v>
          </cell>
        </row>
        <row r="1793">
          <cell r="C1793" t="str">
            <v>MX836-WX-1A</v>
          </cell>
          <cell r="D1793" t="str">
            <v>MX836-WX-1</v>
          </cell>
          <cell r="E1793">
            <v>1168</v>
          </cell>
          <cell r="F1793" t="str">
            <v>mm</v>
          </cell>
          <cell r="G1793" t="str">
            <v>Mitsubishi Chemical</v>
          </cell>
        </row>
        <row r="1794">
          <cell r="C1794" t="str">
            <v>MX838-WX-1A</v>
          </cell>
          <cell r="D1794" t="str">
            <v>MX838-WX-1</v>
          </cell>
          <cell r="E1794">
            <v>1168</v>
          </cell>
          <cell r="F1794" t="str">
            <v>mm</v>
          </cell>
          <cell r="G1794" t="str">
            <v>Mitsubishi Chemical</v>
          </cell>
        </row>
        <row r="1795">
          <cell r="C1795" t="str">
            <v>MY040-WTX1A</v>
          </cell>
          <cell r="D1795" t="str">
            <v>MY040-WTX1</v>
          </cell>
          <cell r="E1795">
            <v>1168</v>
          </cell>
          <cell r="F1795" t="str">
            <v>mm</v>
          </cell>
          <cell r="G1795" t="str">
            <v>Mitsubishi Chemical</v>
          </cell>
        </row>
        <row r="1796">
          <cell r="C1796" t="str">
            <v>MY041-WTX1A</v>
          </cell>
          <cell r="D1796" t="str">
            <v>MY041-WTX1</v>
          </cell>
          <cell r="E1796">
            <v>1168</v>
          </cell>
          <cell r="F1796" t="str">
            <v>mm</v>
          </cell>
          <cell r="G1796" t="str">
            <v>Mitsubishi Chemical</v>
          </cell>
        </row>
        <row r="1797">
          <cell r="C1797" t="str">
            <v>MY042-WTX1A</v>
          </cell>
          <cell r="D1797" t="str">
            <v>MY042-WTX1</v>
          </cell>
          <cell r="E1797">
            <v>1168</v>
          </cell>
          <cell r="F1797" t="str">
            <v>mm</v>
          </cell>
          <cell r="G1797" t="str">
            <v>Mitsubishi Chemical</v>
          </cell>
        </row>
        <row r="1798">
          <cell r="C1798" t="str">
            <v>MY043-WTX1A</v>
          </cell>
          <cell r="D1798" t="str">
            <v>MY043-WTX1</v>
          </cell>
          <cell r="E1798">
            <v>1168</v>
          </cell>
          <cell r="F1798" t="str">
            <v>mm</v>
          </cell>
          <cell r="G1798" t="str">
            <v>Mitsubishi Chemical</v>
          </cell>
        </row>
        <row r="1799">
          <cell r="C1799" t="str">
            <v>YM127-WS-3A</v>
          </cell>
          <cell r="D1799" t="str">
            <v>YM127-WS-3</v>
          </cell>
          <cell r="E1799">
            <v>1092</v>
          </cell>
          <cell r="F1799" t="str">
            <v>mm</v>
          </cell>
          <cell r="G1799" t="str">
            <v>Mitsubishi Chemical</v>
          </cell>
        </row>
        <row r="1800">
          <cell r="C1800" t="str">
            <v>YM128-IR-6A</v>
          </cell>
          <cell r="D1800" t="str">
            <v>YM128-IR-6</v>
          </cell>
          <cell r="E1800">
            <v>966</v>
          </cell>
          <cell r="F1800" t="str">
            <v>mm</v>
          </cell>
          <cell r="G1800" t="str">
            <v>Mitsubishi Chemical</v>
          </cell>
        </row>
        <row r="1801">
          <cell r="C1801" t="str">
            <v>YM128-IR-7A</v>
          </cell>
          <cell r="D1801" t="str">
            <v>YM128-IR-7</v>
          </cell>
          <cell r="E1801">
            <v>953</v>
          </cell>
          <cell r="F1801" t="str">
            <v>mm</v>
          </cell>
          <cell r="G1801" t="str">
            <v>Mitsubishi Chemical</v>
          </cell>
        </row>
        <row r="1802">
          <cell r="C1802" t="str">
            <v>YM128-IR-8A</v>
          </cell>
          <cell r="D1802" t="str">
            <v>YM128-IR-8</v>
          </cell>
          <cell r="E1802">
            <v>940</v>
          </cell>
          <cell r="F1802" t="str">
            <v>mm</v>
          </cell>
          <cell r="G1802" t="str">
            <v>Mitsubishi Chemical</v>
          </cell>
        </row>
        <row r="1803">
          <cell r="C1803" t="str">
            <v>YM128-WSR1A</v>
          </cell>
          <cell r="D1803" t="str">
            <v>YM128-WSR1</v>
          </cell>
          <cell r="E1803">
            <v>1168</v>
          </cell>
          <cell r="F1803" t="str">
            <v>mm</v>
          </cell>
          <cell r="G1803" t="str">
            <v>Mitsubishi Chemical</v>
          </cell>
        </row>
        <row r="1804">
          <cell r="C1804" t="str">
            <v>MY040-WR-1A</v>
          </cell>
          <cell r="D1804" t="str">
            <v>MY040-WR-1</v>
          </cell>
          <cell r="E1804">
            <v>1168</v>
          </cell>
          <cell r="F1804" t="str">
            <v>mm</v>
          </cell>
          <cell r="G1804" t="str">
            <v>Mitsubishi Chemical</v>
          </cell>
        </row>
        <row r="1805">
          <cell r="C1805" t="str">
            <v>CW154-IRA2A</v>
          </cell>
          <cell r="D1805" t="str">
            <v>CW154-IRA2</v>
          </cell>
          <cell r="E1805">
            <v>1030</v>
          </cell>
          <cell r="F1805" t="str">
            <v>mm</v>
          </cell>
          <cell r="G1805" t="str">
            <v>Mitsubishi Chemical</v>
          </cell>
        </row>
        <row r="1806">
          <cell r="C1806" t="str">
            <v>MX952-WS-1A</v>
          </cell>
          <cell r="D1806" t="str">
            <v>MX952-WS-1</v>
          </cell>
          <cell r="E1806">
            <v>1168</v>
          </cell>
          <cell r="F1806" t="str">
            <v>mm</v>
          </cell>
          <cell r="G1806" t="str">
            <v>Mitsubishi Chemical</v>
          </cell>
        </row>
        <row r="1807">
          <cell r="C1807" t="str">
            <v>MX952-WSR1A</v>
          </cell>
          <cell r="D1807" t="str">
            <v>MX952-WSR1</v>
          </cell>
          <cell r="E1807">
            <v>1168</v>
          </cell>
          <cell r="F1807" t="str">
            <v>mm</v>
          </cell>
          <cell r="G1807" t="str">
            <v>Mitsubishi Chemical</v>
          </cell>
        </row>
        <row r="1808">
          <cell r="C1808" t="str">
            <v>MX954-WR-1A</v>
          </cell>
          <cell r="D1808" t="str">
            <v>MX954-WR-1</v>
          </cell>
          <cell r="E1808">
            <v>1168</v>
          </cell>
          <cell r="F1808" t="str">
            <v>mm</v>
          </cell>
          <cell r="G1808" t="str">
            <v>Mitsubishi Chemical</v>
          </cell>
        </row>
        <row r="1809">
          <cell r="C1809" t="str">
            <v>MX954-WSR1A</v>
          </cell>
          <cell r="D1809" t="str">
            <v>MX954-WSR1</v>
          </cell>
          <cell r="E1809">
            <v>1168</v>
          </cell>
          <cell r="F1809" t="str">
            <v>mm</v>
          </cell>
          <cell r="G1809" t="str">
            <v>Mitsubishi Chemical</v>
          </cell>
        </row>
        <row r="1810">
          <cell r="C1810" t="str">
            <v>MX956-WS-1A</v>
          </cell>
          <cell r="D1810" t="str">
            <v>MX956-WS-1</v>
          </cell>
          <cell r="E1810">
            <v>1168</v>
          </cell>
          <cell r="F1810" t="str">
            <v>mm</v>
          </cell>
          <cell r="G1810" t="str">
            <v>Mitsubishi Chemical</v>
          </cell>
        </row>
        <row r="1811">
          <cell r="C1811" t="str">
            <v>MX958-WR-1A</v>
          </cell>
          <cell r="D1811" t="str">
            <v>MX958-WR-1</v>
          </cell>
          <cell r="E1811">
            <v>1168</v>
          </cell>
          <cell r="F1811" t="str">
            <v>mm</v>
          </cell>
          <cell r="G1811" t="str">
            <v>Mitsubishi Chemical</v>
          </cell>
        </row>
        <row r="1812">
          <cell r="C1812" t="str">
            <v>MX959-WSR1A</v>
          </cell>
          <cell r="D1812" t="str">
            <v>MX959-WSR1</v>
          </cell>
          <cell r="E1812">
            <v>1168</v>
          </cell>
          <cell r="F1812" t="str">
            <v>mm</v>
          </cell>
          <cell r="G1812" t="str">
            <v>Mitsubishi Chemical</v>
          </cell>
        </row>
        <row r="1813">
          <cell r="C1813" t="str">
            <v>MX891-WX-1A</v>
          </cell>
          <cell r="D1813" t="str">
            <v>MX891-WX-1</v>
          </cell>
          <cell r="E1813">
            <v>1168</v>
          </cell>
          <cell r="F1813" t="str">
            <v>mm</v>
          </cell>
          <cell r="G1813" t="str">
            <v>Mitsubishi Chemical</v>
          </cell>
        </row>
        <row r="1814">
          <cell r="C1814" t="str">
            <v>MX795-IS-1A</v>
          </cell>
          <cell r="D1814" t="str">
            <v>MX795-IS-1</v>
          </cell>
          <cell r="E1814">
            <v>1067</v>
          </cell>
          <cell r="F1814" t="str">
            <v>mm</v>
          </cell>
          <cell r="G1814" t="str">
            <v>Mitsubishi Chemical</v>
          </cell>
        </row>
        <row r="1815">
          <cell r="C1815" t="str">
            <v>MX946-WA-1AO</v>
          </cell>
          <cell r="D1815" t="str">
            <v>MX946-WA-1</v>
          </cell>
          <cell r="E1815">
            <v>1168</v>
          </cell>
          <cell r="F1815" t="str">
            <v>mm</v>
          </cell>
          <cell r="G1815" t="str">
            <v>Mitsubishi Chemical</v>
          </cell>
        </row>
        <row r="1816">
          <cell r="C1816" t="str">
            <v>MX947-WR-1AO</v>
          </cell>
          <cell r="D1816" t="str">
            <v>MX947-WR-1</v>
          </cell>
          <cell r="E1816">
            <v>1168</v>
          </cell>
          <cell r="F1816" t="str">
            <v>mm</v>
          </cell>
          <cell r="G1816" t="str">
            <v>Mitsubishi Chemical</v>
          </cell>
        </row>
        <row r="1817">
          <cell r="C1817" t="str">
            <v>MX969-WR-1A</v>
          </cell>
          <cell r="D1817" t="str">
            <v>MX969-WR-1</v>
          </cell>
          <cell r="E1817">
            <v>1168</v>
          </cell>
          <cell r="F1817" t="str">
            <v>mm</v>
          </cell>
          <cell r="G1817" t="str">
            <v>Mitsubishi Chemical</v>
          </cell>
        </row>
        <row r="1818">
          <cell r="C1818" t="str">
            <v>SX204-IS-PF</v>
          </cell>
          <cell r="D1818" t="str">
            <v>SX204-IS-P</v>
          </cell>
          <cell r="E1818">
            <v>912</v>
          </cell>
          <cell r="F1818" t="str">
            <v>mm</v>
          </cell>
          <cell r="G1818" t="str">
            <v>Mitsubishi Chemical</v>
          </cell>
        </row>
        <row r="1819">
          <cell r="C1819" t="str">
            <v>CW137-IR-1B</v>
          </cell>
          <cell r="D1819" t="str">
            <v>CW137-IR-1</v>
          </cell>
          <cell r="E1819">
            <v>1068</v>
          </cell>
          <cell r="F1819" t="str">
            <v>mm</v>
          </cell>
          <cell r="G1819" t="str">
            <v>Mitsubishi Chemical</v>
          </cell>
        </row>
        <row r="1820">
          <cell r="C1820" t="str">
            <v>CW138-IS-1B</v>
          </cell>
          <cell r="D1820" t="str">
            <v>CW138-IS-1</v>
          </cell>
          <cell r="E1820">
            <v>1068</v>
          </cell>
          <cell r="F1820" t="str">
            <v>mm</v>
          </cell>
          <cell r="G1820" t="str">
            <v>Mitsubishi Chemical</v>
          </cell>
        </row>
        <row r="1821">
          <cell r="C1821" t="str">
            <v>CW138-IX-1B</v>
          </cell>
          <cell r="D1821" t="str">
            <v>CW138-IX-1</v>
          </cell>
          <cell r="E1821">
            <v>1068</v>
          </cell>
          <cell r="F1821" t="str">
            <v>mm</v>
          </cell>
          <cell r="G1821" t="str">
            <v>Mitsubishi Chemical</v>
          </cell>
        </row>
        <row r="1822">
          <cell r="C1822" t="str">
            <v>MX944-WX-3A</v>
          </cell>
          <cell r="D1822" t="str">
            <v>MX944-WX-3</v>
          </cell>
          <cell r="E1822">
            <v>1092</v>
          </cell>
          <cell r="F1822" t="str">
            <v>mm</v>
          </cell>
          <cell r="G1822" t="str">
            <v>Mitsubishi Chemical</v>
          </cell>
        </row>
        <row r="1823">
          <cell r="C1823" t="str">
            <v>MY040-WS-1T</v>
          </cell>
          <cell r="D1823" t="str">
            <v>MY040-WS-1</v>
          </cell>
          <cell r="E1823">
            <v>1168</v>
          </cell>
          <cell r="F1823" t="str">
            <v>mm</v>
          </cell>
          <cell r="G1823" t="str">
            <v>Mitsubishi Chemical</v>
          </cell>
        </row>
        <row r="1824">
          <cell r="C1824" t="str">
            <v>MY041-WS-1T</v>
          </cell>
          <cell r="D1824" t="str">
            <v>MY041-WS-1</v>
          </cell>
          <cell r="E1824">
            <v>1168</v>
          </cell>
          <cell r="F1824" t="str">
            <v>mm</v>
          </cell>
          <cell r="G1824" t="str">
            <v>Mitsubishi Chemical</v>
          </cell>
        </row>
        <row r="1825">
          <cell r="C1825" t="str">
            <v>MY041-WX-1T</v>
          </cell>
          <cell r="D1825" t="str">
            <v>MY041-WX-1</v>
          </cell>
          <cell r="E1825">
            <v>1168</v>
          </cell>
          <cell r="F1825" t="str">
            <v>mm</v>
          </cell>
          <cell r="G1825" t="str">
            <v>Mitsubishi Chemical</v>
          </cell>
        </row>
        <row r="1826">
          <cell r="C1826" t="str">
            <v>MY042-WS-1T</v>
          </cell>
          <cell r="D1826" t="str">
            <v>MY042-WS-1</v>
          </cell>
          <cell r="E1826">
            <v>1168</v>
          </cell>
          <cell r="F1826" t="str">
            <v>mm</v>
          </cell>
          <cell r="G1826" t="str">
            <v>Mitsubishi Chemical</v>
          </cell>
        </row>
        <row r="1827">
          <cell r="C1827" t="str">
            <v>AX214-WS-1AA</v>
          </cell>
          <cell r="D1827" t="str">
            <v>AX214-WS-1</v>
          </cell>
          <cell r="E1827">
            <v>1168</v>
          </cell>
          <cell r="F1827" t="str">
            <v>mm</v>
          </cell>
          <cell r="G1827" t="str">
            <v>Aldila</v>
          </cell>
        </row>
        <row r="1828">
          <cell r="C1828" t="str">
            <v>AX211-WR-1AA</v>
          </cell>
          <cell r="D1828" t="str">
            <v>AX211-WR-1</v>
          </cell>
          <cell r="E1828">
            <v>1168</v>
          </cell>
          <cell r="F1828" t="str">
            <v>mm</v>
          </cell>
          <cell r="G1828" t="str">
            <v>Aldila</v>
          </cell>
        </row>
        <row r="1829">
          <cell r="C1829" t="str">
            <v>AX211-WS-1AA</v>
          </cell>
          <cell r="D1829" t="str">
            <v>AX211-WS-1</v>
          </cell>
          <cell r="E1829">
            <v>1168</v>
          </cell>
          <cell r="F1829" t="str">
            <v>mm</v>
          </cell>
          <cell r="G1829" t="str">
            <v>Aldila</v>
          </cell>
        </row>
        <row r="1830">
          <cell r="C1830" t="str">
            <v>AX175-WTR1AB</v>
          </cell>
          <cell r="D1830" t="str">
            <v>AX175-WTR1</v>
          </cell>
          <cell r="E1830">
            <v>1168</v>
          </cell>
          <cell r="F1830" t="str">
            <v>mm</v>
          </cell>
          <cell r="G1830" t="str">
            <v>Aldila</v>
          </cell>
        </row>
        <row r="1831">
          <cell r="C1831" t="str">
            <v>AX175-WTS1AB</v>
          </cell>
          <cell r="D1831" t="str">
            <v>AX175-WTS1</v>
          </cell>
          <cell r="E1831">
            <v>1168</v>
          </cell>
          <cell r="F1831" t="str">
            <v>mm</v>
          </cell>
          <cell r="G1831" t="str">
            <v>Aldila</v>
          </cell>
        </row>
        <row r="1832">
          <cell r="C1832" t="str">
            <v>AX178-WTX1AB</v>
          </cell>
          <cell r="D1832" t="str">
            <v>AX178-WTX1</v>
          </cell>
          <cell r="E1832">
            <v>1168</v>
          </cell>
          <cell r="F1832" t="str">
            <v>mm</v>
          </cell>
          <cell r="G1832" t="str">
            <v>Aldila</v>
          </cell>
        </row>
        <row r="1833">
          <cell r="C1833" t="str">
            <v>AX208-WA-1AA</v>
          </cell>
          <cell r="D1833" t="str">
            <v>AX208-WA-1</v>
          </cell>
          <cell r="E1833">
            <v>1168</v>
          </cell>
          <cell r="F1833" t="str">
            <v>mm</v>
          </cell>
          <cell r="G1833" t="str">
            <v>Aldila</v>
          </cell>
        </row>
        <row r="1834">
          <cell r="C1834" t="str">
            <v>AX209-WR-1AA</v>
          </cell>
          <cell r="D1834" t="str">
            <v>AX209-WR-1</v>
          </cell>
          <cell r="E1834">
            <v>1168</v>
          </cell>
          <cell r="F1834" t="str">
            <v>mm</v>
          </cell>
          <cell r="G1834" t="str">
            <v>Aldila</v>
          </cell>
        </row>
        <row r="1835">
          <cell r="C1835" t="str">
            <v>AX212-WR-1AA</v>
          </cell>
          <cell r="D1835" t="str">
            <v>AX212-WR-1</v>
          </cell>
          <cell r="E1835">
            <v>1168</v>
          </cell>
          <cell r="F1835" t="str">
            <v>mm</v>
          </cell>
          <cell r="G1835" t="str">
            <v>Aldila</v>
          </cell>
        </row>
        <row r="1836">
          <cell r="C1836" t="str">
            <v>MY062-WS-1A</v>
          </cell>
          <cell r="D1836" t="str">
            <v>MY062-WS-1</v>
          </cell>
          <cell r="E1836">
            <v>1168</v>
          </cell>
          <cell r="F1836" t="str">
            <v>mm</v>
          </cell>
          <cell r="G1836" t="str">
            <v>Mitsubishi Chemical</v>
          </cell>
        </row>
        <row r="1837">
          <cell r="C1837" t="str">
            <v>MY063-WX-1A</v>
          </cell>
          <cell r="D1837" t="str">
            <v>MY063-WX-1</v>
          </cell>
          <cell r="E1837">
            <v>1168</v>
          </cell>
          <cell r="F1837" t="str">
            <v>mm</v>
          </cell>
          <cell r="G1837" t="str">
            <v>Mitsubishi Chemical</v>
          </cell>
        </row>
        <row r="1838">
          <cell r="C1838" t="str">
            <v>MY065-WR-1A</v>
          </cell>
          <cell r="D1838" t="str">
            <v>MY065-WR-1</v>
          </cell>
          <cell r="E1838">
            <v>1168</v>
          </cell>
          <cell r="F1838" t="str">
            <v>mm</v>
          </cell>
          <cell r="G1838" t="str">
            <v>Mitsubishi Chemical</v>
          </cell>
        </row>
        <row r="1839">
          <cell r="C1839" t="str">
            <v>MY067-WX-1A</v>
          </cell>
          <cell r="D1839" t="str">
            <v>MY067-WX-1</v>
          </cell>
          <cell r="E1839">
            <v>1168</v>
          </cell>
          <cell r="F1839" t="str">
            <v>mm</v>
          </cell>
          <cell r="G1839" t="str">
            <v>Mitsubishi Chemical</v>
          </cell>
        </row>
        <row r="1840">
          <cell r="C1840" t="str">
            <v>MY069-WR-1A</v>
          </cell>
          <cell r="D1840" t="str">
            <v>MY069-WR-1</v>
          </cell>
          <cell r="E1840">
            <v>1168</v>
          </cell>
          <cell r="F1840" t="str">
            <v>mm</v>
          </cell>
          <cell r="G1840" t="str">
            <v>Mitsubishi Chemical</v>
          </cell>
        </row>
        <row r="1841">
          <cell r="C1841" t="str">
            <v>MY070-WS-1A</v>
          </cell>
          <cell r="D1841" t="str">
            <v>MY070-WS-1</v>
          </cell>
          <cell r="E1841">
            <v>1168</v>
          </cell>
          <cell r="F1841" t="str">
            <v>mm</v>
          </cell>
          <cell r="G1841" t="str">
            <v>Mitsubishi Chemical</v>
          </cell>
        </row>
        <row r="1842">
          <cell r="C1842" t="str">
            <v>MY062-WX-1A</v>
          </cell>
          <cell r="D1842" t="str">
            <v>MY062-WX-1</v>
          </cell>
          <cell r="E1842">
            <v>1168</v>
          </cell>
          <cell r="F1842" t="str">
            <v>mm</v>
          </cell>
          <cell r="G1842" t="str">
            <v>Mitsubishi Chemical</v>
          </cell>
        </row>
        <row r="1843">
          <cell r="C1843" t="str">
            <v>MY063-WS-1A</v>
          </cell>
          <cell r="D1843" t="str">
            <v>MY063-WS-1</v>
          </cell>
          <cell r="E1843">
            <v>1168</v>
          </cell>
          <cell r="F1843" t="str">
            <v>mm</v>
          </cell>
          <cell r="G1843" t="str">
            <v>Mitsubishi Chemical</v>
          </cell>
        </row>
        <row r="1844">
          <cell r="C1844" t="str">
            <v>MY064-WX-1A</v>
          </cell>
          <cell r="D1844" t="str">
            <v>MY064-WX-1</v>
          </cell>
          <cell r="E1844">
            <v>1168</v>
          </cell>
          <cell r="F1844" t="str">
            <v>mm</v>
          </cell>
          <cell r="G1844" t="str">
            <v>Mitsubishi Chemical</v>
          </cell>
        </row>
        <row r="1845">
          <cell r="C1845" t="str">
            <v>MY065-WA-1A</v>
          </cell>
          <cell r="D1845" t="str">
            <v>MY065-WA-1</v>
          </cell>
          <cell r="E1845">
            <v>1168</v>
          </cell>
          <cell r="F1845" t="str">
            <v>mm</v>
          </cell>
          <cell r="G1845" t="str">
            <v>Mitsubishi Chemical</v>
          </cell>
        </row>
        <row r="1846">
          <cell r="C1846" t="str">
            <v>MY065-WS-1A</v>
          </cell>
          <cell r="D1846" t="str">
            <v>MY065-WS-1</v>
          </cell>
          <cell r="E1846">
            <v>1168</v>
          </cell>
          <cell r="F1846" t="str">
            <v>mm</v>
          </cell>
          <cell r="G1846" t="str">
            <v>Mitsubishi Chemical</v>
          </cell>
        </row>
        <row r="1847">
          <cell r="C1847" t="str">
            <v>MY066-WR-1A</v>
          </cell>
          <cell r="D1847" t="str">
            <v>MY066-WR-1</v>
          </cell>
          <cell r="E1847">
            <v>1168</v>
          </cell>
          <cell r="F1847" t="str">
            <v>mm</v>
          </cell>
          <cell r="G1847" t="str">
            <v>Mitsubishi Chemical</v>
          </cell>
        </row>
        <row r="1848">
          <cell r="C1848" t="str">
            <v>MY066-WS-1A</v>
          </cell>
          <cell r="D1848" t="str">
            <v>MY066-WS-1</v>
          </cell>
          <cell r="E1848">
            <v>1168</v>
          </cell>
          <cell r="F1848" t="str">
            <v>mm</v>
          </cell>
          <cell r="G1848" t="str">
            <v>Mitsubishi Chemical</v>
          </cell>
        </row>
        <row r="1849">
          <cell r="C1849" t="str">
            <v>MY066-WX-1A</v>
          </cell>
          <cell r="D1849" t="str">
            <v>MY066-WX-1</v>
          </cell>
          <cell r="E1849">
            <v>1168</v>
          </cell>
          <cell r="F1849" t="str">
            <v>mm</v>
          </cell>
          <cell r="G1849" t="str">
            <v>Mitsubishi Chemical</v>
          </cell>
        </row>
        <row r="1850">
          <cell r="C1850" t="str">
            <v>MY067-WS-1A</v>
          </cell>
          <cell r="D1850" t="str">
            <v>MY067-WS-1</v>
          </cell>
          <cell r="E1850">
            <v>1168</v>
          </cell>
          <cell r="F1850" t="str">
            <v>mm</v>
          </cell>
          <cell r="G1850" t="str">
            <v>Mitsubishi Chemical</v>
          </cell>
        </row>
        <row r="1851">
          <cell r="C1851" t="str">
            <v>MY068-WW-1A</v>
          </cell>
          <cell r="D1851" t="str">
            <v>MY068-WW-1</v>
          </cell>
          <cell r="E1851">
            <v>1168</v>
          </cell>
          <cell r="F1851" t="str">
            <v>mm</v>
          </cell>
          <cell r="G1851" t="str">
            <v>Mitsubishi Chemical</v>
          </cell>
        </row>
        <row r="1852">
          <cell r="C1852" t="str">
            <v>MY069-WA-1A</v>
          </cell>
          <cell r="D1852" t="str">
            <v>MY069-WA-1</v>
          </cell>
          <cell r="E1852">
            <v>1168</v>
          </cell>
          <cell r="F1852" t="str">
            <v>mm</v>
          </cell>
          <cell r="G1852" t="str">
            <v>Mitsubishi Chemical</v>
          </cell>
        </row>
        <row r="1853">
          <cell r="C1853" t="str">
            <v>MY069-WS-1A</v>
          </cell>
          <cell r="D1853" t="str">
            <v>MY069-WS-1</v>
          </cell>
          <cell r="E1853">
            <v>1168</v>
          </cell>
          <cell r="F1853" t="str">
            <v>mm</v>
          </cell>
          <cell r="G1853" t="str">
            <v>Mitsubishi Chemical</v>
          </cell>
        </row>
        <row r="1854">
          <cell r="C1854" t="str">
            <v>MY070-WR-1A</v>
          </cell>
          <cell r="D1854" t="str">
            <v>MY070-WR-1</v>
          </cell>
          <cell r="E1854">
            <v>1168</v>
          </cell>
          <cell r="F1854" t="str">
            <v>mm</v>
          </cell>
          <cell r="G1854" t="str">
            <v>Mitsubishi Chemical</v>
          </cell>
        </row>
        <row r="1855">
          <cell r="C1855" t="str">
            <v>MX903-IX-PA</v>
          </cell>
          <cell r="D1855" t="str">
            <v>MX903-IX-P</v>
          </cell>
          <cell r="E1855">
            <v>902</v>
          </cell>
          <cell r="F1855" t="str">
            <v>mm</v>
          </cell>
          <cell r="G1855" t="str">
            <v>Mitsubishi Chemical</v>
          </cell>
        </row>
        <row r="1856">
          <cell r="C1856" t="str">
            <v>CS046-WS-1A</v>
          </cell>
          <cell r="D1856" t="str">
            <v>CS046-WS-1</v>
          </cell>
          <cell r="E1856">
            <v>1168</v>
          </cell>
          <cell r="F1856" t="str">
            <v>mm</v>
          </cell>
          <cell r="G1856" t="str">
            <v>Mitsubishi Chemical</v>
          </cell>
        </row>
        <row r="1857">
          <cell r="C1857" t="str">
            <v>AX216-WX-1AA</v>
          </cell>
          <cell r="D1857" t="str">
            <v>AX216-WX-1</v>
          </cell>
          <cell r="E1857">
            <v>1168</v>
          </cell>
          <cell r="F1857" t="str">
            <v>mm</v>
          </cell>
          <cell r="G1857" t="str">
            <v>Aldila</v>
          </cell>
        </row>
        <row r="1858">
          <cell r="C1858" t="str">
            <v>MY040-WS-1X</v>
          </cell>
          <cell r="D1858" t="str">
            <v>MY040-WS-1</v>
          </cell>
          <cell r="E1858">
            <v>1168</v>
          </cell>
          <cell r="F1858" t="str">
            <v>mm</v>
          </cell>
          <cell r="G1858" t="str">
            <v>Mitsubishi Chemical</v>
          </cell>
        </row>
        <row r="1859">
          <cell r="C1859" t="str">
            <v>MY040-WTX1X</v>
          </cell>
          <cell r="D1859" t="str">
            <v>MY040-WTX1</v>
          </cell>
          <cell r="E1859">
            <v>1168</v>
          </cell>
          <cell r="F1859" t="str">
            <v>mm</v>
          </cell>
          <cell r="G1859" t="str">
            <v>Mitsubishi Chemical</v>
          </cell>
        </row>
        <row r="1860">
          <cell r="C1860" t="str">
            <v>MY041-WS-1X</v>
          </cell>
          <cell r="D1860" t="str">
            <v>MY041-WS-1</v>
          </cell>
          <cell r="E1860">
            <v>1168</v>
          </cell>
          <cell r="F1860" t="str">
            <v>mm</v>
          </cell>
          <cell r="G1860" t="str">
            <v>Mitsubishi Chemical</v>
          </cell>
        </row>
        <row r="1861">
          <cell r="C1861" t="str">
            <v>MY041-WTX1X</v>
          </cell>
          <cell r="D1861" t="str">
            <v>MY041-WTX1</v>
          </cell>
          <cell r="E1861">
            <v>1168</v>
          </cell>
          <cell r="F1861" t="str">
            <v>mm</v>
          </cell>
          <cell r="G1861" t="str">
            <v>Mitsubishi Chemical</v>
          </cell>
        </row>
        <row r="1862">
          <cell r="C1862" t="str">
            <v>MY041-WX-1X</v>
          </cell>
          <cell r="D1862" t="str">
            <v>MY041-WX-1</v>
          </cell>
          <cell r="E1862">
            <v>1168</v>
          </cell>
          <cell r="F1862" t="str">
            <v>mm</v>
          </cell>
          <cell r="G1862" t="str">
            <v>Mitsubishi Chemical</v>
          </cell>
        </row>
        <row r="1863">
          <cell r="C1863" t="str">
            <v>MY042-WS-1X</v>
          </cell>
          <cell r="D1863" t="str">
            <v>MY042-WS-1</v>
          </cell>
          <cell r="E1863">
            <v>1168</v>
          </cell>
          <cell r="F1863" t="str">
            <v>mm</v>
          </cell>
          <cell r="G1863" t="str">
            <v>Mitsubishi Chemical</v>
          </cell>
        </row>
        <row r="1864">
          <cell r="C1864" t="str">
            <v>MY042-WTX1X</v>
          </cell>
          <cell r="D1864" t="str">
            <v>MY042-WTX1</v>
          </cell>
          <cell r="E1864">
            <v>1168</v>
          </cell>
          <cell r="F1864" t="str">
            <v>mm</v>
          </cell>
          <cell r="G1864" t="str">
            <v>Mitsubishi Chemical</v>
          </cell>
        </row>
        <row r="1865">
          <cell r="C1865" t="str">
            <v>MY042-WX-1X</v>
          </cell>
          <cell r="D1865" t="str">
            <v>MY042-WX-1</v>
          </cell>
          <cell r="E1865">
            <v>1168</v>
          </cell>
          <cell r="F1865" t="str">
            <v>mm</v>
          </cell>
          <cell r="G1865" t="str">
            <v>Mitsubishi Chemical</v>
          </cell>
        </row>
        <row r="1866">
          <cell r="C1866" t="str">
            <v>MY040-WX-1X</v>
          </cell>
          <cell r="D1866" t="str">
            <v>MY040-WX-1</v>
          </cell>
          <cell r="E1866">
            <v>1168</v>
          </cell>
          <cell r="F1866" t="str">
            <v>mm</v>
          </cell>
          <cell r="G1866" t="str">
            <v>Mitsubishi Chemical</v>
          </cell>
        </row>
        <row r="1867">
          <cell r="C1867" t="str">
            <v>MY041-WR-1X</v>
          </cell>
          <cell r="D1867" t="str">
            <v>MY041-WR-1</v>
          </cell>
          <cell r="E1867">
            <v>1168</v>
          </cell>
          <cell r="F1867" t="str">
            <v>mm</v>
          </cell>
          <cell r="G1867" t="str">
            <v>Mitsubishi Chemical</v>
          </cell>
        </row>
        <row r="1868">
          <cell r="C1868" t="str">
            <v>MY043-WTX1X</v>
          </cell>
          <cell r="D1868" t="str">
            <v>MY043-WTX1</v>
          </cell>
          <cell r="E1868">
            <v>1168</v>
          </cell>
          <cell r="F1868" t="str">
            <v>mm</v>
          </cell>
          <cell r="G1868" t="str">
            <v>Mitsubishi Chemical</v>
          </cell>
        </row>
        <row r="1869">
          <cell r="C1869" t="str">
            <v>MY043-WX-1X</v>
          </cell>
          <cell r="D1869" t="str">
            <v>MY043-WX-1</v>
          </cell>
          <cell r="E1869">
            <v>1168</v>
          </cell>
          <cell r="F1869" t="str">
            <v>mm</v>
          </cell>
          <cell r="G1869" t="str">
            <v>Mitsubishi Chemical</v>
          </cell>
        </row>
        <row r="1870">
          <cell r="C1870" t="str">
            <v>MY044-WX-1X</v>
          </cell>
          <cell r="D1870" t="str">
            <v>MY044-WX-1</v>
          </cell>
          <cell r="E1870">
            <v>1168</v>
          </cell>
          <cell r="F1870" t="str">
            <v>mm</v>
          </cell>
          <cell r="G1870" t="str">
            <v>Mitsubishi Chemical</v>
          </cell>
        </row>
        <row r="1871">
          <cell r="C1871" t="str">
            <v>SF287-IL-7B</v>
          </cell>
          <cell r="D1871" t="str">
            <v>SF287-IL-7</v>
          </cell>
          <cell r="E1871">
            <v>940</v>
          </cell>
          <cell r="F1871" t="str">
            <v>mm</v>
          </cell>
          <cell r="G1871" t="str">
            <v>Mitsubishi Chemical</v>
          </cell>
        </row>
        <row r="1872">
          <cell r="C1872" t="str">
            <v>SF287-IL-6B</v>
          </cell>
          <cell r="D1872" t="str">
            <v>SF287-IL-6</v>
          </cell>
          <cell r="E1872">
            <v>953</v>
          </cell>
          <cell r="F1872" t="str">
            <v>mm</v>
          </cell>
          <cell r="G1872" t="str">
            <v>Mitsubishi Chemical</v>
          </cell>
        </row>
        <row r="1873">
          <cell r="C1873" t="str">
            <v>SF287-IL-8B</v>
          </cell>
          <cell r="D1873" t="str">
            <v>SF287-IL-8</v>
          </cell>
          <cell r="E1873">
            <v>927</v>
          </cell>
          <cell r="F1873" t="str">
            <v>mm</v>
          </cell>
          <cell r="G1873" t="str">
            <v>Mitsubishi Chemical</v>
          </cell>
        </row>
        <row r="1874">
          <cell r="C1874" t="str">
            <v>SF287-IL-9B</v>
          </cell>
          <cell r="D1874" t="str">
            <v>SF287-IL-9</v>
          </cell>
          <cell r="E1874">
            <v>914</v>
          </cell>
          <cell r="F1874" t="str">
            <v>mm</v>
          </cell>
          <cell r="G1874" t="str">
            <v>Mitsubishi Chemical</v>
          </cell>
        </row>
        <row r="1875">
          <cell r="C1875" t="str">
            <v>SF287-IL-PB</v>
          </cell>
          <cell r="D1875" t="str">
            <v>SF287-IL-P</v>
          </cell>
          <cell r="E1875">
            <v>889</v>
          </cell>
          <cell r="F1875" t="str">
            <v>mm</v>
          </cell>
          <cell r="G1875" t="str">
            <v>Mitsubishi Chemical</v>
          </cell>
        </row>
        <row r="1876">
          <cell r="C1876" t="str">
            <v>MY040-WR-1X</v>
          </cell>
          <cell r="D1876" t="str">
            <v>MY040-WR-1</v>
          </cell>
          <cell r="E1876">
            <v>1168</v>
          </cell>
          <cell r="F1876" t="str">
            <v>mm</v>
          </cell>
          <cell r="G1876" t="str">
            <v>Mitsubishi Chemical</v>
          </cell>
        </row>
        <row r="1877">
          <cell r="C1877" t="str">
            <v>MY043-WS-1X</v>
          </cell>
          <cell r="D1877" t="str">
            <v>MY043-WS-1</v>
          </cell>
          <cell r="E1877">
            <v>1168</v>
          </cell>
          <cell r="F1877" t="str">
            <v>mm</v>
          </cell>
          <cell r="G1877" t="str">
            <v>Mitsubishi Chemical</v>
          </cell>
        </row>
        <row r="1878">
          <cell r="C1878" t="str">
            <v>MY040-WR-1T</v>
          </cell>
          <cell r="D1878" t="str">
            <v>MY040-WR-1</v>
          </cell>
          <cell r="E1878">
            <v>1168</v>
          </cell>
          <cell r="F1878" t="str">
            <v>mm</v>
          </cell>
          <cell r="G1878" t="str">
            <v>Mitsubishi Chemical</v>
          </cell>
        </row>
        <row r="1879">
          <cell r="C1879" t="str">
            <v>SF358-WS-1A</v>
          </cell>
          <cell r="D1879" t="str">
            <v>SF358-WS-1</v>
          </cell>
          <cell r="E1879">
            <v>1143</v>
          </cell>
          <cell r="F1879" t="str">
            <v>mm</v>
          </cell>
          <cell r="G1879" t="str">
            <v>Mitsubishi Chemical</v>
          </cell>
        </row>
        <row r="1880">
          <cell r="C1880" t="str">
            <v>SF358-WSR1A</v>
          </cell>
          <cell r="D1880" t="str">
            <v>SF358-WSR1</v>
          </cell>
          <cell r="E1880">
            <v>1143</v>
          </cell>
          <cell r="F1880" t="str">
            <v>mm</v>
          </cell>
          <cell r="G1880" t="str">
            <v>Mitsubishi Chemical</v>
          </cell>
        </row>
        <row r="1881">
          <cell r="C1881" t="str">
            <v>MX905-IX-6A</v>
          </cell>
          <cell r="D1881" t="str">
            <v>MX905-IX-6</v>
          </cell>
          <cell r="E1881">
            <v>953</v>
          </cell>
          <cell r="F1881" t="str">
            <v>mm</v>
          </cell>
          <cell r="G1881" t="str">
            <v>Mitsubishi Chemical</v>
          </cell>
        </row>
        <row r="1882">
          <cell r="C1882" t="str">
            <v>TM001-IA-1A</v>
          </cell>
          <cell r="D1882" t="str">
            <v>TM001-IA-1</v>
          </cell>
          <cell r="E1882">
            <v>1067</v>
          </cell>
          <cell r="F1882" t="str">
            <v>mm</v>
          </cell>
          <cell r="G1882" t="str">
            <v>Mitsubishi Chemical</v>
          </cell>
        </row>
        <row r="1883">
          <cell r="C1883" t="str">
            <v>TM002-IR-1A</v>
          </cell>
          <cell r="D1883" t="str">
            <v>TM002-IR-1</v>
          </cell>
          <cell r="E1883">
            <v>1067</v>
          </cell>
          <cell r="F1883" t="str">
            <v>mm</v>
          </cell>
          <cell r="G1883" t="str">
            <v>Mitsubishi Chemical</v>
          </cell>
        </row>
        <row r="1884">
          <cell r="C1884" t="str">
            <v>TM003-IS-1A</v>
          </cell>
          <cell r="D1884" t="str">
            <v>TM003-IS-1</v>
          </cell>
          <cell r="E1884">
            <v>1067</v>
          </cell>
          <cell r="F1884" t="str">
            <v>mm</v>
          </cell>
          <cell r="G1884" t="str">
            <v>Mitsubishi Chemical</v>
          </cell>
        </row>
        <row r="1885">
          <cell r="C1885" t="str">
            <v>TM004-IX-1A</v>
          </cell>
          <cell r="D1885" t="str">
            <v>TM004-IX-1</v>
          </cell>
          <cell r="E1885">
            <v>1067</v>
          </cell>
          <cell r="F1885" t="str">
            <v>mm</v>
          </cell>
          <cell r="G1885" t="str">
            <v>Mitsubishi Chemical</v>
          </cell>
        </row>
        <row r="1886">
          <cell r="C1886" t="str">
            <v>MX721-ITX3A</v>
          </cell>
          <cell r="D1886" t="str">
            <v>MX721-ITX3</v>
          </cell>
          <cell r="E1886">
            <v>991</v>
          </cell>
          <cell r="F1886" t="str">
            <v>mm</v>
          </cell>
          <cell r="G1886" t="str">
            <v>Mitsubishi Chemical</v>
          </cell>
        </row>
        <row r="1887">
          <cell r="C1887" t="str">
            <v>MX726-IR-3A</v>
          </cell>
          <cell r="D1887" t="str">
            <v>MX726-IR-3</v>
          </cell>
          <cell r="E1887">
            <v>991</v>
          </cell>
          <cell r="F1887" t="str">
            <v>mm</v>
          </cell>
          <cell r="G1887" t="str">
            <v>Mitsubishi Chemical</v>
          </cell>
        </row>
        <row r="1888">
          <cell r="C1888" t="str">
            <v>MX944-IX-3A</v>
          </cell>
          <cell r="D1888" t="str">
            <v>MX944-IX-3</v>
          </cell>
          <cell r="E1888">
            <v>1005</v>
          </cell>
          <cell r="F1888" t="str">
            <v>mm</v>
          </cell>
          <cell r="G1888" t="str">
            <v>Mitsubishi Chemical</v>
          </cell>
        </row>
        <row r="1889">
          <cell r="C1889" t="str">
            <v>MX944-IX-4A</v>
          </cell>
          <cell r="D1889" t="str">
            <v>MX944-IX-4</v>
          </cell>
          <cell r="E1889">
            <v>994</v>
          </cell>
          <cell r="F1889" t="str">
            <v>mm</v>
          </cell>
          <cell r="G1889" t="str">
            <v>Mitsubishi Chemical</v>
          </cell>
        </row>
        <row r="1890">
          <cell r="C1890" t="str">
            <v>MX944-IX-5A</v>
          </cell>
          <cell r="D1890" t="str">
            <v>MX944-IX-5</v>
          </cell>
          <cell r="E1890">
            <v>979</v>
          </cell>
          <cell r="F1890" t="str">
            <v>mm</v>
          </cell>
          <cell r="G1890" t="str">
            <v>Mitsubishi Chemical</v>
          </cell>
        </row>
        <row r="1891">
          <cell r="C1891" t="str">
            <v>MX944-IX-6A</v>
          </cell>
          <cell r="D1891" t="str">
            <v>MX944-IX-6</v>
          </cell>
          <cell r="E1891">
            <v>966</v>
          </cell>
          <cell r="F1891" t="str">
            <v>mm</v>
          </cell>
          <cell r="G1891" t="str">
            <v>Mitsubishi Chemical</v>
          </cell>
        </row>
        <row r="1892">
          <cell r="C1892" t="str">
            <v>MX944-IX-7A</v>
          </cell>
          <cell r="D1892" t="str">
            <v>MX944-IX-7</v>
          </cell>
          <cell r="E1892">
            <v>953</v>
          </cell>
          <cell r="F1892" t="str">
            <v>mm</v>
          </cell>
          <cell r="G1892" t="str">
            <v>Mitsubishi Chemical</v>
          </cell>
        </row>
        <row r="1893">
          <cell r="C1893" t="str">
            <v>MX944-IX-8A</v>
          </cell>
          <cell r="D1893" t="str">
            <v>MX944-IX-8</v>
          </cell>
          <cell r="E1893">
            <v>940</v>
          </cell>
          <cell r="F1893" t="str">
            <v>mm</v>
          </cell>
          <cell r="G1893" t="str">
            <v>Mitsubishi Chemical</v>
          </cell>
        </row>
        <row r="1894">
          <cell r="C1894" t="str">
            <v>MX944-IX-9A</v>
          </cell>
          <cell r="D1894" t="str">
            <v>MX944-IX-9</v>
          </cell>
          <cell r="E1894">
            <v>927</v>
          </cell>
          <cell r="F1894" t="str">
            <v>mm</v>
          </cell>
          <cell r="G1894" t="str">
            <v>Mitsubishi Chemical</v>
          </cell>
        </row>
        <row r="1895">
          <cell r="C1895" t="str">
            <v>MX944-UX-1A</v>
          </cell>
          <cell r="D1895" t="str">
            <v>MX944-UX-1</v>
          </cell>
          <cell r="E1895">
            <v>1067</v>
          </cell>
          <cell r="F1895" t="str">
            <v>mm</v>
          </cell>
          <cell r="G1895" t="str">
            <v>Mitsubishi Chemical</v>
          </cell>
        </row>
        <row r="1896">
          <cell r="C1896" t="str">
            <v>MX945-IX-3A</v>
          </cell>
          <cell r="D1896" t="str">
            <v>MX945-IX-3</v>
          </cell>
          <cell r="E1896">
            <v>1005</v>
          </cell>
          <cell r="F1896" t="str">
            <v>mm</v>
          </cell>
          <cell r="G1896" t="str">
            <v>Mitsubishi Chemical</v>
          </cell>
        </row>
        <row r="1897">
          <cell r="C1897" t="str">
            <v>MX945-IX-4A</v>
          </cell>
          <cell r="D1897" t="str">
            <v>MX945-IX-4</v>
          </cell>
          <cell r="E1897">
            <v>994</v>
          </cell>
          <cell r="F1897" t="str">
            <v>mm</v>
          </cell>
          <cell r="G1897" t="str">
            <v>Mitsubishi Chemical</v>
          </cell>
        </row>
        <row r="1898">
          <cell r="C1898" t="str">
            <v>MX945-IX-5A</v>
          </cell>
          <cell r="D1898" t="str">
            <v>MX945-IX-5</v>
          </cell>
          <cell r="E1898">
            <v>979</v>
          </cell>
          <cell r="F1898" t="str">
            <v>mm</v>
          </cell>
          <cell r="G1898" t="str">
            <v>Mitsubishi Chemical</v>
          </cell>
        </row>
        <row r="1899">
          <cell r="C1899" t="str">
            <v>MX945-IX-6A</v>
          </cell>
          <cell r="D1899" t="str">
            <v>MX945-IX-6</v>
          </cell>
          <cell r="E1899">
            <v>966</v>
          </cell>
          <cell r="F1899" t="str">
            <v>mm</v>
          </cell>
          <cell r="G1899" t="str">
            <v>Mitsubishi Chemical</v>
          </cell>
        </row>
        <row r="1900">
          <cell r="C1900" t="str">
            <v>MX945-IX-7A</v>
          </cell>
          <cell r="D1900" t="str">
            <v>MX945-IX-7</v>
          </cell>
          <cell r="E1900">
            <v>953</v>
          </cell>
          <cell r="F1900" t="str">
            <v>mm</v>
          </cell>
          <cell r="G1900" t="str">
            <v>Mitsubishi Chemical</v>
          </cell>
        </row>
        <row r="1901">
          <cell r="C1901" t="str">
            <v>MX945-IX-8A</v>
          </cell>
          <cell r="D1901" t="str">
            <v>MX945-IX-8</v>
          </cell>
          <cell r="E1901">
            <v>940</v>
          </cell>
          <cell r="F1901" t="str">
            <v>mm</v>
          </cell>
          <cell r="G1901" t="str">
            <v>Mitsubishi Chemical</v>
          </cell>
        </row>
        <row r="1902">
          <cell r="C1902" t="str">
            <v>MX945-IX-9A</v>
          </cell>
          <cell r="D1902" t="str">
            <v>MX945-IX-9</v>
          </cell>
          <cell r="E1902">
            <v>927</v>
          </cell>
          <cell r="F1902" t="str">
            <v>mm</v>
          </cell>
          <cell r="G1902" t="str">
            <v>Mitsubishi Chemical</v>
          </cell>
        </row>
        <row r="1903">
          <cell r="C1903" t="str">
            <v>AU245-IR-2A</v>
          </cell>
          <cell r="D1903" t="str">
            <v>AU245-IR-2</v>
          </cell>
          <cell r="E1903">
            <v>1067</v>
          </cell>
          <cell r="F1903" t="str">
            <v>mm</v>
          </cell>
          <cell r="G1903" t="str">
            <v>Mitsubishi Chemical</v>
          </cell>
        </row>
        <row r="1904">
          <cell r="C1904" t="str">
            <v>AU245-IS-2A</v>
          </cell>
          <cell r="D1904" t="str">
            <v>AU245-IS-2</v>
          </cell>
          <cell r="E1904">
            <v>1067</v>
          </cell>
          <cell r="F1904" t="str">
            <v>mm</v>
          </cell>
          <cell r="G1904" t="str">
            <v>Mitsubishi Chemical</v>
          </cell>
        </row>
        <row r="1905">
          <cell r="C1905" t="str">
            <v>AU246-IR-2A</v>
          </cell>
          <cell r="D1905" t="str">
            <v>AU246-IR-2</v>
          </cell>
          <cell r="E1905">
            <v>1067</v>
          </cell>
          <cell r="F1905" t="str">
            <v>mm</v>
          </cell>
          <cell r="G1905" t="str">
            <v>Mitsubishi Chemical</v>
          </cell>
        </row>
        <row r="1906">
          <cell r="C1906" t="str">
            <v>AU246-IS-2A</v>
          </cell>
          <cell r="D1906" t="str">
            <v>AU246-IS-2</v>
          </cell>
          <cell r="E1906">
            <v>1067</v>
          </cell>
          <cell r="F1906" t="str">
            <v>mm</v>
          </cell>
          <cell r="G1906" t="str">
            <v>Mitsubishi Chemical</v>
          </cell>
        </row>
        <row r="1907">
          <cell r="C1907" t="str">
            <v>AU248-IA-2A</v>
          </cell>
          <cell r="D1907" t="str">
            <v>AU248-IA-2</v>
          </cell>
          <cell r="E1907">
            <v>1067</v>
          </cell>
          <cell r="F1907" t="str">
            <v>mm</v>
          </cell>
          <cell r="G1907" t="str">
            <v>Mitsubishi Chemical</v>
          </cell>
        </row>
        <row r="1908">
          <cell r="C1908" t="str">
            <v>AU248-IW-2A</v>
          </cell>
          <cell r="D1908" t="str">
            <v>AU248-IW-2</v>
          </cell>
          <cell r="E1908">
            <v>1067</v>
          </cell>
          <cell r="F1908" t="str">
            <v>mm</v>
          </cell>
          <cell r="G1908" t="str">
            <v>Mitsubishi Chemical</v>
          </cell>
        </row>
        <row r="1909">
          <cell r="C1909" t="str">
            <v>AU249-IR-2A</v>
          </cell>
          <cell r="D1909" t="str">
            <v>AU249-IR-2</v>
          </cell>
          <cell r="E1909">
            <v>1067</v>
          </cell>
          <cell r="F1909" t="str">
            <v>mm</v>
          </cell>
          <cell r="G1909" t="str">
            <v>Mitsubishi Chemical</v>
          </cell>
        </row>
        <row r="1910">
          <cell r="C1910" t="str">
            <v>AU249-IS-2A</v>
          </cell>
          <cell r="D1910" t="str">
            <v>AU249-IS-2</v>
          </cell>
          <cell r="E1910">
            <v>1067</v>
          </cell>
          <cell r="F1910" t="str">
            <v>mm</v>
          </cell>
          <cell r="G1910" t="str">
            <v>Mitsubishi Chemical</v>
          </cell>
        </row>
        <row r="1911">
          <cell r="C1911" t="str">
            <v>AU250-IR-2A</v>
          </cell>
          <cell r="D1911" t="str">
            <v>AU250-IR-2</v>
          </cell>
          <cell r="E1911">
            <v>1067</v>
          </cell>
          <cell r="F1911" t="str">
            <v>mm</v>
          </cell>
          <cell r="G1911" t="str">
            <v>Mitsubishi Chemical</v>
          </cell>
        </row>
        <row r="1912">
          <cell r="C1912" t="str">
            <v>AU250-IS-2A</v>
          </cell>
          <cell r="D1912" t="str">
            <v>AU250-IS-2</v>
          </cell>
          <cell r="E1912">
            <v>1067</v>
          </cell>
          <cell r="F1912" t="str">
            <v>mm</v>
          </cell>
          <cell r="G1912" t="str">
            <v>Mitsubishi Chemical</v>
          </cell>
        </row>
        <row r="1913">
          <cell r="C1913" t="str">
            <v>AU247-IS-2A</v>
          </cell>
          <cell r="D1913" t="str">
            <v>AU247-IS-2</v>
          </cell>
          <cell r="E1913">
            <v>1067</v>
          </cell>
          <cell r="F1913" t="str">
            <v>mm</v>
          </cell>
          <cell r="G1913" t="str">
            <v>Mitsubishi Chemical</v>
          </cell>
        </row>
        <row r="1914">
          <cell r="C1914" t="str">
            <v>AU247-IX-2A</v>
          </cell>
          <cell r="D1914" t="str">
            <v>AU247-IX-2</v>
          </cell>
          <cell r="E1914">
            <v>1067</v>
          </cell>
          <cell r="F1914" t="str">
            <v>mm</v>
          </cell>
          <cell r="G1914" t="str">
            <v>Mitsubishi Chemical</v>
          </cell>
        </row>
        <row r="1915">
          <cell r="C1915" t="str">
            <v>MX905-IX-7A</v>
          </cell>
          <cell r="D1915" t="str">
            <v>MX905-IX-7</v>
          </cell>
          <cell r="E1915">
            <v>940</v>
          </cell>
          <cell r="F1915" t="str">
            <v>mm</v>
          </cell>
          <cell r="G1915" t="str">
            <v>Mitsubishi Chemical</v>
          </cell>
        </row>
        <row r="1916">
          <cell r="C1916" t="str">
            <v>MX904-IX-4A</v>
          </cell>
          <cell r="D1916" t="str">
            <v>MX904-IX-4</v>
          </cell>
          <cell r="E1916">
            <v>978</v>
          </cell>
          <cell r="F1916" t="str">
            <v>mm</v>
          </cell>
          <cell r="G1916" t="str">
            <v>Mitsubishi Chemical</v>
          </cell>
        </row>
        <row r="1917">
          <cell r="C1917" t="str">
            <v>CW107-IS-3A</v>
          </cell>
          <cell r="D1917" t="str">
            <v>CW107-IS-3</v>
          </cell>
          <cell r="E1917">
            <v>991</v>
          </cell>
          <cell r="F1917" t="str">
            <v>mm</v>
          </cell>
          <cell r="G1917" t="str">
            <v>Mitsubishi Chemical</v>
          </cell>
        </row>
        <row r="1918">
          <cell r="C1918" t="str">
            <v>YR174-ILA6A</v>
          </cell>
          <cell r="D1918" t="str">
            <v>YR174-ILA6</v>
          </cell>
          <cell r="E1918">
            <v>975</v>
          </cell>
          <cell r="F1918" t="str">
            <v>mm</v>
          </cell>
          <cell r="G1918" t="str">
            <v>Mitsubishi Chemical</v>
          </cell>
        </row>
        <row r="1919">
          <cell r="C1919" t="str">
            <v>SP417-WR-1A</v>
          </cell>
          <cell r="D1919" t="str">
            <v>SP417-WR-1</v>
          </cell>
          <cell r="E1919">
            <v>1170</v>
          </cell>
          <cell r="F1919" t="str">
            <v>mm</v>
          </cell>
          <cell r="G1919" t="str">
            <v>Mitsubishi Chemical</v>
          </cell>
        </row>
        <row r="1920">
          <cell r="C1920" t="str">
            <v>MZ050-IR-7AY</v>
          </cell>
          <cell r="D1920" t="str">
            <v>MZ050-IR-7</v>
          </cell>
          <cell r="E1920">
            <v>940</v>
          </cell>
          <cell r="F1920" t="str">
            <v>mm</v>
          </cell>
          <cell r="G1920" t="str">
            <v>Mitsubishi Chemical</v>
          </cell>
        </row>
        <row r="1921">
          <cell r="C1921" t="str">
            <v>MX904-IX-5A</v>
          </cell>
          <cell r="D1921" t="str">
            <v>MX904-IX-5</v>
          </cell>
          <cell r="E1921">
            <v>965</v>
          </cell>
          <cell r="F1921" t="str">
            <v>mm</v>
          </cell>
          <cell r="G1921" t="str">
            <v>Mitsubishi Chemical</v>
          </cell>
        </row>
        <row r="1922">
          <cell r="C1922" t="str">
            <v>MX905-IX-5A</v>
          </cell>
          <cell r="D1922" t="str">
            <v>MX905-IX-5</v>
          </cell>
          <cell r="E1922">
            <v>965</v>
          </cell>
          <cell r="F1922" t="str">
            <v>mm</v>
          </cell>
          <cell r="G1922" t="str">
            <v>Mitsubishi Chemical</v>
          </cell>
        </row>
        <row r="1923">
          <cell r="C1923" t="str">
            <v>MX904-IX-8A</v>
          </cell>
          <cell r="D1923" t="str">
            <v>MX904-IX-8</v>
          </cell>
          <cell r="E1923">
            <v>927</v>
          </cell>
          <cell r="F1923" t="str">
            <v>mm</v>
          </cell>
          <cell r="G1923" t="str">
            <v>Mitsubishi Chemical</v>
          </cell>
        </row>
        <row r="1924">
          <cell r="C1924" t="str">
            <v>MX904-IX-9A</v>
          </cell>
          <cell r="D1924" t="str">
            <v>MX904-IX-9</v>
          </cell>
          <cell r="E1924">
            <v>914</v>
          </cell>
          <cell r="F1924" t="str">
            <v>mm</v>
          </cell>
          <cell r="G1924" t="str">
            <v>Mitsubishi Chemical</v>
          </cell>
        </row>
        <row r="1925">
          <cell r="C1925" t="str">
            <v>MX904-IX-6A</v>
          </cell>
          <cell r="D1925" t="str">
            <v>MX904-IX-6</v>
          </cell>
          <cell r="E1925">
            <v>953</v>
          </cell>
          <cell r="F1925" t="str">
            <v>mm</v>
          </cell>
          <cell r="G1925" t="str">
            <v>Mitsubishi Chemical</v>
          </cell>
        </row>
        <row r="1926">
          <cell r="C1926" t="str">
            <v>MX905-IX-9A</v>
          </cell>
          <cell r="D1926" t="str">
            <v>MX905-IX-9</v>
          </cell>
          <cell r="E1926">
            <v>914</v>
          </cell>
          <cell r="F1926" t="str">
            <v>mm</v>
          </cell>
          <cell r="G1926" t="str">
            <v>Mitsubishi Chemical</v>
          </cell>
        </row>
        <row r="1927">
          <cell r="C1927" t="str">
            <v>MX905-IX-3A</v>
          </cell>
          <cell r="D1927" t="str">
            <v>MX905-IX-3</v>
          </cell>
          <cell r="E1927">
            <v>991</v>
          </cell>
          <cell r="F1927" t="str">
            <v>mm</v>
          </cell>
          <cell r="G1927" t="str">
            <v>Mitsubishi Chemical</v>
          </cell>
        </row>
        <row r="1928">
          <cell r="C1928" t="str">
            <v>AU243-IS-2A</v>
          </cell>
          <cell r="D1928" t="str">
            <v>AU243-IS-2</v>
          </cell>
          <cell r="E1928">
            <v>1067</v>
          </cell>
          <cell r="F1928" t="str">
            <v>mm</v>
          </cell>
          <cell r="G1928" t="str">
            <v>Mitsubishi Chemical</v>
          </cell>
        </row>
        <row r="1929">
          <cell r="C1929" t="str">
            <v>AU244-IS-2A</v>
          </cell>
          <cell r="D1929" t="str">
            <v>AU244-IS-2</v>
          </cell>
          <cell r="E1929">
            <v>1067</v>
          </cell>
          <cell r="F1929" t="str">
            <v>mm</v>
          </cell>
          <cell r="G1929" t="str">
            <v>Mitsubishi Chemical</v>
          </cell>
        </row>
        <row r="1930">
          <cell r="C1930" t="str">
            <v>AU243-IX-2A</v>
          </cell>
          <cell r="D1930" t="str">
            <v>AU243-IX-2</v>
          </cell>
          <cell r="E1930">
            <v>1067</v>
          </cell>
          <cell r="F1930" t="str">
            <v>mm</v>
          </cell>
          <cell r="G1930" t="str">
            <v>Mitsubishi Chemical</v>
          </cell>
        </row>
        <row r="1931">
          <cell r="C1931" t="str">
            <v>AU244-IX-2A</v>
          </cell>
          <cell r="D1931" t="str">
            <v>AU244-IX-2</v>
          </cell>
          <cell r="E1931">
            <v>1067</v>
          </cell>
          <cell r="F1931" t="str">
            <v>mm</v>
          </cell>
          <cell r="G1931" t="str">
            <v>Mitsubishi Chemical</v>
          </cell>
        </row>
        <row r="1932">
          <cell r="C1932" t="str">
            <v>CW189-WS-1A</v>
          </cell>
          <cell r="D1932" t="str">
            <v>CW189-WS-1</v>
          </cell>
          <cell r="E1932">
            <v>1168</v>
          </cell>
          <cell r="F1932" t="str">
            <v>mm</v>
          </cell>
          <cell r="G1932" t="str">
            <v>Mitsubishi Chemical</v>
          </cell>
        </row>
        <row r="1933">
          <cell r="C1933" t="str">
            <v>CW189-WR-1A</v>
          </cell>
          <cell r="D1933" t="str">
            <v>CW189-WR-1</v>
          </cell>
          <cell r="E1933">
            <v>1168</v>
          </cell>
          <cell r="F1933" t="str">
            <v>mm</v>
          </cell>
          <cell r="G1933" t="str">
            <v>Mitsubishi Chemical</v>
          </cell>
        </row>
        <row r="1934">
          <cell r="C1934" t="str">
            <v>CW189-WX-1A</v>
          </cell>
          <cell r="D1934" t="str">
            <v>CW189-WX-1</v>
          </cell>
          <cell r="E1934">
            <v>1168</v>
          </cell>
          <cell r="F1934" t="str">
            <v>mm</v>
          </cell>
          <cell r="G1934" t="str">
            <v>Mitsubishi Chemical</v>
          </cell>
        </row>
        <row r="1935">
          <cell r="C1935" t="str">
            <v>SF287-IL-AB</v>
          </cell>
          <cell r="D1935" t="str">
            <v>SF287-IL-A</v>
          </cell>
          <cell r="E1935">
            <v>889</v>
          </cell>
          <cell r="F1935" t="str">
            <v>mm</v>
          </cell>
          <cell r="G1935" t="str">
            <v>Mitsubishi Chemical</v>
          </cell>
        </row>
        <row r="1936">
          <cell r="C1936" t="str">
            <v>SF287-IL-5B</v>
          </cell>
          <cell r="D1936" t="str">
            <v>SF287-IL-5</v>
          </cell>
          <cell r="E1936">
            <v>965</v>
          </cell>
          <cell r="F1936" t="str">
            <v>mm</v>
          </cell>
          <cell r="G1936" t="str">
            <v>Mitsubishi Chemical</v>
          </cell>
        </row>
        <row r="1937">
          <cell r="C1937" t="str">
            <v>CW185-WS-1A</v>
          </cell>
          <cell r="D1937" t="str">
            <v>CW185-WS-1</v>
          </cell>
          <cell r="E1937">
            <v>1168</v>
          </cell>
          <cell r="F1937" t="str">
            <v>mm</v>
          </cell>
          <cell r="G1937" t="str">
            <v>Mitsubishi Chemical</v>
          </cell>
        </row>
        <row r="1938">
          <cell r="C1938" t="str">
            <v>CW185-WX-1A</v>
          </cell>
          <cell r="D1938" t="str">
            <v>CW185-WX-1</v>
          </cell>
          <cell r="E1938">
            <v>1168</v>
          </cell>
          <cell r="F1938" t="str">
            <v>mm</v>
          </cell>
          <cell r="G1938" t="str">
            <v>Mitsubishi Chemical</v>
          </cell>
        </row>
        <row r="1939">
          <cell r="C1939" t="str">
            <v>CW186-WS-1A</v>
          </cell>
          <cell r="D1939" t="str">
            <v>CW186-WS-1</v>
          </cell>
          <cell r="E1939">
            <v>1168</v>
          </cell>
          <cell r="F1939" t="str">
            <v>mm</v>
          </cell>
          <cell r="G1939" t="str">
            <v>Mitsubishi Chemical</v>
          </cell>
        </row>
        <row r="1940">
          <cell r="C1940" t="str">
            <v>CW186-WX-1A</v>
          </cell>
          <cell r="D1940" t="str">
            <v>CW186-WX-1</v>
          </cell>
          <cell r="E1940">
            <v>1168</v>
          </cell>
          <cell r="F1940" t="str">
            <v>mm</v>
          </cell>
          <cell r="G1940" t="str">
            <v>Mitsubishi Chemical</v>
          </cell>
        </row>
        <row r="1941">
          <cell r="C1941" t="str">
            <v>CW187-WX-1A</v>
          </cell>
          <cell r="D1941" t="str">
            <v>CW187-WX-1</v>
          </cell>
          <cell r="E1941">
            <v>1168</v>
          </cell>
          <cell r="F1941" t="str">
            <v>mm</v>
          </cell>
          <cell r="G1941" t="str">
            <v>Mitsubishi Chemical</v>
          </cell>
        </row>
        <row r="1942">
          <cell r="C1942" t="str">
            <v>CW188-WA-1A</v>
          </cell>
          <cell r="D1942" t="str">
            <v>CW188-WA-1</v>
          </cell>
          <cell r="E1942">
            <v>1168</v>
          </cell>
          <cell r="F1942" t="str">
            <v>mm</v>
          </cell>
          <cell r="G1942" t="str">
            <v>Mitsubishi Chemical</v>
          </cell>
        </row>
        <row r="1943">
          <cell r="C1943" t="str">
            <v>CW188-WR-1A</v>
          </cell>
          <cell r="D1943" t="str">
            <v>CW188-WR-1</v>
          </cell>
          <cell r="E1943">
            <v>1168</v>
          </cell>
          <cell r="F1943" t="str">
            <v>mm</v>
          </cell>
          <cell r="G1943" t="str">
            <v>Mitsubishi Chemical</v>
          </cell>
        </row>
        <row r="1944">
          <cell r="C1944" t="str">
            <v>CW188-WS-1A</v>
          </cell>
          <cell r="D1944" t="str">
            <v>CW188-WS-1</v>
          </cell>
          <cell r="E1944">
            <v>1168</v>
          </cell>
          <cell r="F1944" t="str">
            <v>mm</v>
          </cell>
          <cell r="G1944" t="str">
            <v>Mitsubishi Chemical</v>
          </cell>
        </row>
        <row r="1945">
          <cell r="C1945" t="str">
            <v>CW190-WS-1A</v>
          </cell>
          <cell r="D1945" t="str">
            <v>CW190-WS-1</v>
          </cell>
          <cell r="E1945">
            <v>1168</v>
          </cell>
          <cell r="F1945" t="str">
            <v>mm</v>
          </cell>
          <cell r="G1945" t="str">
            <v>Mitsubishi Chemical</v>
          </cell>
        </row>
        <row r="1946">
          <cell r="C1946" t="str">
            <v>CW190-WX-1A</v>
          </cell>
          <cell r="D1946" t="str">
            <v>CW190-WX-1</v>
          </cell>
          <cell r="E1946">
            <v>1168</v>
          </cell>
          <cell r="F1946" t="str">
            <v>mm</v>
          </cell>
          <cell r="G1946" t="str">
            <v>Mitsubishi Chemical</v>
          </cell>
        </row>
        <row r="1947">
          <cell r="C1947" t="str">
            <v>CW192-WA-1A</v>
          </cell>
          <cell r="D1947" t="str">
            <v>CW192-WA-1</v>
          </cell>
          <cell r="E1947">
            <v>1168</v>
          </cell>
          <cell r="F1947" t="str">
            <v>mm</v>
          </cell>
          <cell r="G1947" t="str">
            <v>Mitsubishi Chemical</v>
          </cell>
        </row>
        <row r="1948">
          <cell r="C1948" t="str">
            <v>CW192-WS-1A</v>
          </cell>
          <cell r="D1948" t="str">
            <v>CW192-WS-1</v>
          </cell>
          <cell r="E1948">
            <v>1168</v>
          </cell>
          <cell r="F1948" t="str">
            <v>mm</v>
          </cell>
          <cell r="G1948" t="str">
            <v>Mitsubishi Chemical</v>
          </cell>
        </row>
        <row r="1949">
          <cell r="C1949" t="str">
            <v>CW193-WR-1A</v>
          </cell>
          <cell r="D1949" t="str">
            <v>CW193-WR-1</v>
          </cell>
          <cell r="E1949">
            <v>1168</v>
          </cell>
          <cell r="F1949" t="str">
            <v>mm</v>
          </cell>
          <cell r="G1949" t="str">
            <v>Mitsubishi Chemical</v>
          </cell>
        </row>
        <row r="1950">
          <cell r="C1950" t="str">
            <v>CW193-WS-1A</v>
          </cell>
          <cell r="D1950" t="str">
            <v>CW193-WS-1</v>
          </cell>
          <cell r="E1950">
            <v>1168</v>
          </cell>
          <cell r="F1950" t="str">
            <v>mm</v>
          </cell>
          <cell r="G1950" t="str">
            <v>Mitsubishi Chemical</v>
          </cell>
        </row>
        <row r="1951">
          <cell r="C1951" t="str">
            <v>CW192-WR-1A</v>
          </cell>
          <cell r="D1951" t="str">
            <v>CW192-WR-1</v>
          </cell>
          <cell r="E1951">
            <v>1168</v>
          </cell>
          <cell r="F1951" t="str">
            <v>mm</v>
          </cell>
          <cell r="G1951" t="str">
            <v>Mitsubishi Chemical</v>
          </cell>
        </row>
        <row r="1952">
          <cell r="C1952" t="str">
            <v>CW191-WW-1A</v>
          </cell>
          <cell r="D1952" t="str">
            <v>CW191-WW-1</v>
          </cell>
          <cell r="E1952">
            <v>1168</v>
          </cell>
          <cell r="F1952" t="str">
            <v>mm</v>
          </cell>
          <cell r="G1952" t="str">
            <v>Mitsubishi Chemical</v>
          </cell>
        </row>
        <row r="1953">
          <cell r="C1953" t="str">
            <v>YM129-IL-6A</v>
          </cell>
          <cell r="D1953" t="str">
            <v>YM129-IL-6</v>
          </cell>
          <cell r="E1953">
            <v>932</v>
          </cell>
          <cell r="F1953" t="str">
            <v>mm</v>
          </cell>
          <cell r="G1953" t="str">
            <v>Mitsubishi Chemical</v>
          </cell>
        </row>
        <row r="1954">
          <cell r="C1954" t="str">
            <v>YM129-IL-8A</v>
          </cell>
          <cell r="D1954" t="str">
            <v>YM129-IL-8</v>
          </cell>
          <cell r="E1954">
            <v>907</v>
          </cell>
          <cell r="F1954" t="str">
            <v>mm</v>
          </cell>
          <cell r="G1954" t="str">
            <v>Mitsubishi Chemical</v>
          </cell>
        </row>
        <row r="1955">
          <cell r="C1955" t="str">
            <v>YM129-IL-9A</v>
          </cell>
          <cell r="D1955" t="str">
            <v>YM129-IL-9</v>
          </cell>
          <cell r="E1955">
            <v>892</v>
          </cell>
          <cell r="F1955" t="str">
            <v>mm</v>
          </cell>
          <cell r="G1955" t="str">
            <v>Mitsubishi Chemical</v>
          </cell>
        </row>
        <row r="1956">
          <cell r="C1956" t="str">
            <v>YM129-UL-4A</v>
          </cell>
          <cell r="D1956" t="str">
            <v>YM129-UL-4</v>
          </cell>
          <cell r="E1956">
            <v>1010</v>
          </cell>
          <cell r="F1956" t="str">
            <v>mm</v>
          </cell>
          <cell r="G1956" t="str">
            <v>Mitsubishi Chemical</v>
          </cell>
        </row>
        <row r="1957">
          <cell r="C1957" t="str">
            <v>YM129-WL-1A</v>
          </cell>
          <cell r="D1957" t="str">
            <v>YM129-WL-1</v>
          </cell>
          <cell r="E1957">
            <v>1078</v>
          </cell>
          <cell r="F1957" t="str">
            <v>mm</v>
          </cell>
          <cell r="G1957" t="str">
            <v>Mitsubishi Chemical</v>
          </cell>
        </row>
        <row r="1958">
          <cell r="C1958" t="str">
            <v>YM129-WL-3A</v>
          </cell>
          <cell r="D1958" t="str">
            <v>YM129-WL-3</v>
          </cell>
          <cell r="E1958">
            <v>1070</v>
          </cell>
          <cell r="F1958" t="str">
            <v>mm</v>
          </cell>
          <cell r="G1958" t="str">
            <v>Mitsubishi Chemical</v>
          </cell>
        </row>
        <row r="1959">
          <cell r="C1959" t="str">
            <v>YM129-IL-7A</v>
          </cell>
          <cell r="D1959" t="str">
            <v>YM129-IL-7</v>
          </cell>
          <cell r="E1959">
            <v>917</v>
          </cell>
          <cell r="F1959" t="str">
            <v>mm</v>
          </cell>
          <cell r="G1959" t="str">
            <v>Mitsubishi Chemical</v>
          </cell>
        </row>
        <row r="1960">
          <cell r="C1960" t="str">
            <v>YM129-IL-PA</v>
          </cell>
          <cell r="D1960" t="str">
            <v>YM129-IL-P</v>
          </cell>
          <cell r="E1960">
            <v>882</v>
          </cell>
          <cell r="F1960" t="str">
            <v>mm</v>
          </cell>
          <cell r="G1960" t="str">
            <v>Mitsubishi Chemical</v>
          </cell>
        </row>
        <row r="1961">
          <cell r="C1961" t="str">
            <v>YR195-ISRPA</v>
          </cell>
          <cell r="D1961" t="str">
            <v>YR195-ISRP</v>
          </cell>
          <cell r="E1961">
            <v>889</v>
          </cell>
          <cell r="F1961" t="str">
            <v>mm</v>
          </cell>
          <cell r="G1961" t="str">
            <v>Mitsubishi Chemical</v>
          </cell>
        </row>
        <row r="1962">
          <cell r="C1962" t="str">
            <v>CW189-WS-1AY</v>
          </cell>
          <cell r="D1962" t="str">
            <v>CW189-WS-1</v>
          </cell>
          <cell r="E1962">
            <v>1168</v>
          </cell>
          <cell r="F1962" t="str">
            <v>mm</v>
          </cell>
          <cell r="G1962" t="str">
            <v>Mitsubishi Chemical</v>
          </cell>
        </row>
        <row r="1963">
          <cell r="C1963" t="str">
            <v>CW190-WS-1AY</v>
          </cell>
          <cell r="D1963" t="str">
            <v>CW190-WS-1</v>
          </cell>
          <cell r="E1963">
            <v>1168</v>
          </cell>
          <cell r="F1963" t="str">
            <v>mm</v>
          </cell>
          <cell r="G1963" t="str">
            <v>Mitsubishi Chemical</v>
          </cell>
        </row>
        <row r="1964">
          <cell r="C1964" t="str">
            <v>SF351-WA-1A</v>
          </cell>
          <cell r="D1964" t="str">
            <v>SF351-WA-1</v>
          </cell>
          <cell r="E1964">
            <v>1168</v>
          </cell>
          <cell r="F1964" t="str">
            <v>mm</v>
          </cell>
          <cell r="G1964" t="str">
            <v>Mitsubishi Chemical</v>
          </cell>
        </row>
        <row r="1965">
          <cell r="C1965" t="str">
            <v>SF352-WS-1A</v>
          </cell>
          <cell r="D1965" t="str">
            <v>SF352-WS-1</v>
          </cell>
          <cell r="E1965">
            <v>1168</v>
          </cell>
          <cell r="F1965" t="str">
            <v>mm</v>
          </cell>
          <cell r="G1965" t="str">
            <v>Mitsubishi Chemical</v>
          </cell>
        </row>
        <row r="1966">
          <cell r="C1966" t="str">
            <v>SF352-WX-1A</v>
          </cell>
          <cell r="D1966" t="str">
            <v>SF352-WX-1</v>
          </cell>
          <cell r="E1966">
            <v>1168</v>
          </cell>
          <cell r="F1966" t="str">
            <v>mm</v>
          </cell>
          <cell r="G1966" t="str">
            <v>Mitsubishi Chemical</v>
          </cell>
        </row>
        <row r="1967">
          <cell r="C1967" t="str">
            <v>SF353-WS-1A</v>
          </cell>
          <cell r="D1967" t="str">
            <v>SF353-WS-1</v>
          </cell>
          <cell r="E1967">
            <v>1168</v>
          </cell>
          <cell r="F1967" t="str">
            <v>mm</v>
          </cell>
          <cell r="G1967" t="str">
            <v>Mitsubishi Chemical</v>
          </cell>
        </row>
        <row r="1968">
          <cell r="C1968" t="str">
            <v>SF353-WX-1A</v>
          </cell>
          <cell r="D1968" t="str">
            <v>SF353-WX-1</v>
          </cell>
          <cell r="E1968">
            <v>1168</v>
          </cell>
          <cell r="F1968" t="str">
            <v>mm</v>
          </cell>
          <cell r="G1968" t="str">
            <v>Mitsubishi Chemical</v>
          </cell>
        </row>
        <row r="1969">
          <cell r="C1969" t="str">
            <v>MX854-IR-1A</v>
          </cell>
          <cell r="D1969" t="str">
            <v>MX854-IR-1</v>
          </cell>
          <cell r="E1969">
            <v>1067</v>
          </cell>
          <cell r="F1969" t="str">
            <v>mm</v>
          </cell>
          <cell r="G1969" t="str">
            <v>Mitsubishi Chemical</v>
          </cell>
        </row>
        <row r="1970">
          <cell r="C1970" t="str">
            <v>MX947-WS-1T</v>
          </cell>
          <cell r="D1970" t="str">
            <v>MX947-WS-1</v>
          </cell>
          <cell r="E1970">
            <v>1168</v>
          </cell>
          <cell r="F1970" t="str">
            <v>mm</v>
          </cell>
          <cell r="G1970" t="str">
            <v>Mitsubishi Chemical</v>
          </cell>
        </row>
        <row r="1971">
          <cell r="C1971" t="str">
            <v>MX948-WS-1T</v>
          </cell>
          <cell r="D1971" t="str">
            <v>MX948-WS-1</v>
          </cell>
          <cell r="E1971">
            <v>1168</v>
          </cell>
          <cell r="F1971" t="str">
            <v>mm</v>
          </cell>
          <cell r="G1971" t="str">
            <v>Mitsubishi Chemical</v>
          </cell>
        </row>
        <row r="1972">
          <cell r="C1972" t="str">
            <v>MY038-IS-TA</v>
          </cell>
          <cell r="D1972" t="str">
            <v>MY038-IS-T</v>
          </cell>
          <cell r="E1972">
            <v>915</v>
          </cell>
          <cell r="F1972" t="str">
            <v>mm</v>
          </cell>
          <cell r="G1972" t="str">
            <v>Mitsubishi Chemical</v>
          </cell>
        </row>
        <row r="1973">
          <cell r="C1973" t="str">
            <v>MY039-IS-TA</v>
          </cell>
          <cell r="D1973" t="str">
            <v>MY039-IS-T</v>
          </cell>
          <cell r="E1973">
            <v>915</v>
          </cell>
          <cell r="F1973" t="str">
            <v>mm</v>
          </cell>
          <cell r="G1973" t="str">
            <v>Mitsubishi Chemical</v>
          </cell>
        </row>
        <row r="1974">
          <cell r="D1974"/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FA4E-91E8-4F97-823D-AFC366CAC19F}">
  <dimension ref="A5:D28"/>
  <sheetViews>
    <sheetView tabSelected="1" zoomScaleNormal="100" workbookViewId="0">
      <selection activeCell="D24" sqref="D24"/>
    </sheetView>
  </sheetViews>
  <sheetFormatPr defaultRowHeight="15" x14ac:dyDescent="0.25"/>
  <cols>
    <col min="1" max="1" width="29.28515625" style="20" bestFit="1" customWidth="1"/>
    <col min="2" max="2" width="11.28515625" customWidth="1"/>
    <col min="4" max="4" width="16.5703125" customWidth="1"/>
  </cols>
  <sheetData>
    <row r="5" spans="1:4" x14ac:dyDescent="0.25">
      <c r="A5" s="20" t="s">
        <v>31</v>
      </c>
      <c r="C5" s="21"/>
    </row>
    <row r="6" spans="1:4" x14ac:dyDescent="0.25">
      <c r="A6" s="20" t="s">
        <v>0</v>
      </c>
      <c r="C6" s="21"/>
    </row>
    <row r="7" spans="1:4" x14ac:dyDescent="0.25">
      <c r="A7" s="20" t="s">
        <v>32</v>
      </c>
      <c r="C7" s="21"/>
    </row>
    <row r="8" spans="1:4" x14ac:dyDescent="0.25">
      <c r="A8" s="20" t="s">
        <v>33</v>
      </c>
      <c r="C8" s="21"/>
    </row>
    <row r="11" spans="1:4" x14ac:dyDescent="0.25">
      <c r="A11" s="20" t="s">
        <v>1</v>
      </c>
      <c r="C11" s="21" t="str">
        <f>LEFT(B11,3)</f>
        <v/>
      </c>
    </row>
    <row r="12" spans="1:4" x14ac:dyDescent="0.25">
      <c r="A12" s="20" t="s">
        <v>34</v>
      </c>
      <c r="C12" s="21"/>
    </row>
    <row r="13" spans="1:4" x14ac:dyDescent="0.25">
      <c r="A13" s="20" t="s">
        <v>35</v>
      </c>
      <c r="C13" s="21"/>
    </row>
    <row r="16" spans="1:4" x14ac:dyDescent="0.25">
      <c r="A16" s="20" t="s">
        <v>23</v>
      </c>
      <c r="B16" s="21"/>
      <c r="C16" s="22" t="s">
        <v>20</v>
      </c>
      <c r="D16" s="21">
        <f>B16</f>
        <v>0</v>
      </c>
    </row>
    <row r="17" spans="1:4" x14ac:dyDescent="0.25">
      <c r="A17" s="20" t="s">
        <v>24</v>
      </c>
      <c r="B17" s="21"/>
      <c r="C17" s="22" t="s">
        <v>21</v>
      </c>
      <c r="D17" s="21" t="str">
        <f>IF(ISNUMBER(SEARCH("Pallet",B17)),"PP",IF(OR(ISNUMBER(SEARCH("Box",B17)),ISNUMBER(SEARCH("Boxes",B17))),"BX",IF(OR(ISNUMBER(SEARCH("Bundle",B17)),ISNUMBER(SEARCH("Package",B17))),"PK","")))</f>
        <v/>
      </c>
    </row>
    <row r="18" spans="1:4" x14ac:dyDescent="0.25">
      <c r="A18" s="20" t="s">
        <v>25</v>
      </c>
      <c r="B18" s="21"/>
      <c r="C18" s="22" t="s">
        <v>22</v>
      </c>
      <c r="D18" s="21">
        <f>B18</f>
        <v>0</v>
      </c>
    </row>
    <row r="21" spans="1:4" x14ac:dyDescent="0.25">
      <c r="A21" s="20" t="s">
        <v>26</v>
      </c>
      <c r="B21" s="21"/>
    </row>
    <row r="22" spans="1:4" x14ac:dyDescent="0.25">
      <c r="A22" s="20" t="s">
        <v>27</v>
      </c>
      <c r="B22" s="21"/>
    </row>
    <row r="25" spans="1:4" x14ac:dyDescent="0.25">
      <c r="A25" s="20" t="s">
        <v>28</v>
      </c>
      <c r="B25" s="21"/>
    </row>
    <row r="26" spans="1:4" x14ac:dyDescent="0.25">
      <c r="A26" s="20" t="s">
        <v>29</v>
      </c>
      <c r="B26" s="21">
        <f>B27-B25</f>
        <v>0</v>
      </c>
    </row>
    <row r="27" spans="1:4" x14ac:dyDescent="0.25">
      <c r="A27" s="20" t="s">
        <v>30</v>
      </c>
      <c r="B27" s="21"/>
    </row>
    <row r="28" spans="1:4" x14ac:dyDescent="0.25">
      <c r="A2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1D36-AEA7-4933-B8A4-7E2DAC206B00}">
  <dimension ref="A1:Y113"/>
  <sheetViews>
    <sheetView zoomScale="55" zoomScaleNormal="55" workbookViewId="0">
      <selection activeCell="C26" sqref="C26"/>
    </sheetView>
  </sheetViews>
  <sheetFormatPr defaultRowHeight="15" x14ac:dyDescent="0.25"/>
  <cols>
    <col min="1" max="1" width="25.5703125" style="15" customWidth="1"/>
    <col min="2" max="2" width="21.7109375" style="4" customWidth="1"/>
    <col min="3" max="3" width="66" style="4" bestFit="1" customWidth="1"/>
    <col min="4" max="4" width="6.42578125" style="4" bestFit="1" customWidth="1"/>
    <col min="5" max="5" width="8.5703125" style="4" bestFit="1" customWidth="1"/>
    <col min="6" max="6" width="6.28515625" style="4" bestFit="1" customWidth="1"/>
    <col min="7" max="7" width="10.5703125" style="4" bestFit="1" customWidth="1"/>
    <col min="8" max="8" width="7.42578125" style="4" bestFit="1" customWidth="1"/>
    <col min="9" max="9" width="12.42578125" style="16" bestFit="1" customWidth="1"/>
    <col min="10" max="10" width="88" style="4" customWidth="1"/>
    <col min="11" max="11" width="51.42578125" style="4" hidden="1" customWidth="1"/>
    <col min="12" max="15" width="0" style="4" hidden="1" customWidth="1"/>
    <col min="16" max="16" width="13.140625" style="4" hidden="1" customWidth="1"/>
    <col min="17" max="17" width="10.5703125" style="4" hidden="1" customWidth="1"/>
    <col min="18" max="18" width="54.7109375" style="4" hidden="1" customWidth="1"/>
    <col min="19" max="19" width="3.85546875" style="4" hidden="1" customWidth="1"/>
    <col min="20" max="21" width="9.140625" style="4"/>
    <col min="22" max="22" width="11" style="4" customWidth="1"/>
    <col min="23" max="16384" width="9.140625" style="4"/>
  </cols>
  <sheetData>
    <row r="1" spans="1:25" ht="45" x14ac:dyDescent="0.25">
      <c r="A1" s="23" t="s">
        <v>2</v>
      </c>
      <c r="B1" s="24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6</v>
      </c>
      <c r="I1" s="3">
        <f>+SUM(I2:I379)</f>
        <v>0</v>
      </c>
      <c r="L1" s="4" t="s">
        <v>8</v>
      </c>
      <c r="P1" s="5">
        <f>+SUM(P2:P2)</f>
        <v>0</v>
      </c>
      <c r="Q1" s="5">
        <f>+SUM(Q2:Q2)</f>
        <v>0</v>
      </c>
      <c r="R1" s="4" t="s">
        <v>9</v>
      </c>
      <c r="U1" s="4" t="s">
        <v>10</v>
      </c>
      <c r="V1" s="4" t="s">
        <v>11</v>
      </c>
      <c r="W1" s="4" t="s">
        <v>12</v>
      </c>
    </row>
    <row r="2" spans="1:25" ht="37.5" customHeight="1" x14ac:dyDescent="0.25">
      <c r="A2" s="6"/>
      <c r="B2" s="7"/>
      <c r="C2" s="8"/>
      <c r="D2" s="9"/>
      <c r="E2" s="8"/>
      <c r="F2" s="8"/>
      <c r="G2" s="10"/>
      <c r="H2" s="11"/>
      <c r="I2" s="12"/>
      <c r="J2" s="4" t="e">
        <f>+$R$1&amp;""&amp;T2&amp;""&amp;U2&amp;" "&amp;$V$1&amp;" "&amp;V2&amp;" / "&amp;B2&amp;" "&amp;$U$1&amp;" "&amp;C2&amp;""&amp;$W$1</f>
        <v>#N/A</v>
      </c>
      <c r="P2" s="5"/>
      <c r="Q2" s="5"/>
      <c r="R2" s="5"/>
      <c r="S2" s="13"/>
      <c r="T2" s="4" t="e">
        <f>+INDEX([1]GOLF!$E$2:$E$1990,MATCH(B2,[1]GOLF!$C$2:$C$1990,0))</f>
        <v>#N/A</v>
      </c>
      <c r="U2" s="4" t="s">
        <v>13</v>
      </c>
      <c r="V2" s="4" t="e">
        <f>+INDEX([1]GOLF!$G:$G,MATCH(B2,[1]GOLF!$C:$C,0))</f>
        <v>#N/A</v>
      </c>
      <c r="X2" s="4" t="e">
        <f>+VLOOKUP(B2,[1]GOLF!$C:$G,3,0)</f>
        <v>#N/A</v>
      </c>
      <c r="Y2" s="4" t="e">
        <f>+X2=T2</f>
        <v>#N/A</v>
      </c>
    </row>
    <row r="3" spans="1:25" ht="37.5" customHeight="1" x14ac:dyDescent="0.25">
      <c r="A3" s="6"/>
      <c r="B3" s="8"/>
      <c r="C3" s="8"/>
      <c r="D3" s="8"/>
      <c r="E3" s="8"/>
      <c r="F3" s="8"/>
      <c r="G3" s="10"/>
      <c r="H3" s="11"/>
      <c r="I3" s="12"/>
      <c r="J3" s="4" t="e">
        <f>+$R$1&amp;""&amp;T3&amp;""&amp;U3&amp;" "&amp;$V$1&amp;" "&amp;V3&amp;" / "&amp;B3&amp;" "&amp;$U$1&amp;" "&amp;C3&amp;""&amp;$W$1</f>
        <v>#N/A</v>
      </c>
      <c r="T3" s="4" t="e">
        <f>+INDEX([1]GOLF!$E$2:$E$1990,MATCH(B3,[1]GOLF!$C$2:$C$1990,0))</f>
        <v>#N/A</v>
      </c>
      <c r="U3" s="4" t="s">
        <v>13</v>
      </c>
      <c r="V3" s="4" t="e">
        <f>+INDEX([1]GOLF!$G:$G,MATCH(B3,[1]GOLF!$C:$C,0))</f>
        <v>#N/A</v>
      </c>
      <c r="X3" s="4" t="e">
        <f>+VLOOKUP(B3,[1]GOLF!$C:$G,3,0)</f>
        <v>#N/A</v>
      </c>
      <c r="Y3" s="4" t="e">
        <f>+X3=T3</f>
        <v>#N/A</v>
      </c>
    </row>
    <row r="4" spans="1:25" ht="37.5" customHeight="1" x14ac:dyDescent="0.25">
      <c r="A4" s="6"/>
      <c r="B4" s="8"/>
      <c r="C4" s="8"/>
      <c r="D4" s="8"/>
      <c r="E4" s="8"/>
      <c r="F4" s="8"/>
      <c r="G4" s="10"/>
      <c r="H4" s="11"/>
      <c r="I4" s="12"/>
      <c r="J4" s="4" t="e">
        <f t="shared" ref="J4:J67" si="0">+$R$1&amp;""&amp;T4&amp;""&amp;U4&amp;" "&amp;$V$1&amp;" "&amp;V4&amp;" / "&amp;B4&amp;" "&amp;$U$1&amp;" "&amp;C4&amp;""&amp;$W$1</f>
        <v>#N/A</v>
      </c>
      <c r="T4" s="4" t="e">
        <f>+INDEX([1]GOLF!$E$2:$E$1990,MATCH(B4,[1]GOLF!$C$2:$C$1990,0))</f>
        <v>#N/A</v>
      </c>
      <c r="U4" s="4" t="s">
        <v>13</v>
      </c>
      <c r="V4" s="4" t="e">
        <f>+INDEX([1]GOLF!$G:$G,MATCH(B4,[1]GOLF!$C:$C,0))</f>
        <v>#N/A</v>
      </c>
      <c r="X4" s="4" t="e">
        <f>+VLOOKUP(B4,[1]GOLF!$C:$G,3,0)</f>
        <v>#N/A</v>
      </c>
      <c r="Y4" s="4" t="e">
        <f t="shared" ref="Y4:Y61" si="1">+X4=T4</f>
        <v>#N/A</v>
      </c>
    </row>
    <row r="5" spans="1:25" ht="37.5" customHeight="1" x14ac:dyDescent="0.25">
      <c r="A5" s="6"/>
      <c r="B5" s="8"/>
      <c r="C5" s="8"/>
      <c r="D5" s="8"/>
      <c r="E5" s="8"/>
      <c r="F5" s="8"/>
      <c r="G5" s="8"/>
      <c r="H5" s="11"/>
      <c r="I5" s="12"/>
      <c r="J5" s="4" t="e">
        <f t="shared" si="0"/>
        <v>#N/A</v>
      </c>
      <c r="T5" s="4" t="e">
        <f>+INDEX([1]GOLF!$E$2:$E$1990,MATCH(B5,[1]GOLF!$C$2:$C$1990,0))</f>
        <v>#N/A</v>
      </c>
      <c r="U5" s="4" t="s">
        <v>13</v>
      </c>
      <c r="V5" s="4" t="e">
        <f>+INDEX([1]GOLF!$G:$G,MATCH(B5,[1]GOLF!$C:$C,0))</f>
        <v>#N/A</v>
      </c>
      <c r="X5" s="4" t="e">
        <f>+VLOOKUP(B5,[1]GOLF!$C:$G,3,0)</f>
        <v>#N/A</v>
      </c>
      <c r="Y5" s="4" t="e">
        <f t="shared" si="1"/>
        <v>#N/A</v>
      </c>
    </row>
    <row r="6" spans="1:25" ht="37.5" customHeight="1" x14ac:dyDescent="0.25">
      <c r="A6" s="6"/>
      <c r="B6" s="8"/>
      <c r="C6" s="8"/>
      <c r="D6" s="9"/>
      <c r="E6" s="8"/>
      <c r="F6" s="8"/>
      <c r="G6" s="10"/>
      <c r="H6" s="11"/>
      <c r="I6" s="12"/>
      <c r="J6" s="4" t="e">
        <f t="shared" si="0"/>
        <v>#N/A</v>
      </c>
      <c r="T6" s="4" t="e">
        <f>+INDEX([1]GOLF!$E$2:$E$1990,MATCH(B6,[1]GOLF!$C$2:$C$1990,0))</f>
        <v>#N/A</v>
      </c>
      <c r="U6" s="4" t="s">
        <v>13</v>
      </c>
      <c r="V6" s="4" t="e">
        <f>+INDEX([1]GOLF!$G:$G,MATCH(B6,[1]GOLF!$C:$C,0))</f>
        <v>#N/A</v>
      </c>
      <c r="X6" s="4" t="e">
        <f>+VLOOKUP(B6,[1]GOLF!$C:$G,3,0)</f>
        <v>#N/A</v>
      </c>
      <c r="Y6" s="4" t="e">
        <f t="shared" si="1"/>
        <v>#N/A</v>
      </c>
    </row>
    <row r="7" spans="1:25" ht="37.5" customHeight="1" x14ac:dyDescent="0.25">
      <c r="A7" s="6"/>
      <c r="B7" s="8"/>
      <c r="C7" s="8"/>
      <c r="D7" s="8"/>
      <c r="E7" s="8"/>
      <c r="F7" s="8"/>
      <c r="G7" s="8"/>
      <c r="H7" s="11"/>
      <c r="I7" s="12"/>
      <c r="J7" s="4" t="e">
        <f t="shared" si="0"/>
        <v>#N/A</v>
      </c>
      <c r="T7" s="4" t="e">
        <f>+INDEX([1]GOLF!$E$2:$E$1990,MATCH(B7,[1]GOLF!$C$2:$C$1990,0))</f>
        <v>#N/A</v>
      </c>
      <c r="U7" s="4" t="s">
        <v>13</v>
      </c>
      <c r="V7" s="4" t="e">
        <f>+INDEX([1]GOLF!$G:$G,MATCH(B7,[1]GOLF!$C:$C,0))</f>
        <v>#N/A</v>
      </c>
      <c r="X7" s="4" t="e">
        <f>+VLOOKUP(B7,[1]GOLF!$C:$G,3,0)</f>
        <v>#N/A</v>
      </c>
      <c r="Y7" s="4" t="e">
        <f t="shared" si="1"/>
        <v>#N/A</v>
      </c>
    </row>
    <row r="8" spans="1:25" ht="37.5" customHeight="1" x14ac:dyDescent="0.25">
      <c r="A8" s="6"/>
      <c r="B8" s="8"/>
      <c r="C8" s="8"/>
      <c r="D8" s="8"/>
      <c r="E8" s="8"/>
      <c r="F8" s="8"/>
      <c r="G8" s="8"/>
      <c r="H8" s="11"/>
      <c r="I8" s="12"/>
      <c r="J8" s="4" t="e">
        <f t="shared" si="0"/>
        <v>#N/A</v>
      </c>
      <c r="T8" s="4" t="e">
        <f>+INDEX([1]GOLF!$E$2:$E$1990,MATCH(B8,[1]GOLF!$C$2:$C$1990,0))</f>
        <v>#N/A</v>
      </c>
      <c r="U8" s="4" t="s">
        <v>13</v>
      </c>
      <c r="V8" s="4" t="e">
        <f>+INDEX([1]GOLF!$G:$G,MATCH(B8,[1]GOLF!$C:$C,0))</f>
        <v>#N/A</v>
      </c>
      <c r="X8" s="4" t="e">
        <f>+VLOOKUP(B8,[1]GOLF!$C:$G,3,0)</f>
        <v>#N/A</v>
      </c>
      <c r="Y8" s="4" t="e">
        <f t="shared" si="1"/>
        <v>#N/A</v>
      </c>
    </row>
    <row r="9" spans="1:25" ht="37.5" customHeight="1" x14ac:dyDescent="0.25">
      <c r="A9" s="6"/>
      <c r="B9" s="8"/>
      <c r="C9" s="8"/>
      <c r="D9" s="8"/>
      <c r="E9" s="8"/>
      <c r="F9" s="8"/>
      <c r="G9" s="8"/>
      <c r="H9" s="11"/>
      <c r="I9" s="14"/>
      <c r="J9" s="4" t="e">
        <f t="shared" si="0"/>
        <v>#N/A</v>
      </c>
      <c r="T9" s="4" t="e">
        <f>+INDEX([1]GOLF!$E$2:$E$1990,MATCH(B9,[1]GOLF!$C$2:$C$1990,0))</f>
        <v>#N/A</v>
      </c>
      <c r="U9" s="4" t="s">
        <v>13</v>
      </c>
      <c r="V9" s="4" t="e">
        <f>+INDEX([1]GOLF!$G:$G,MATCH(B9,[1]GOLF!$C:$C,0))</f>
        <v>#N/A</v>
      </c>
      <c r="X9" s="4" t="e">
        <f>+VLOOKUP(B9,[1]GOLF!$C:$G,3,0)</f>
        <v>#N/A</v>
      </c>
      <c r="Y9" s="4" t="e">
        <f t="shared" si="1"/>
        <v>#N/A</v>
      </c>
    </row>
    <row r="10" spans="1:25" ht="37.5" customHeight="1" x14ac:dyDescent="0.25">
      <c r="A10" s="6"/>
      <c r="B10" s="8"/>
      <c r="C10" s="8"/>
      <c r="D10" s="8"/>
      <c r="E10" s="8"/>
      <c r="F10" s="8"/>
      <c r="G10" s="10"/>
      <c r="H10" s="11"/>
      <c r="I10" s="12"/>
      <c r="J10" s="4" t="e">
        <f t="shared" si="0"/>
        <v>#N/A</v>
      </c>
      <c r="T10" s="4" t="e">
        <f>+INDEX([1]GOLF!$E$2:$E$1990,MATCH(B10,[1]GOLF!$C$2:$C$1990,0))</f>
        <v>#N/A</v>
      </c>
      <c r="U10" s="4" t="s">
        <v>13</v>
      </c>
      <c r="V10" s="4" t="e">
        <f>+INDEX([1]GOLF!$G:$G,MATCH(B10,[1]GOLF!$C:$C,0))</f>
        <v>#N/A</v>
      </c>
      <c r="X10" s="4" t="e">
        <f>+VLOOKUP(B10,[1]GOLF!$C:$G,3,0)</f>
        <v>#N/A</v>
      </c>
      <c r="Y10" s="4" t="e">
        <f t="shared" si="1"/>
        <v>#N/A</v>
      </c>
    </row>
    <row r="11" spans="1:25" ht="37.5" customHeight="1" x14ac:dyDescent="0.25">
      <c r="A11" s="6"/>
      <c r="B11" s="8"/>
      <c r="C11" s="8"/>
      <c r="D11" s="8"/>
      <c r="E11" s="8"/>
      <c r="F11" s="8"/>
      <c r="G11" s="8"/>
      <c r="H11" s="11"/>
      <c r="I11" s="12"/>
      <c r="J11" s="4" t="e">
        <f t="shared" si="0"/>
        <v>#N/A</v>
      </c>
      <c r="T11" s="4" t="e">
        <f>+INDEX([1]GOLF!$E$2:$E$1990,MATCH(B11,[1]GOLF!$C$2:$C$1990,0))</f>
        <v>#N/A</v>
      </c>
      <c r="U11" s="4" t="s">
        <v>13</v>
      </c>
      <c r="V11" s="4" t="e">
        <f>+INDEX([1]GOLF!$G:$G,MATCH(B11,[1]GOLF!$C:$C,0))</f>
        <v>#N/A</v>
      </c>
      <c r="X11" s="4" t="e">
        <f>+VLOOKUP(B11,[1]GOLF!$C:$G,3,0)</f>
        <v>#N/A</v>
      </c>
      <c r="Y11" s="4" t="e">
        <f t="shared" si="1"/>
        <v>#N/A</v>
      </c>
    </row>
    <row r="12" spans="1:25" ht="37.5" customHeight="1" x14ac:dyDescent="0.25">
      <c r="A12" s="6"/>
      <c r="B12" s="8"/>
      <c r="C12" s="8"/>
      <c r="D12" s="8"/>
      <c r="E12" s="8"/>
      <c r="F12" s="8"/>
      <c r="G12" s="8"/>
      <c r="H12" s="11"/>
      <c r="I12" s="14"/>
      <c r="J12" s="4" t="e">
        <f t="shared" si="0"/>
        <v>#N/A</v>
      </c>
      <c r="T12" s="4" t="e">
        <f>+INDEX([1]GOLF!$E$2:$E$1990,MATCH(B12,[1]GOLF!$C$2:$C$1990,0))</f>
        <v>#N/A</v>
      </c>
      <c r="U12" s="4" t="s">
        <v>13</v>
      </c>
      <c r="V12" s="4" t="e">
        <f>+INDEX([1]GOLF!$G:$G,MATCH(B12,[1]GOLF!$C:$C,0))</f>
        <v>#N/A</v>
      </c>
      <c r="X12" s="4" t="e">
        <f>+VLOOKUP(B12,[1]GOLF!$C:$G,3,0)</f>
        <v>#N/A</v>
      </c>
      <c r="Y12" s="4" t="e">
        <f t="shared" si="1"/>
        <v>#N/A</v>
      </c>
    </row>
    <row r="13" spans="1:25" ht="37.5" customHeight="1" x14ac:dyDescent="0.25">
      <c r="A13" s="6"/>
      <c r="B13" s="8"/>
      <c r="C13" s="8"/>
      <c r="D13" s="8"/>
      <c r="E13" s="8"/>
      <c r="F13" s="8"/>
      <c r="G13" s="10"/>
      <c r="H13" s="11"/>
      <c r="I13" s="12"/>
      <c r="J13" s="4" t="e">
        <f t="shared" si="0"/>
        <v>#N/A</v>
      </c>
      <c r="T13" s="4" t="e">
        <f>+INDEX([1]GOLF!$E$2:$E$1990,MATCH(B13,[1]GOLF!$C$2:$C$1990,0))</f>
        <v>#N/A</v>
      </c>
      <c r="U13" s="4" t="s">
        <v>13</v>
      </c>
      <c r="V13" s="4" t="e">
        <f>+INDEX([1]GOLF!$G:$G,MATCH(B13,[1]GOLF!$C:$C,0))</f>
        <v>#N/A</v>
      </c>
      <c r="X13" s="4" t="e">
        <f>+VLOOKUP(B13,[1]GOLF!$C:$G,3,0)</f>
        <v>#N/A</v>
      </c>
      <c r="Y13" s="4" t="e">
        <f t="shared" si="1"/>
        <v>#N/A</v>
      </c>
    </row>
    <row r="14" spans="1:25" ht="37.5" customHeight="1" x14ac:dyDescent="0.25">
      <c r="A14" s="6"/>
      <c r="B14" s="8"/>
      <c r="C14" s="8"/>
      <c r="D14" s="8"/>
      <c r="E14" s="8"/>
      <c r="F14" s="8"/>
      <c r="G14" s="8"/>
      <c r="H14" s="11"/>
      <c r="I14" s="14"/>
      <c r="J14" s="4" t="e">
        <f t="shared" si="0"/>
        <v>#N/A</v>
      </c>
      <c r="T14" s="4" t="e">
        <f>+INDEX([1]GOLF!$E$2:$E$1990,MATCH(B14,[1]GOLF!$C$2:$C$1990,0))</f>
        <v>#N/A</v>
      </c>
      <c r="U14" s="4" t="s">
        <v>13</v>
      </c>
      <c r="V14" s="4" t="e">
        <f>+INDEX([1]GOLF!$G:$G,MATCH(B14,[1]GOLF!$C:$C,0))</f>
        <v>#N/A</v>
      </c>
      <c r="X14" s="4" t="e">
        <f>+VLOOKUP(B14,[1]GOLF!$C:$G,3,0)</f>
        <v>#N/A</v>
      </c>
      <c r="Y14" s="4" t="e">
        <f t="shared" si="1"/>
        <v>#N/A</v>
      </c>
    </row>
    <row r="15" spans="1:25" ht="37.5" customHeight="1" x14ac:dyDescent="0.25">
      <c r="A15" s="6"/>
      <c r="B15" s="8"/>
      <c r="C15" s="8"/>
      <c r="D15" s="8"/>
      <c r="E15" s="8"/>
      <c r="F15" s="8"/>
      <c r="G15" s="8"/>
      <c r="H15" s="11"/>
      <c r="I15" s="14"/>
      <c r="J15" s="4" t="e">
        <f t="shared" si="0"/>
        <v>#N/A</v>
      </c>
      <c r="T15" s="4" t="e">
        <f>+INDEX([1]GOLF!$E$2:$E$1990,MATCH(B15,[1]GOLF!$C$2:$C$1990,0))</f>
        <v>#N/A</v>
      </c>
      <c r="U15" s="4" t="s">
        <v>13</v>
      </c>
      <c r="V15" s="4" t="e">
        <f>+INDEX([1]GOLF!$G:$G,MATCH(B15,[1]GOLF!$C:$C,0))</f>
        <v>#N/A</v>
      </c>
      <c r="X15" s="4" t="e">
        <f>+VLOOKUP(B15,[1]GOLF!$C:$G,3,0)</f>
        <v>#N/A</v>
      </c>
      <c r="Y15" s="4" t="e">
        <f t="shared" si="1"/>
        <v>#N/A</v>
      </c>
    </row>
    <row r="16" spans="1:25" ht="37.5" customHeight="1" x14ac:dyDescent="0.25">
      <c r="A16" s="6"/>
      <c r="B16" s="8"/>
      <c r="C16" s="8"/>
      <c r="D16" s="8"/>
      <c r="E16" s="8"/>
      <c r="F16" s="8"/>
      <c r="G16" s="8"/>
      <c r="H16" s="11"/>
      <c r="I16" s="14"/>
      <c r="J16" s="4" t="e">
        <f t="shared" si="0"/>
        <v>#N/A</v>
      </c>
      <c r="T16" s="4" t="e">
        <f>+INDEX([1]GOLF!$E$2:$E$1990,MATCH(B16,[1]GOLF!$C$2:$C$1990,0))</f>
        <v>#N/A</v>
      </c>
      <c r="U16" s="4" t="s">
        <v>13</v>
      </c>
      <c r="V16" s="4" t="e">
        <f>+INDEX([1]GOLF!$G:$G,MATCH(B16,[1]GOLF!$C:$C,0))</f>
        <v>#N/A</v>
      </c>
      <c r="X16" s="4" t="e">
        <f>+VLOOKUP(B16,[1]GOLF!$C:$G,3,0)</f>
        <v>#N/A</v>
      </c>
      <c r="Y16" s="4" t="e">
        <f t="shared" si="1"/>
        <v>#N/A</v>
      </c>
    </row>
    <row r="17" spans="1:25" ht="37.5" customHeight="1" x14ac:dyDescent="0.25">
      <c r="A17" s="6"/>
      <c r="B17" s="8"/>
      <c r="C17" s="8"/>
      <c r="D17" s="8"/>
      <c r="E17" s="8"/>
      <c r="F17" s="8"/>
      <c r="G17" s="8"/>
      <c r="H17" s="11"/>
      <c r="I17" s="14"/>
      <c r="J17" s="4" t="e">
        <f t="shared" si="0"/>
        <v>#N/A</v>
      </c>
      <c r="T17" s="4" t="e">
        <f>+INDEX([1]GOLF!$E$2:$E$1990,MATCH(B17,[1]GOLF!$C$2:$C$1990,0))</f>
        <v>#N/A</v>
      </c>
      <c r="U17" s="4" t="s">
        <v>13</v>
      </c>
      <c r="V17" s="4" t="e">
        <f>+INDEX([1]GOLF!$G:$G,MATCH(B17,[1]GOLF!$C:$C,0))</f>
        <v>#N/A</v>
      </c>
      <c r="X17" s="4" t="e">
        <f>+VLOOKUP(B17,[1]GOLF!$C:$G,3,0)</f>
        <v>#N/A</v>
      </c>
      <c r="Y17" s="4" t="e">
        <f t="shared" si="1"/>
        <v>#N/A</v>
      </c>
    </row>
    <row r="18" spans="1:25" ht="37.5" customHeight="1" x14ac:dyDescent="0.25">
      <c r="A18" s="6"/>
      <c r="B18" s="8"/>
      <c r="C18" s="8"/>
      <c r="D18" s="8"/>
      <c r="E18" s="8"/>
      <c r="F18" s="8"/>
      <c r="G18" s="8"/>
      <c r="H18" s="11"/>
      <c r="I18" s="14"/>
      <c r="J18" s="4" t="e">
        <f t="shared" si="0"/>
        <v>#N/A</v>
      </c>
      <c r="T18" s="4" t="e">
        <f>+INDEX([1]GOLF!$E$2:$E$1990,MATCH(B18,[1]GOLF!$C$2:$C$1990,0))</f>
        <v>#N/A</v>
      </c>
      <c r="U18" s="4" t="s">
        <v>13</v>
      </c>
      <c r="V18" s="4" t="e">
        <f>+INDEX([1]GOLF!$G:$G,MATCH(B18,[1]GOLF!$C:$C,0))</f>
        <v>#N/A</v>
      </c>
      <c r="X18" s="4" t="e">
        <f>+VLOOKUP(B18,[1]GOLF!$C:$G,3,0)</f>
        <v>#N/A</v>
      </c>
      <c r="Y18" s="4" t="e">
        <f t="shared" si="1"/>
        <v>#N/A</v>
      </c>
    </row>
    <row r="19" spans="1:25" ht="37.5" customHeight="1" x14ac:dyDescent="0.25">
      <c r="A19" s="6"/>
      <c r="B19" s="8"/>
      <c r="C19" s="8"/>
      <c r="D19" s="8"/>
      <c r="E19" s="8"/>
      <c r="F19" s="8"/>
      <c r="G19" s="8"/>
      <c r="H19" s="11"/>
      <c r="I19" s="14"/>
      <c r="J19" s="4" t="e">
        <f t="shared" si="0"/>
        <v>#N/A</v>
      </c>
      <c r="T19" s="4" t="e">
        <f>+INDEX([1]GOLF!$E$2:$E$1990,MATCH(B19,[1]GOLF!$C$2:$C$1990,0))</f>
        <v>#N/A</v>
      </c>
      <c r="U19" s="4" t="s">
        <v>13</v>
      </c>
      <c r="V19" s="4" t="e">
        <f>+INDEX([1]GOLF!$G:$G,MATCH(B19,[1]GOLF!$C:$C,0))</f>
        <v>#N/A</v>
      </c>
      <c r="X19" s="4" t="e">
        <f>+VLOOKUP(B19,[1]GOLF!$C:$G,3,0)</f>
        <v>#N/A</v>
      </c>
      <c r="Y19" s="4" t="e">
        <f t="shared" si="1"/>
        <v>#N/A</v>
      </c>
    </row>
    <row r="20" spans="1:25" ht="37.5" customHeight="1" x14ac:dyDescent="0.25">
      <c r="A20" s="6"/>
      <c r="B20" s="8"/>
      <c r="C20" s="8"/>
      <c r="D20" s="8"/>
      <c r="E20" s="8"/>
      <c r="F20" s="8"/>
      <c r="G20" s="8"/>
      <c r="H20" s="11"/>
      <c r="I20" s="14"/>
      <c r="J20" s="4" t="e">
        <f t="shared" si="0"/>
        <v>#N/A</v>
      </c>
      <c r="T20" s="4" t="e">
        <f>+INDEX([1]GOLF!$E$2:$E$1990,MATCH(B20,[1]GOLF!$C$2:$C$1990,0))</f>
        <v>#N/A</v>
      </c>
      <c r="U20" s="4" t="s">
        <v>13</v>
      </c>
      <c r="V20" s="4" t="e">
        <f>+INDEX([1]GOLF!$G:$G,MATCH(B20,[1]GOLF!$C:$C,0))</f>
        <v>#N/A</v>
      </c>
      <c r="X20" s="4" t="e">
        <f>+VLOOKUP(B20,[1]GOLF!$C:$G,3,0)</f>
        <v>#N/A</v>
      </c>
      <c r="Y20" s="4" t="e">
        <f t="shared" si="1"/>
        <v>#N/A</v>
      </c>
    </row>
    <row r="21" spans="1:25" ht="37.5" customHeight="1" x14ac:dyDescent="0.25">
      <c r="A21" s="6"/>
      <c r="B21" s="8"/>
      <c r="C21" s="8"/>
      <c r="D21" s="8"/>
      <c r="E21" s="8"/>
      <c r="F21" s="8"/>
      <c r="G21" s="8"/>
      <c r="H21" s="11"/>
      <c r="I21" s="14"/>
      <c r="J21" s="4" t="e">
        <f t="shared" si="0"/>
        <v>#N/A</v>
      </c>
      <c r="T21" s="4" t="e">
        <f>+INDEX([1]GOLF!$E$2:$E$1990,MATCH(B21,[1]GOLF!$C$2:$C$1990,0))</f>
        <v>#N/A</v>
      </c>
      <c r="U21" s="4" t="s">
        <v>13</v>
      </c>
      <c r="V21" s="4" t="e">
        <f>+INDEX([1]GOLF!$G:$G,MATCH(B21,[1]GOLF!$C:$C,0))</f>
        <v>#N/A</v>
      </c>
      <c r="X21" s="4" t="e">
        <f>+VLOOKUP(B21,[1]GOLF!$C:$G,3,0)</f>
        <v>#N/A</v>
      </c>
      <c r="Y21" s="4" t="e">
        <f t="shared" si="1"/>
        <v>#N/A</v>
      </c>
    </row>
    <row r="22" spans="1:25" ht="37.5" customHeight="1" x14ac:dyDescent="0.25">
      <c r="A22" s="6"/>
      <c r="B22" s="8"/>
      <c r="C22" s="8"/>
      <c r="D22" s="8"/>
      <c r="E22" s="8"/>
      <c r="F22" s="8"/>
      <c r="G22" s="8"/>
      <c r="H22" s="11"/>
      <c r="I22" s="14"/>
      <c r="J22" s="4" t="e">
        <f t="shared" si="0"/>
        <v>#N/A</v>
      </c>
      <c r="T22" s="4" t="e">
        <f>+INDEX([1]GOLF!$E$2:$E$1990,MATCH(B22,[1]GOLF!$C$2:$C$1990,0))</f>
        <v>#N/A</v>
      </c>
      <c r="U22" s="4" t="s">
        <v>13</v>
      </c>
      <c r="V22" s="4" t="e">
        <f>+INDEX([1]GOLF!$G:$G,MATCH(B22,[1]GOLF!$C:$C,0))</f>
        <v>#N/A</v>
      </c>
      <c r="X22" s="4" t="e">
        <f>+VLOOKUP(B22,[1]GOLF!$C:$G,3,0)</f>
        <v>#N/A</v>
      </c>
      <c r="Y22" s="4" t="e">
        <f t="shared" si="1"/>
        <v>#N/A</v>
      </c>
    </row>
    <row r="23" spans="1:25" ht="37.5" customHeight="1" x14ac:dyDescent="0.25">
      <c r="A23" s="6"/>
      <c r="B23" s="8"/>
      <c r="C23" s="8"/>
      <c r="D23" s="8"/>
      <c r="E23" s="8"/>
      <c r="F23" s="8"/>
      <c r="G23" s="8"/>
      <c r="H23" s="11"/>
      <c r="I23" s="14"/>
      <c r="J23" s="4" t="e">
        <f t="shared" si="0"/>
        <v>#N/A</v>
      </c>
      <c r="T23" s="4" t="e">
        <f>+INDEX([1]GOLF!$E$2:$E$1990,MATCH(B23,[1]GOLF!$C$2:$C$1990,0))</f>
        <v>#N/A</v>
      </c>
      <c r="U23" s="4" t="s">
        <v>13</v>
      </c>
      <c r="V23" s="4" t="e">
        <f>+INDEX([1]GOLF!$G:$G,MATCH(B23,[1]GOLF!$C:$C,0))</f>
        <v>#N/A</v>
      </c>
      <c r="X23" s="4" t="e">
        <f>+VLOOKUP(B23,[1]GOLF!$C:$G,3,0)</f>
        <v>#N/A</v>
      </c>
      <c r="Y23" s="4" t="e">
        <f t="shared" si="1"/>
        <v>#N/A</v>
      </c>
    </row>
    <row r="24" spans="1:25" ht="37.5" customHeight="1" x14ac:dyDescent="0.25">
      <c r="A24" s="6"/>
      <c r="B24" s="8"/>
      <c r="C24" s="8"/>
      <c r="D24" s="8"/>
      <c r="E24" s="8"/>
      <c r="F24" s="8"/>
      <c r="G24" s="8"/>
      <c r="H24" s="11"/>
      <c r="I24" s="14"/>
      <c r="J24" s="4" t="e">
        <f t="shared" si="0"/>
        <v>#N/A</v>
      </c>
      <c r="T24" s="4" t="e">
        <f>+INDEX([1]GOLF!$E$2:$E$1990,MATCH(B24,[1]GOLF!$C$2:$C$1990,0))</f>
        <v>#N/A</v>
      </c>
      <c r="U24" s="4" t="s">
        <v>13</v>
      </c>
      <c r="V24" s="4" t="e">
        <f>+INDEX([1]GOLF!$G:$G,MATCH(B24,[1]GOLF!$C:$C,0))</f>
        <v>#N/A</v>
      </c>
      <c r="X24" s="4" t="e">
        <f>+VLOOKUP(B24,[1]GOLF!$C:$G,3,0)</f>
        <v>#N/A</v>
      </c>
      <c r="Y24" s="4" t="e">
        <f t="shared" si="1"/>
        <v>#N/A</v>
      </c>
    </row>
    <row r="25" spans="1:25" ht="37.5" customHeight="1" x14ac:dyDescent="0.25">
      <c r="A25" s="6"/>
      <c r="B25" s="8"/>
      <c r="C25" s="8"/>
      <c r="D25" s="8"/>
      <c r="E25" s="8"/>
      <c r="F25" s="8"/>
      <c r="G25" s="8"/>
      <c r="H25" s="11"/>
      <c r="I25" s="14"/>
      <c r="J25" s="4" t="e">
        <f t="shared" si="0"/>
        <v>#N/A</v>
      </c>
      <c r="T25" s="4" t="e">
        <f>+INDEX([1]GOLF!$E$2:$E$1990,MATCH(B25,[1]GOLF!$C$2:$C$1990,0))</f>
        <v>#N/A</v>
      </c>
      <c r="U25" s="4" t="s">
        <v>13</v>
      </c>
      <c r="V25" s="4" t="e">
        <f>+INDEX([1]GOLF!$G:$G,MATCH(B25,[1]GOLF!$C:$C,0))</f>
        <v>#N/A</v>
      </c>
      <c r="X25" s="4" t="e">
        <f>+VLOOKUP(B25,[1]GOLF!$C:$G,3,0)</f>
        <v>#N/A</v>
      </c>
      <c r="Y25" s="4" t="e">
        <f>+X25=T25</f>
        <v>#N/A</v>
      </c>
    </row>
    <row r="26" spans="1:25" ht="37.5" customHeight="1" x14ac:dyDescent="0.25">
      <c r="A26" s="6"/>
      <c r="B26" s="8"/>
      <c r="C26" s="8"/>
      <c r="D26" s="8"/>
      <c r="E26" s="8"/>
      <c r="F26" s="8"/>
      <c r="G26" s="8"/>
      <c r="H26" s="11"/>
      <c r="I26" s="14"/>
      <c r="J26" s="4" t="e">
        <f t="shared" si="0"/>
        <v>#N/A</v>
      </c>
      <c r="T26" s="4" t="e">
        <f>+INDEX([1]GOLF!$E$2:$E$1990,MATCH(B26,[1]GOLF!$C$2:$C$1990,0))</f>
        <v>#N/A</v>
      </c>
      <c r="U26" s="4" t="s">
        <v>13</v>
      </c>
      <c r="V26" s="4" t="e">
        <f>+INDEX([1]GOLF!$G:$G,MATCH(B26,[1]GOLF!$C:$C,0))</f>
        <v>#N/A</v>
      </c>
      <c r="X26" s="4" t="e">
        <f>+VLOOKUP(B26,[1]GOLF!$C:$G,3,0)</f>
        <v>#N/A</v>
      </c>
      <c r="Y26" s="4" t="e">
        <f t="shared" si="1"/>
        <v>#N/A</v>
      </c>
    </row>
    <row r="27" spans="1:25" ht="37.5" customHeight="1" x14ac:dyDescent="0.25">
      <c r="A27" s="6"/>
      <c r="B27" s="8"/>
      <c r="C27" s="8"/>
      <c r="D27" s="8"/>
      <c r="E27" s="8"/>
      <c r="F27" s="8"/>
      <c r="G27" s="8"/>
      <c r="H27" s="11"/>
      <c r="I27" s="14"/>
      <c r="J27" s="4" t="e">
        <f t="shared" si="0"/>
        <v>#N/A</v>
      </c>
      <c r="T27" s="4" t="e">
        <f>+INDEX([1]GOLF!$E$2:$E$1990,MATCH(B27,[1]GOLF!$C$2:$C$1990,0))</f>
        <v>#N/A</v>
      </c>
      <c r="U27" s="4" t="s">
        <v>13</v>
      </c>
      <c r="V27" s="4" t="e">
        <f>+INDEX([1]GOLF!$G:$G,MATCH(B27,[1]GOLF!$C:$C,0))</f>
        <v>#N/A</v>
      </c>
      <c r="X27" s="4" t="e">
        <f>+VLOOKUP(B27,[1]GOLF!$C:$G,3,0)</f>
        <v>#N/A</v>
      </c>
      <c r="Y27" s="4" t="e">
        <f t="shared" si="1"/>
        <v>#N/A</v>
      </c>
    </row>
    <row r="28" spans="1:25" ht="37.5" customHeight="1" x14ac:dyDescent="0.25">
      <c r="A28" s="6"/>
      <c r="B28" s="8"/>
      <c r="C28" s="8"/>
      <c r="D28" s="8"/>
      <c r="E28" s="8"/>
      <c r="F28" s="8"/>
      <c r="G28" s="8"/>
      <c r="H28" s="11"/>
      <c r="I28" s="14"/>
      <c r="J28" s="4" t="e">
        <f t="shared" si="0"/>
        <v>#N/A</v>
      </c>
      <c r="T28" s="4" t="e">
        <f>+INDEX([1]GOLF!$E$2:$E$1990,MATCH(B28,[1]GOLF!$C$2:$C$1990,0))</f>
        <v>#N/A</v>
      </c>
      <c r="U28" s="4" t="s">
        <v>13</v>
      </c>
      <c r="V28" s="4" t="e">
        <f>+INDEX([1]GOLF!$G:$G,MATCH(B28,[1]GOLF!$C:$C,0))</f>
        <v>#N/A</v>
      </c>
      <c r="X28" s="4" t="e">
        <f>+VLOOKUP(B28,[1]GOLF!$C:$G,3,0)</f>
        <v>#N/A</v>
      </c>
      <c r="Y28" s="4" t="e">
        <f t="shared" si="1"/>
        <v>#N/A</v>
      </c>
    </row>
    <row r="29" spans="1:25" ht="37.5" customHeight="1" x14ac:dyDescent="0.25">
      <c r="A29" s="6"/>
      <c r="B29" s="8"/>
      <c r="C29" s="8"/>
      <c r="D29" s="8"/>
      <c r="E29" s="8"/>
      <c r="F29" s="8"/>
      <c r="G29" s="8"/>
      <c r="H29" s="11"/>
      <c r="I29" s="14"/>
      <c r="J29" s="4" t="e">
        <f t="shared" si="0"/>
        <v>#N/A</v>
      </c>
      <c r="T29" s="4" t="e">
        <f>+INDEX([1]GOLF!$E$2:$E$1990,MATCH(B29,[1]GOLF!$C$2:$C$1990,0))</f>
        <v>#N/A</v>
      </c>
      <c r="U29" s="4" t="s">
        <v>13</v>
      </c>
      <c r="V29" s="4" t="e">
        <f>+INDEX([1]GOLF!$G:$G,MATCH(B29,[1]GOLF!$C:$C,0))</f>
        <v>#N/A</v>
      </c>
      <c r="X29" s="4" t="e">
        <f>+VLOOKUP(B29,[1]GOLF!$C:$G,3,0)</f>
        <v>#N/A</v>
      </c>
      <c r="Y29" s="4" t="e">
        <f t="shared" si="1"/>
        <v>#N/A</v>
      </c>
    </row>
    <row r="30" spans="1:25" ht="37.5" customHeight="1" x14ac:dyDescent="0.25">
      <c r="A30" s="6"/>
      <c r="B30" s="8"/>
      <c r="C30" s="8"/>
      <c r="D30" s="8"/>
      <c r="E30" s="8"/>
      <c r="F30" s="8"/>
      <c r="G30" s="8"/>
      <c r="H30" s="11"/>
      <c r="I30" s="14"/>
      <c r="J30" s="4" t="e">
        <f t="shared" si="0"/>
        <v>#N/A</v>
      </c>
      <c r="T30" s="4" t="e">
        <f>+INDEX([1]GOLF!$E$2:$E$1990,MATCH(B30,[1]GOLF!$C$2:$C$1990,0))</f>
        <v>#N/A</v>
      </c>
      <c r="U30" s="4" t="s">
        <v>13</v>
      </c>
      <c r="V30" s="4" t="e">
        <f>+INDEX([1]GOLF!$G:$G,MATCH(B30,[1]GOLF!$C:$C,0))</f>
        <v>#N/A</v>
      </c>
      <c r="X30" s="4" t="e">
        <f>+VLOOKUP(B30,[1]GOLF!$C:$G,3,0)</f>
        <v>#N/A</v>
      </c>
      <c r="Y30" s="4" t="e">
        <f t="shared" si="1"/>
        <v>#N/A</v>
      </c>
    </row>
    <row r="31" spans="1:25" ht="37.5" customHeight="1" x14ac:dyDescent="0.25">
      <c r="A31" s="6"/>
      <c r="B31" s="8"/>
      <c r="C31" s="8"/>
      <c r="D31" s="8"/>
      <c r="E31" s="8"/>
      <c r="F31" s="8"/>
      <c r="G31" s="8"/>
      <c r="H31" s="11"/>
      <c r="I31" s="14"/>
      <c r="J31" s="4" t="e">
        <f t="shared" si="0"/>
        <v>#N/A</v>
      </c>
      <c r="T31" s="4" t="e">
        <f>+INDEX([1]GOLF!$E$2:$E$1990,MATCH(B31,[1]GOLF!$C$2:$C$1990,0))</f>
        <v>#N/A</v>
      </c>
      <c r="U31" s="4" t="s">
        <v>13</v>
      </c>
      <c r="V31" s="4" t="e">
        <f>+INDEX([1]GOLF!$G:$G,MATCH(B31,[1]GOLF!$C:$C,0))</f>
        <v>#N/A</v>
      </c>
      <c r="X31" s="4" t="e">
        <f>+VLOOKUP(B31,[1]GOLF!$C:$G,3,0)</f>
        <v>#N/A</v>
      </c>
      <c r="Y31" s="4" t="e">
        <f t="shared" si="1"/>
        <v>#N/A</v>
      </c>
    </row>
    <row r="32" spans="1:25" ht="37.5" customHeight="1" x14ac:dyDescent="0.25">
      <c r="A32" s="6"/>
      <c r="B32" s="8"/>
      <c r="C32" s="8"/>
      <c r="D32" s="8"/>
      <c r="E32" s="8"/>
      <c r="F32" s="8"/>
      <c r="G32" s="8"/>
      <c r="H32" s="11"/>
      <c r="I32" s="14"/>
      <c r="J32" s="4" t="e">
        <f t="shared" si="0"/>
        <v>#N/A</v>
      </c>
      <c r="T32" s="4" t="e">
        <f>+INDEX([1]GOLF!$E$2:$E$1990,MATCH(B32,[1]GOLF!$C$2:$C$1990,0))</f>
        <v>#N/A</v>
      </c>
      <c r="U32" s="4" t="s">
        <v>13</v>
      </c>
      <c r="V32" s="4" t="e">
        <f>+INDEX([1]GOLF!$G:$G,MATCH(B32,[1]GOLF!$C:$C,0))</f>
        <v>#N/A</v>
      </c>
      <c r="X32" s="4" t="e">
        <f>+VLOOKUP(B32,[1]GOLF!$C:$G,3,0)</f>
        <v>#N/A</v>
      </c>
      <c r="Y32" s="4" t="e">
        <f t="shared" si="1"/>
        <v>#N/A</v>
      </c>
    </row>
    <row r="33" spans="1:25" ht="37.5" customHeight="1" x14ac:dyDescent="0.25">
      <c r="A33" s="6"/>
      <c r="B33" s="8"/>
      <c r="C33" s="8"/>
      <c r="D33" s="8"/>
      <c r="E33" s="8"/>
      <c r="F33" s="8"/>
      <c r="G33" s="8"/>
      <c r="H33" s="11"/>
      <c r="I33" s="14"/>
      <c r="J33" s="4" t="e">
        <f t="shared" si="0"/>
        <v>#N/A</v>
      </c>
      <c r="T33" s="4" t="e">
        <f>+INDEX([1]GOLF!$E$2:$E$1990,MATCH(B33,[1]GOLF!$C$2:$C$1990,0))</f>
        <v>#N/A</v>
      </c>
      <c r="U33" s="4" t="s">
        <v>13</v>
      </c>
      <c r="V33" s="4" t="e">
        <f>+INDEX([1]GOLF!$G:$G,MATCH(B33,[1]GOLF!$C:$C,0))</f>
        <v>#N/A</v>
      </c>
      <c r="X33" s="4" t="e">
        <f>+VLOOKUP(B33,[1]GOLF!$C:$G,3,0)</f>
        <v>#N/A</v>
      </c>
      <c r="Y33" s="4" t="e">
        <f t="shared" si="1"/>
        <v>#N/A</v>
      </c>
    </row>
    <row r="34" spans="1:25" ht="37.5" customHeight="1" x14ac:dyDescent="0.25">
      <c r="A34" s="6"/>
      <c r="B34" s="8"/>
      <c r="C34" s="8"/>
      <c r="D34" s="8"/>
      <c r="E34" s="8"/>
      <c r="F34" s="8"/>
      <c r="G34" s="8"/>
      <c r="H34" s="11"/>
      <c r="I34" s="14"/>
      <c r="J34" s="4" t="e">
        <f t="shared" si="0"/>
        <v>#N/A</v>
      </c>
      <c r="T34" s="4" t="e">
        <f>+INDEX([1]GOLF!$E$2:$E$1990,MATCH(B34,[1]GOLF!$C$2:$C$1990,0))</f>
        <v>#N/A</v>
      </c>
      <c r="U34" s="4" t="s">
        <v>13</v>
      </c>
      <c r="V34" s="4" t="e">
        <f>+INDEX([1]GOLF!$G:$G,MATCH(B34,[1]GOLF!$C:$C,0))</f>
        <v>#N/A</v>
      </c>
      <c r="X34" s="4" t="e">
        <f>+VLOOKUP(B34,[1]GOLF!$C:$G,3,0)</f>
        <v>#N/A</v>
      </c>
      <c r="Y34" s="4" t="e">
        <f t="shared" si="1"/>
        <v>#N/A</v>
      </c>
    </row>
    <row r="35" spans="1:25" ht="37.5" customHeight="1" x14ac:dyDescent="0.25">
      <c r="A35" s="6"/>
      <c r="B35" s="8"/>
      <c r="C35" s="8"/>
      <c r="D35" s="8"/>
      <c r="E35" s="8"/>
      <c r="F35" s="8"/>
      <c r="G35" s="8"/>
      <c r="H35" s="11"/>
      <c r="I35" s="14"/>
      <c r="J35" s="4" t="e">
        <f t="shared" si="0"/>
        <v>#N/A</v>
      </c>
      <c r="T35" s="4" t="e">
        <f>+INDEX([1]GOLF!$E$2:$E$1990,MATCH(B35,[1]GOLF!$C$2:$C$1990,0))</f>
        <v>#N/A</v>
      </c>
      <c r="U35" s="4" t="s">
        <v>13</v>
      </c>
      <c r="V35" s="4" t="e">
        <f>+INDEX([1]GOLF!$G:$G,MATCH(B35,[1]GOLF!$C:$C,0))</f>
        <v>#N/A</v>
      </c>
      <c r="X35" s="4" t="e">
        <f>+VLOOKUP(B35,[1]GOLF!$C:$G,3,0)</f>
        <v>#N/A</v>
      </c>
      <c r="Y35" s="4" t="e">
        <f t="shared" si="1"/>
        <v>#N/A</v>
      </c>
    </row>
    <row r="36" spans="1:25" ht="37.5" customHeight="1" x14ac:dyDescent="0.25">
      <c r="A36" s="6"/>
      <c r="B36" s="8"/>
      <c r="C36" s="8"/>
      <c r="D36" s="8"/>
      <c r="E36" s="8"/>
      <c r="F36" s="8"/>
      <c r="G36" s="8"/>
      <c r="H36" s="11"/>
      <c r="I36" s="14"/>
      <c r="J36" s="4" t="e">
        <f t="shared" si="0"/>
        <v>#N/A</v>
      </c>
      <c r="T36" s="4" t="e">
        <f>+INDEX([1]GOLF!$E$2:$E$1990,MATCH(B36,[1]GOLF!$C$2:$C$1990,0))</f>
        <v>#N/A</v>
      </c>
      <c r="U36" s="4" t="s">
        <v>13</v>
      </c>
      <c r="V36" s="4" t="e">
        <f>+INDEX([1]GOLF!$G:$G,MATCH(B36,[1]GOLF!$C:$C,0))</f>
        <v>#N/A</v>
      </c>
      <c r="X36" s="4" t="e">
        <f>+VLOOKUP(B36,[1]GOLF!$C:$G,3,0)</f>
        <v>#N/A</v>
      </c>
      <c r="Y36" s="4" t="e">
        <f t="shared" si="1"/>
        <v>#N/A</v>
      </c>
    </row>
    <row r="37" spans="1:25" ht="37.5" customHeight="1" x14ac:dyDescent="0.25">
      <c r="A37" s="6"/>
      <c r="B37" s="8"/>
      <c r="C37" s="8"/>
      <c r="D37" s="8"/>
      <c r="E37" s="8"/>
      <c r="F37" s="8"/>
      <c r="G37" s="8"/>
      <c r="H37" s="11"/>
      <c r="I37" s="14"/>
      <c r="J37" s="4" t="e">
        <f t="shared" si="0"/>
        <v>#N/A</v>
      </c>
      <c r="T37" s="4" t="e">
        <f>+INDEX([1]GOLF!$E$2:$E$1990,MATCH(B37,[1]GOLF!$C$2:$C$1990,0))</f>
        <v>#N/A</v>
      </c>
      <c r="U37" s="4" t="s">
        <v>13</v>
      </c>
      <c r="V37" s="4" t="e">
        <f>+INDEX([1]GOLF!$G:$G,MATCH(B37,[1]GOLF!$C:$C,0))</f>
        <v>#N/A</v>
      </c>
      <c r="X37" s="4" t="e">
        <f>+VLOOKUP(B37,[1]GOLF!$C:$G,3,0)</f>
        <v>#N/A</v>
      </c>
      <c r="Y37" s="4" t="e">
        <f t="shared" si="1"/>
        <v>#N/A</v>
      </c>
    </row>
    <row r="38" spans="1:25" ht="37.5" customHeight="1" x14ac:dyDescent="0.25">
      <c r="A38" s="6"/>
      <c r="B38" s="8"/>
      <c r="C38" s="8"/>
      <c r="D38" s="8"/>
      <c r="E38" s="8"/>
      <c r="F38" s="8"/>
      <c r="G38" s="8"/>
      <c r="H38" s="11"/>
      <c r="I38" s="14"/>
      <c r="J38" s="4" t="e">
        <f t="shared" si="0"/>
        <v>#N/A</v>
      </c>
      <c r="T38" s="4" t="e">
        <f>+INDEX([1]GOLF!$E$2:$E$1990,MATCH(B38,[1]GOLF!$C$2:$C$1990,0))</f>
        <v>#N/A</v>
      </c>
      <c r="U38" s="4" t="s">
        <v>13</v>
      </c>
      <c r="V38" s="4" t="e">
        <f>+INDEX([1]GOLF!$G:$G,MATCH(B38,[1]GOLF!$C:$C,0))</f>
        <v>#N/A</v>
      </c>
      <c r="X38" s="4" t="e">
        <f>+VLOOKUP(B38,[1]GOLF!$C:$G,3,0)</f>
        <v>#N/A</v>
      </c>
      <c r="Y38" s="4" t="e">
        <f t="shared" si="1"/>
        <v>#N/A</v>
      </c>
    </row>
    <row r="39" spans="1:25" ht="37.5" customHeight="1" x14ac:dyDescent="0.25">
      <c r="A39" s="6"/>
      <c r="B39" s="8"/>
      <c r="C39" s="8"/>
      <c r="D39" s="8"/>
      <c r="E39" s="8"/>
      <c r="F39" s="8"/>
      <c r="G39" s="8"/>
      <c r="H39" s="11"/>
      <c r="I39" s="14"/>
      <c r="J39" s="4" t="e">
        <f t="shared" si="0"/>
        <v>#N/A</v>
      </c>
      <c r="T39" s="4" t="e">
        <f>+INDEX([1]GOLF!$E$2:$E$1990,MATCH(B39,[1]GOLF!$C$2:$C$1990,0))</f>
        <v>#N/A</v>
      </c>
      <c r="U39" s="4" t="s">
        <v>13</v>
      </c>
      <c r="V39" s="4" t="e">
        <f>+INDEX([1]GOLF!$G:$G,MATCH(B39,[1]GOLF!$C:$C,0))</f>
        <v>#N/A</v>
      </c>
      <c r="X39" s="4" t="e">
        <f>+VLOOKUP(B39,[1]GOLF!$C:$G,3,0)</f>
        <v>#N/A</v>
      </c>
      <c r="Y39" s="4" t="e">
        <f t="shared" si="1"/>
        <v>#N/A</v>
      </c>
    </row>
    <row r="40" spans="1:25" ht="37.5" customHeight="1" x14ac:dyDescent="0.25">
      <c r="A40" s="6"/>
      <c r="B40" s="8"/>
      <c r="C40" s="8"/>
      <c r="D40" s="8"/>
      <c r="E40" s="8"/>
      <c r="F40" s="8"/>
      <c r="G40" s="8"/>
      <c r="H40" s="11"/>
      <c r="I40" s="14"/>
      <c r="J40" s="4" t="e">
        <f t="shared" si="0"/>
        <v>#N/A</v>
      </c>
      <c r="T40" s="4" t="e">
        <f>+INDEX([1]GOLF!$E$2:$E$1990,MATCH(B40,[1]GOLF!$C$2:$C$1990,0))</f>
        <v>#N/A</v>
      </c>
      <c r="U40" s="4" t="s">
        <v>13</v>
      </c>
      <c r="V40" s="4" t="e">
        <f>+INDEX([1]GOLF!$G:$G,MATCH(B40,[1]GOLF!$C:$C,0))</f>
        <v>#N/A</v>
      </c>
      <c r="X40" s="4" t="e">
        <f>+VLOOKUP(B40,[1]GOLF!$C:$G,3,0)</f>
        <v>#N/A</v>
      </c>
      <c r="Y40" s="4" t="e">
        <f t="shared" si="1"/>
        <v>#N/A</v>
      </c>
    </row>
    <row r="41" spans="1:25" ht="37.5" customHeight="1" x14ac:dyDescent="0.25">
      <c r="A41" s="6"/>
      <c r="B41" s="8"/>
      <c r="C41" s="8"/>
      <c r="D41" s="8"/>
      <c r="E41" s="8"/>
      <c r="F41" s="8"/>
      <c r="G41" s="8"/>
      <c r="H41" s="11"/>
      <c r="I41" s="14"/>
      <c r="J41" s="4" t="e">
        <f t="shared" si="0"/>
        <v>#N/A</v>
      </c>
      <c r="T41" s="4" t="e">
        <f>+INDEX([1]GOLF!$E$2:$E$1990,MATCH(B41,[1]GOLF!$C$2:$C$1990,0))</f>
        <v>#N/A</v>
      </c>
      <c r="U41" s="4" t="s">
        <v>13</v>
      </c>
      <c r="V41" s="4" t="e">
        <f>+INDEX([1]GOLF!$G:$G,MATCH(B41,[1]GOLF!$C:$C,0))</f>
        <v>#N/A</v>
      </c>
      <c r="X41" s="4" t="e">
        <f>+VLOOKUP(B41,[1]GOLF!$C:$G,3,0)</f>
        <v>#N/A</v>
      </c>
      <c r="Y41" s="4" t="e">
        <f t="shared" si="1"/>
        <v>#N/A</v>
      </c>
    </row>
    <row r="42" spans="1:25" ht="37.5" customHeight="1" x14ac:dyDescent="0.25">
      <c r="A42" s="6"/>
      <c r="B42" s="8"/>
      <c r="C42" s="8"/>
      <c r="D42" s="8"/>
      <c r="E42" s="8"/>
      <c r="F42" s="8"/>
      <c r="G42" s="8"/>
      <c r="H42" s="11"/>
      <c r="I42" s="14"/>
      <c r="J42" s="4" t="e">
        <f t="shared" si="0"/>
        <v>#N/A</v>
      </c>
      <c r="T42" s="4" t="e">
        <f>+INDEX([1]GOLF!$E$2:$E$1990,MATCH(B42,[1]GOLF!$C$2:$C$1990,0))</f>
        <v>#N/A</v>
      </c>
      <c r="U42" s="4" t="s">
        <v>13</v>
      </c>
      <c r="V42" s="4" t="e">
        <f>+INDEX([1]GOLF!$G:$G,MATCH(B42,[1]GOLF!$C:$C,0))</f>
        <v>#N/A</v>
      </c>
      <c r="X42" s="4" t="e">
        <f>+VLOOKUP(B42,[1]GOLF!$C:$G,3,0)</f>
        <v>#N/A</v>
      </c>
      <c r="Y42" s="4" t="e">
        <f t="shared" si="1"/>
        <v>#N/A</v>
      </c>
    </row>
    <row r="43" spans="1:25" ht="37.5" customHeight="1" x14ac:dyDescent="0.25">
      <c r="A43" s="6"/>
      <c r="B43" s="8"/>
      <c r="C43" s="8"/>
      <c r="D43" s="8"/>
      <c r="E43" s="8"/>
      <c r="F43" s="8"/>
      <c r="G43" s="8"/>
      <c r="H43" s="11"/>
      <c r="I43" s="14"/>
      <c r="J43" s="4" t="e">
        <f t="shared" si="0"/>
        <v>#N/A</v>
      </c>
      <c r="T43" s="4" t="e">
        <f>+INDEX([1]GOLF!$E$2:$E$1990,MATCH(B43,[1]GOLF!$C$2:$C$1990,0))</f>
        <v>#N/A</v>
      </c>
      <c r="U43" s="4" t="s">
        <v>13</v>
      </c>
      <c r="V43" s="4" t="e">
        <f>+INDEX([1]GOLF!$G:$G,MATCH(B43,[1]GOLF!$C:$C,0))</f>
        <v>#N/A</v>
      </c>
      <c r="X43" s="4" t="e">
        <f>+VLOOKUP(B43,[1]GOLF!$C:$G,3,0)</f>
        <v>#N/A</v>
      </c>
      <c r="Y43" s="4" t="e">
        <f t="shared" si="1"/>
        <v>#N/A</v>
      </c>
    </row>
    <row r="44" spans="1:25" ht="37.5" customHeight="1" x14ac:dyDescent="0.25">
      <c r="A44" s="6"/>
      <c r="B44" s="8"/>
      <c r="C44" s="8"/>
      <c r="D44" s="8"/>
      <c r="E44" s="8"/>
      <c r="F44" s="8"/>
      <c r="G44" s="8"/>
      <c r="H44" s="11"/>
      <c r="I44" s="14"/>
      <c r="J44" s="4" t="e">
        <f t="shared" si="0"/>
        <v>#N/A</v>
      </c>
      <c r="T44" s="4" t="e">
        <f>+INDEX([1]GOLF!$E$2:$E$1990,MATCH(B44,[1]GOLF!$C$2:$C$1990,0))</f>
        <v>#N/A</v>
      </c>
      <c r="U44" s="4" t="s">
        <v>13</v>
      </c>
      <c r="V44" s="4" t="e">
        <f>+INDEX([1]GOLF!$G:$G,MATCH(B44,[1]GOLF!$C:$C,0))</f>
        <v>#N/A</v>
      </c>
      <c r="X44" s="4" t="e">
        <f>+VLOOKUP(B44,[1]GOLF!$C:$G,3,0)</f>
        <v>#N/A</v>
      </c>
      <c r="Y44" s="4" t="e">
        <f t="shared" si="1"/>
        <v>#N/A</v>
      </c>
    </row>
    <row r="45" spans="1:25" ht="37.5" customHeight="1" x14ac:dyDescent="0.25">
      <c r="A45" s="6"/>
      <c r="B45" s="8"/>
      <c r="C45" s="8"/>
      <c r="D45" s="8"/>
      <c r="E45" s="8"/>
      <c r="F45" s="8"/>
      <c r="G45" s="8"/>
      <c r="H45" s="11"/>
      <c r="I45" s="14"/>
      <c r="J45" s="4" t="e">
        <f t="shared" si="0"/>
        <v>#N/A</v>
      </c>
      <c r="T45" s="4" t="e">
        <f>+INDEX([1]GOLF!$E$2:$E$1990,MATCH(B45,[1]GOLF!$C$2:$C$1990,0))</f>
        <v>#N/A</v>
      </c>
      <c r="U45" s="4" t="s">
        <v>13</v>
      </c>
      <c r="V45" s="4" t="e">
        <f>+INDEX([1]GOLF!$G:$G,MATCH(B45,[1]GOLF!$C:$C,0))</f>
        <v>#N/A</v>
      </c>
      <c r="X45" s="4" t="e">
        <f>+VLOOKUP(B45,[1]GOLF!$C:$G,3,0)</f>
        <v>#N/A</v>
      </c>
      <c r="Y45" s="4" t="e">
        <f t="shared" si="1"/>
        <v>#N/A</v>
      </c>
    </row>
    <row r="46" spans="1:25" ht="37.5" customHeight="1" x14ac:dyDescent="0.25">
      <c r="A46" s="6"/>
      <c r="B46" s="8"/>
      <c r="C46" s="8"/>
      <c r="D46" s="8"/>
      <c r="E46" s="8"/>
      <c r="F46" s="8"/>
      <c r="G46" s="8"/>
      <c r="H46" s="11"/>
      <c r="I46" s="14"/>
      <c r="J46" s="4" t="e">
        <f t="shared" si="0"/>
        <v>#N/A</v>
      </c>
      <c r="T46" s="4" t="e">
        <f>+INDEX([1]GOLF!$E$2:$E$1990,MATCH(B46,[1]GOLF!$C$2:$C$1990,0))</f>
        <v>#N/A</v>
      </c>
      <c r="U46" s="4" t="s">
        <v>13</v>
      </c>
      <c r="V46" s="4" t="e">
        <f>+INDEX([1]GOLF!$G:$G,MATCH(B46,[1]GOLF!$C:$C,0))</f>
        <v>#N/A</v>
      </c>
      <c r="X46" s="4" t="e">
        <f>+VLOOKUP(B46,[1]GOLF!$C:$G,3,0)</f>
        <v>#N/A</v>
      </c>
      <c r="Y46" s="4" t="e">
        <f t="shared" si="1"/>
        <v>#N/A</v>
      </c>
    </row>
    <row r="47" spans="1:25" ht="37.5" customHeight="1" x14ac:dyDescent="0.25">
      <c r="A47" s="6"/>
      <c r="B47" s="8"/>
      <c r="C47" s="8"/>
      <c r="D47" s="8"/>
      <c r="E47" s="8"/>
      <c r="F47" s="8"/>
      <c r="G47" s="8"/>
      <c r="H47" s="11"/>
      <c r="I47" s="14"/>
      <c r="J47" s="4" t="e">
        <f t="shared" si="0"/>
        <v>#N/A</v>
      </c>
      <c r="T47" s="4" t="e">
        <f>+INDEX([1]GOLF!$E$2:$E$1990,MATCH(B47,[1]GOLF!$C$2:$C$1990,0))</f>
        <v>#N/A</v>
      </c>
      <c r="U47" s="4" t="s">
        <v>13</v>
      </c>
      <c r="V47" s="4" t="e">
        <f>+INDEX([1]GOLF!$G:$G,MATCH(B47,[1]GOLF!$C:$C,0))</f>
        <v>#N/A</v>
      </c>
      <c r="X47" s="4" t="e">
        <f>+VLOOKUP(B47,[1]GOLF!$C:$G,3,0)</f>
        <v>#N/A</v>
      </c>
      <c r="Y47" s="4" t="e">
        <f t="shared" si="1"/>
        <v>#N/A</v>
      </c>
    </row>
    <row r="48" spans="1:25" ht="37.5" customHeight="1" x14ac:dyDescent="0.25">
      <c r="A48" s="6"/>
      <c r="B48" s="8"/>
      <c r="C48" s="8"/>
      <c r="D48" s="8"/>
      <c r="E48" s="8"/>
      <c r="F48" s="8"/>
      <c r="G48" s="8"/>
      <c r="H48" s="11"/>
      <c r="I48" s="14"/>
      <c r="J48" s="4" t="e">
        <f t="shared" si="0"/>
        <v>#N/A</v>
      </c>
      <c r="T48" s="4" t="e">
        <f>+INDEX([1]GOLF!$E$2:$E$1990,MATCH(B48,[1]GOLF!$C$2:$C$1990,0))</f>
        <v>#N/A</v>
      </c>
      <c r="U48" s="4" t="s">
        <v>13</v>
      </c>
      <c r="V48" s="4" t="e">
        <f>+INDEX([1]GOLF!$G:$G,MATCH(B48,[1]GOLF!$C:$C,0))</f>
        <v>#N/A</v>
      </c>
      <c r="X48" s="4" t="e">
        <f>+VLOOKUP(B48,[1]GOLF!$C:$G,3,0)</f>
        <v>#N/A</v>
      </c>
      <c r="Y48" s="4" t="e">
        <f t="shared" si="1"/>
        <v>#N/A</v>
      </c>
    </row>
    <row r="49" spans="1:25" ht="37.5" customHeight="1" x14ac:dyDescent="0.25">
      <c r="A49" s="6"/>
      <c r="B49" s="8"/>
      <c r="C49" s="8"/>
      <c r="D49" s="8"/>
      <c r="E49" s="8"/>
      <c r="F49" s="8"/>
      <c r="G49" s="8"/>
      <c r="H49" s="11"/>
      <c r="I49" s="14"/>
      <c r="J49" s="4" t="e">
        <f t="shared" si="0"/>
        <v>#N/A</v>
      </c>
      <c r="T49" s="4" t="e">
        <f>+INDEX([1]GOLF!$E$2:$E$1990,MATCH(B49,[1]GOLF!$C$2:$C$1990,0))</f>
        <v>#N/A</v>
      </c>
      <c r="U49" s="4" t="s">
        <v>13</v>
      </c>
      <c r="V49" s="4" t="e">
        <f>+INDEX([1]GOLF!$G:$G,MATCH(B49,[1]GOLF!$C:$C,0))</f>
        <v>#N/A</v>
      </c>
      <c r="X49" s="4" t="e">
        <f>+VLOOKUP(B49,[1]GOLF!$C:$G,3,0)</f>
        <v>#N/A</v>
      </c>
      <c r="Y49" s="4" t="e">
        <f t="shared" si="1"/>
        <v>#N/A</v>
      </c>
    </row>
    <row r="50" spans="1:25" ht="37.5" customHeight="1" x14ac:dyDescent="0.25">
      <c r="A50" s="6"/>
      <c r="B50" s="8"/>
      <c r="C50" s="8"/>
      <c r="D50" s="8"/>
      <c r="E50" s="8"/>
      <c r="F50" s="8"/>
      <c r="G50" s="8"/>
      <c r="H50" s="11"/>
      <c r="I50" s="14"/>
      <c r="J50" s="4" t="e">
        <f t="shared" si="0"/>
        <v>#N/A</v>
      </c>
      <c r="T50" s="4" t="e">
        <f>+INDEX([1]GOLF!$E$2:$E$1990,MATCH(B50,[1]GOLF!$C$2:$C$1990,0))</f>
        <v>#N/A</v>
      </c>
      <c r="U50" s="4" t="s">
        <v>13</v>
      </c>
      <c r="V50" s="4" t="e">
        <f>+INDEX([1]GOLF!$G:$G,MATCH(B50,[1]GOLF!$C:$C,0))</f>
        <v>#N/A</v>
      </c>
      <c r="X50" s="4" t="e">
        <f>+VLOOKUP(B50,[1]GOLF!$C:$G,3,0)</f>
        <v>#N/A</v>
      </c>
      <c r="Y50" s="4" t="e">
        <f t="shared" si="1"/>
        <v>#N/A</v>
      </c>
    </row>
    <row r="51" spans="1:25" ht="37.5" customHeight="1" x14ac:dyDescent="0.25">
      <c r="A51" s="6"/>
      <c r="B51" s="8"/>
      <c r="C51" s="8"/>
      <c r="D51" s="8"/>
      <c r="E51" s="8"/>
      <c r="F51" s="8"/>
      <c r="G51" s="8"/>
      <c r="H51" s="11"/>
      <c r="I51" s="14"/>
      <c r="J51" s="4" t="e">
        <f t="shared" si="0"/>
        <v>#N/A</v>
      </c>
      <c r="T51" s="4" t="e">
        <f>+INDEX([1]GOLF!$E$2:$E$1990,MATCH(B51,[1]GOLF!$C$2:$C$1990,0))</f>
        <v>#N/A</v>
      </c>
      <c r="U51" s="4" t="s">
        <v>13</v>
      </c>
      <c r="V51" s="4" t="e">
        <f>+INDEX([1]GOLF!$G:$G,MATCH(B51,[1]GOLF!$C:$C,0))</f>
        <v>#N/A</v>
      </c>
      <c r="X51" s="4" t="e">
        <f>+VLOOKUP(B51,[1]GOLF!$C:$G,3,0)</f>
        <v>#N/A</v>
      </c>
      <c r="Y51" s="4" t="e">
        <f t="shared" si="1"/>
        <v>#N/A</v>
      </c>
    </row>
    <row r="52" spans="1:25" ht="37.5" customHeight="1" x14ac:dyDescent="0.25">
      <c r="A52" s="6"/>
      <c r="B52" s="8"/>
      <c r="C52" s="8"/>
      <c r="D52" s="8"/>
      <c r="E52" s="8"/>
      <c r="F52" s="8"/>
      <c r="G52" s="8"/>
      <c r="H52" s="11"/>
      <c r="I52" s="14"/>
      <c r="J52" s="4" t="e">
        <f t="shared" si="0"/>
        <v>#N/A</v>
      </c>
      <c r="T52" s="4" t="e">
        <f>+INDEX([1]GOLF!$E$2:$E$1990,MATCH(B52,[1]GOLF!$C$2:$C$1990,0))</f>
        <v>#N/A</v>
      </c>
      <c r="U52" s="4" t="s">
        <v>13</v>
      </c>
      <c r="V52" s="4" t="e">
        <f>+INDEX([1]GOLF!$G:$G,MATCH(B52,[1]GOLF!$C:$C,0))</f>
        <v>#N/A</v>
      </c>
      <c r="X52" s="4" t="e">
        <f>+VLOOKUP(B52,[1]GOLF!$C:$G,3,0)</f>
        <v>#N/A</v>
      </c>
      <c r="Y52" s="4" t="e">
        <f t="shared" si="1"/>
        <v>#N/A</v>
      </c>
    </row>
    <row r="53" spans="1:25" ht="37.5" customHeight="1" x14ac:dyDescent="0.25">
      <c r="A53" s="6"/>
      <c r="B53" s="8"/>
      <c r="C53" s="8"/>
      <c r="D53" s="8"/>
      <c r="E53" s="8"/>
      <c r="F53" s="8"/>
      <c r="G53" s="8"/>
      <c r="H53" s="11"/>
      <c r="I53" s="14"/>
      <c r="J53" s="4" t="e">
        <f t="shared" si="0"/>
        <v>#N/A</v>
      </c>
      <c r="T53" s="4" t="e">
        <f>+INDEX([1]GOLF!$E$2:$E$1990,MATCH(B53,[1]GOLF!$C$2:$C$1990,0))</f>
        <v>#N/A</v>
      </c>
      <c r="U53" s="4" t="s">
        <v>13</v>
      </c>
      <c r="V53" s="4" t="e">
        <f>+INDEX([1]GOLF!$G:$G,MATCH(B53,[1]GOLF!$C:$C,0))</f>
        <v>#N/A</v>
      </c>
      <c r="X53" s="4" t="e">
        <f>+VLOOKUP(B53,[1]GOLF!$C:$G,3,0)</f>
        <v>#N/A</v>
      </c>
      <c r="Y53" s="4" t="e">
        <f t="shared" si="1"/>
        <v>#N/A</v>
      </c>
    </row>
    <row r="54" spans="1:25" ht="37.5" customHeight="1" x14ac:dyDescent="0.25">
      <c r="A54" s="6"/>
      <c r="B54" s="8"/>
      <c r="C54" s="8"/>
      <c r="D54" s="8"/>
      <c r="E54" s="8"/>
      <c r="F54" s="8"/>
      <c r="G54" s="8"/>
      <c r="H54" s="11"/>
      <c r="I54" s="14"/>
      <c r="J54" s="4" t="e">
        <f t="shared" si="0"/>
        <v>#N/A</v>
      </c>
      <c r="T54" s="4" t="e">
        <f>+INDEX([1]GOLF!$E$2:$E$1990,MATCH(B54,[1]GOLF!$C$2:$C$1990,0))</f>
        <v>#N/A</v>
      </c>
      <c r="U54" s="4" t="s">
        <v>13</v>
      </c>
      <c r="V54" s="4" t="e">
        <f>+INDEX([1]GOLF!$G:$G,MATCH(B54,[1]GOLF!$C:$C,0))</f>
        <v>#N/A</v>
      </c>
      <c r="X54" s="4" t="e">
        <f>+VLOOKUP(B54,[1]GOLF!$C:$G,3,0)</f>
        <v>#N/A</v>
      </c>
      <c r="Y54" s="4" t="e">
        <f t="shared" si="1"/>
        <v>#N/A</v>
      </c>
    </row>
    <row r="55" spans="1:25" ht="37.5" customHeight="1" x14ac:dyDescent="0.25">
      <c r="A55" s="6"/>
      <c r="B55" s="8"/>
      <c r="C55" s="8"/>
      <c r="D55" s="8"/>
      <c r="E55" s="8"/>
      <c r="F55" s="8"/>
      <c r="G55" s="8"/>
      <c r="H55" s="11"/>
      <c r="I55" s="14"/>
      <c r="J55" s="4" t="e">
        <f t="shared" si="0"/>
        <v>#N/A</v>
      </c>
      <c r="T55" s="4" t="e">
        <f>+INDEX([1]GOLF!$E$2:$E$1990,MATCH(B55,[1]GOLF!$C$2:$C$1990,0))</f>
        <v>#N/A</v>
      </c>
      <c r="U55" s="4" t="s">
        <v>13</v>
      </c>
      <c r="V55" s="4" t="e">
        <f>+INDEX([1]GOLF!$G:$G,MATCH(B55,[1]GOLF!$C:$C,0))</f>
        <v>#N/A</v>
      </c>
      <c r="X55" s="4" t="e">
        <f>+VLOOKUP(B55,[1]GOLF!$C:$G,3,0)</f>
        <v>#N/A</v>
      </c>
      <c r="Y55" s="4" t="e">
        <f t="shared" si="1"/>
        <v>#N/A</v>
      </c>
    </row>
    <row r="56" spans="1:25" ht="37.5" customHeight="1" x14ac:dyDescent="0.25">
      <c r="A56" s="6"/>
      <c r="B56" s="8"/>
      <c r="C56" s="8"/>
      <c r="D56" s="8"/>
      <c r="E56" s="8"/>
      <c r="F56" s="8"/>
      <c r="G56" s="8"/>
      <c r="H56" s="11"/>
      <c r="I56" s="14"/>
      <c r="J56" s="4" t="e">
        <f t="shared" si="0"/>
        <v>#N/A</v>
      </c>
      <c r="T56" s="4" t="e">
        <f>+INDEX([1]GOLF!$E$2:$E$1990,MATCH(B56,[1]GOLF!$C$2:$C$1990,0))</f>
        <v>#N/A</v>
      </c>
      <c r="U56" s="4" t="s">
        <v>13</v>
      </c>
      <c r="V56" s="4" t="e">
        <f>+INDEX([1]GOLF!$G:$G,MATCH(B56,[1]GOLF!$C:$C,0))</f>
        <v>#N/A</v>
      </c>
      <c r="X56" s="4" t="e">
        <f>+VLOOKUP(B56,[1]GOLF!$C:$G,3,0)</f>
        <v>#N/A</v>
      </c>
      <c r="Y56" s="4" t="e">
        <f t="shared" si="1"/>
        <v>#N/A</v>
      </c>
    </row>
    <row r="57" spans="1:25" ht="37.5" customHeight="1" x14ac:dyDescent="0.25">
      <c r="A57" s="6"/>
      <c r="B57" s="8"/>
      <c r="C57" s="8"/>
      <c r="D57" s="8"/>
      <c r="E57" s="8"/>
      <c r="F57" s="8"/>
      <c r="G57" s="8"/>
      <c r="H57" s="11"/>
      <c r="I57" s="14"/>
      <c r="J57" s="4" t="e">
        <f t="shared" si="0"/>
        <v>#N/A</v>
      </c>
      <c r="T57" s="4" t="e">
        <f>+INDEX([1]GOLF!$E$2:$E$1990,MATCH(B57,[1]GOLF!$C$2:$C$1990,0))</f>
        <v>#N/A</v>
      </c>
      <c r="U57" s="4" t="s">
        <v>13</v>
      </c>
      <c r="V57" s="4" t="e">
        <f>+INDEX([1]GOLF!$G:$G,MATCH(B57,[1]GOLF!$C:$C,0))</f>
        <v>#N/A</v>
      </c>
      <c r="X57" s="4" t="e">
        <f>+VLOOKUP(B57,[1]GOLF!$C:$G,3,0)</f>
        <v>#N/A</v>
      </c>
      <c r="Y57" s="4" t="e">
        <f t="shared" si="1"/>
        <v>#N/A</v>
      </c>
    </row>
    <row r="58" spans="1:25" ht="37.5" customHeight="1" x14ac:dyDescent="0.25">
      <c r="A58" s="6"/>
      <c r="B58" s="8"/>
      <c r="C58" s="8"/>
      <c r="D58" s="8"/>
      <c r="E58" s="8"/>
      <c r="F58" s="8"/>
      <c r="G58" s="8"/>
      <c r="H58" s="11"/>
      <c r="I58" s="14"/>
      <c r="J58" s="4" t="e">
        <f t="shared" si="0"/>
        <v>#N/A</v>
      </c>
      <c r="T58" s="4" t="e">
        <f>+INDEX([1]GOLF!$E$2:$E$1990,MATCH(B58,[1]GOLF!$C$2:$C$1990,0))</f>
        <v>#N/A</v>
      </c>
      <c r="U58" s="4" t="s">
        <v>13</v>
      </c>
      <c r="V58" s="4" t="e">
        <f>+INDEX([1]GOLF!$G:$G,MATCH(B58,[1]GOLF!$C:$C,0))</f>
        <v>#N/A</v>
      </c>
      <c r="X58" s="4" t="e">
        <f>+VLOOKUP(B58,[1]GOLF!$C:$G,3,0)</f>
        <v>#N/A</v>
      </c>
      <c r="Y58" s="4" t="e">
        <f t="shared" si="1"/>
        <v>#N/A</v>
      </c>
    </row>
    <row r="59" spans="1:25" ht="37.5" customHeight="1" x14ac:dyDescent="0.25">
      <c r="A59" s="6"/>
      <c r="B59" s="8"/>
      <c r="C59" s="8"/>
      <c r="D59" s="8"/>
      <c r="E59" s="8"/>
      <c r="F59" s="8"/>
      <c r="G59" s="8"/>
      <c r="H59" s="11"/>
      <c r="I59" s="14"/>
      <c r="J59" s="4" t="e">
        <f t="shared" si="0"/>
        <v>#N/A</v>
      </c>
      <c r="T59" s="4" t="e">
        <f>+INDEX([1]GOLF!$E$2:$E$1990,MATCH(B59,[1]GOLF!$C$2:$C$1990,0))</f>
        <v>#N/A</v>
      </c>
      <c r="U59" s="4" t="s">
        <v>13</v>
      </c>
      <c r="V59" s="4" t="e">
        <f>+INDEX([1]GOLF!$G:$G,MATCH(B59,[1]GOLF!$C:$C,0))</f>
        <v>#N/A</v>
      </c>
      <c r="X59" s="4" t="e">
        <f>+VLOOKUP(B59,[1]GOLF!$C:$G,3,0)</f>
        <v>#N/A</v>
      </c>
      <c r="Y59" s="4" t="e">
        <f t="shared" si="1"/>
        <v>#N/A</v>
      </c>
    </row>
    <row r="60" spans="1:25" ht="37.5" customHeight="1" x14ac:dyDescent="0.25">
      <c r="A60" s="6"/>
      <c r="B60" s="8"/>
      <c r="C60" s="8"/>
      <c r="D60" s="8"/>
      <c r="E60" s="8"/>
      <c r="F60" s="8"/>
      <c r="G60" s="8"/>
      <c r="H60" s="11"/>
      <c r="I60" s="14"/>
      <c r="J60" s="4" t="e">
        <f t="shared" si="0"/>
        <v>#N/A</v>
      </c>
      <c r="T60" s="4" t="e">
        <f>+INDEX([1]GOLF!$E$2:$E$1990,MATCH(B60,[1]GOLF!$C$2:$C$1990,0))</f>
        <v>#N/A</v>
      </c>
      <c r="U60" s="4" t="s">
        <v>13</v>
      </c>
      <c r="V60" s="4" t="e">
        <f>+INDEX([1]GOLF!$G:$G,MATCH(B60,[1]GOLF!$C:$C,0))</f>
        <v>#N/A</v>
      </c>
      <c r="X60" s="4" t="e">
        <f>+VLOOKUP(B60,[1]GOLF!$C:$G,3,0)</f>
        <v>#N/A</v>
      </c>
      <c r="Y60" s="4" t="e">
        <f t="shared" si="1"/>
        <v>#N/A</v>
      </c>
    </row>
    <row r="61" spans="1:25" ht="37.5" customHeight="1" x14ac:dyDescent="0.25">
      <c r="A61" s="6"/>
      <c r="B61" s="8"/>
      <c r="C61" s="8"/>
      <c r="D61" s="8"/>
      <c r="E61" s="8"/>
      <c r="F61" s="8"/>
      <c r="G61" s="8"/>
      <c r="H61" s="11"/>
      <c r="I61" s="14"/>
      <c r="J61" s="4" t="e">
        <f t="shared" si="0"/>
        <v>#N/A</v>
      </c>
      <c r="T61" s="4" t="e">
        <f>+INDEX([1]GOLF!$E$2:$E$1990,MATCH(B61,[1]GOLF!$C$2:$C$1990,0))</f>
        <v>#N/A</v>
      </c>
      <c r="U61" s="4" t="s">
        <v>13</v>
      </c>
      <c r="V61" s="4" t="e">
        <f>+INDEX([1]GOLF!$G:$G,MATCH(B61,[1]GOLF!$C:$C,0))</f>
        <v>#N/A</v>
      </c>
      <c r="X61" s="4" t="e">
        <f>+VLOOKUP(B61,[1]GOLF!$C:$G,3,0)</f>
        <v>#N/A</v>
      </c>
      <c r="Y61" s="4" t="e">
        <f t="shared" si="1"/>
        <v>#N/A</v>
      </c>
    </row>
    <row r="62" spans="1:25" ht="37.5" customHeight="1" x14ac:dyDescent="0.25">
      <c r="A62" s="6"/>
      <c r="B62" s="8"/>
      <c r="C62" s="8"/>
      <c r="D62" s="8"/>
      <c r="E62" s="8"/>
      <c r="F62" s="8"/>
      <c r="G62" s="8"/>
      <c r="H62" s="11"/>
      <c r="I62" s="14"/>
      <c r="J62" s="4" t="e">
        <f t="shared" si="0"/>
        <v>#N/A</v>
      </c>
      <c r="T62" s="4" t="e">
        <f>+INDEX([1]GOLF!$E$2:$E$1990,MATCH(B62,[1]GOLF!$C$2:$C$1990,0))</f>
        <v>#N/A</v>
      </c>
      <c r="U62" s="4" t="s">
        <v>13</v>
      </c>
      <c r="V62" s="4" t="e">
        <f>+INDEX([1]GOLF!$G:$G,MATCH(B62,[1]GOLF!$C:$C,0))</f>
        <v>#N/A</v>
      </c>
      <c r="X62" s="4" t="e">
        <f>+VLOOKUP(B62,[1]GOLF!$C:$G,3,0)</f>
        <v>#N/A</v>
      </c>
      <c r="Y62" s="4" t="e">
        <f>+X62=T62</f>
        <v>#N/A</v>
      </c>
    </row>
    <row r="63" spans="1:25" ht="37.5" customHeight="1" x14ac:dyDescent="0.25">
      <c r="A63" s="6"/>
      <c r="B63" s="8"/>
      <c r="C63" s="8"/>
      <c r="D63" s="8"/>
      <c r="E63" s="8"/>
      <c r="F63" s="8"/>
      <c r="G63" s="8"/>
      <c r="H63" s="11"/>
      <c r="I63" s="14"/>
      <c r="J63" s="4" t="e">
        <f t="shared" si="0"/>
        <v>#N/A</v>
      </c>
      <c r="T63" s="4" t="e">
        <f>+INDEX([1]GOLF!$E$2:$E$1990,MATCH(B63,[1]GOLF!$C$2:$C$1990,0))</f>
        <v>#N/A</v>
      </c>
      <c r="U63" s="4" t="s">
        <v>13</v>
      </c>
      <c r="V63" s="4" t="e">
        <f>+INDEX([1]GOLF!$G:$G,MATCH(B63,[1]GOLF!$C:$C,0))</f>
        <v>#N/A</v>
      </c>
      <c r="X63" s="4" t="e">
        <f>+VLOOKUP(B63,[1]GOLF!$C:$G,3,0)</f>
        <v>#N/A</v>
      </c>
      <c r="Y63" s="4" t="e">
        <f t="shared" ref="Y63:Y69" si="2">+X63=T63</f>
        <v>#N/A</v>
      </c>
    </row>
    <row r="64" spans="1:25" ht="37.5" customHeight="1" x14ac:dyDescent="0.25">
      <c r="A64" s="6"/>
      <c r="B64" s="8"/>
      <c r="C64" s="8"/>
      <c r="D64" s="8"/>
      <c r="E64" s="8"/>
      <c r="F64" s="8"/>
      <c r="G64" s="8"/>
      <c r="H64" s="11"/>
      <c r="I64" s="14"/>
      <c r="J64" s="4" t="e">
        <f t="shared" si="0"/>
        <v>#N/A</v>
      </c>
      <c r="T64" s="4" t="e">
        <f>+INDEX([1]GOLF!$E$2:$E$1990,MATCH(B64,[1]GOLF!$C$2:$C$1990,0))</f>
        <v>#N/A</v>
      </c>
      <c r="U64" s="4" t="s">
        <v>13</v>
      </c>
      <c r="V64" s="4" t="e">
        <f>+INDEX([1]GOLF!$G:$G,MATCH(B64,[1]GOLF!$C:$C,0))</f>
        <v>#N/A</v>
      </c>
      <c r="X64" s="4" t="e">
        <f>+VLOOKUP(B64,[1]GOLF!$C:$G,3,0)</f>
        <v>#N/A</v>
      </c>
      <c r="Y64" s="4" t="e">
        <f t="shared" si="2"/>
        <v>#N/A</v>
      </c>
    </row>
    <row r="65" spans="1:25" ht="37.5" customHeight="1" x14ac:dyDescent="0.25">
      <c r="A65" s="6"/>
      <c r="B65" s="8"/>
      <c r="C65" s="8"/>
      <c r="D65" s="8"/>
      <c r="E65" s="8"/>
      <c r="F65" s="8"/>
      <c r="G65" s="8"/>
      <c r="H65" s="11"/>
      <c r="I65" s="14"/>
      <c r="J65" s="4" t="e">
        <f t="shared" si="0"/>
        <v>#N/A</v>
      </c>
      <c r="T65" s="4" t="e">
        <f>+INDEX([1]GOLF!$E$2:$E$1990,MATCH(B65,[1]GOLF!$C$2:$C$1990,0))</f>
        <v>#N/A</v>
      </c>
      <c r="U65" s="4" t="s">
        <v>13</v>
      </c>
      <c r="V65" s="4" t="e">
        <f>+INDEX([1]GOLF!$G:$G,MATCH(B65,[1]GOLF!$C:$C,0))</f>
        <v>#N/A</v>
      </c>
      <c r="X65" s="4" t="e">
        <f>+VLOOKUP(B65,[1]GOLF!$C:$G,3,0)</f>
        <v>#N/A</v>
      </c>
      <c r="Y65" s="4" t="e">
        <f t="shared" si="2"/>
        <v>#N/A</v>
      </c>
    </row>
    <row r="66" spans="1:25" ht="37.5" customHeight="1" x14ac:dyDescent="0.25">
      <c r="A66" s="6"/>
      <c r="B66" s="8"/>
      <c r="C66" s="8"/>
      <c r="D66" s="8"/>
      <c r="E66" s="8"/>
      <c r="F66" s="8"/>
      <c r="G66" s="8"/>
      <c r="H66" s="11"/>
      <c r="I66" s="14"/>
      <c r="J66" s="4" t="e">
        <f t="shared" si="0"/>
        <v>#N/A</v>
      </c>
      <c r="T66" s="4" t="e">
        <f>+INDEX([1]GOLF!$E$2:$E$1990,MATCH(B66,[1]GOLF!$C$2:$C$1990,0))</f>
        <v>#N/A</v>
      </c>
      <c r="U66" s="4" t="s">
        <v>13</v>
      </c>
      <c r="V66" s="4" t="e">
        <f>+INDEX([1]GOLF!$G:$G,MATCH(B66,[1]GOLF!$C:$C,0))</f>
        <v>#N/A</v>
      </c>
      <c r="X66" s="4" t="e">
        <f>+VLOOKUP(B66,[1]GOLF!$C:$G,3,0)</f>
        <v>#N/A</v>
      </c>
      <c r="Y66" s="4" t="e">
        <f t="shared" si="2"/>
        <v>#N/A</v>
      </c>
    </row>
    <row r="67" spans="1:25" ht="37.5" customHeight="1" x14ac:dyDescent="0.25">
      <c r="A67" s="6"/>
      <c r="B67" s="8"/>
      <c r="C67" s="8"/>
      <c r="D67" s="8"/>
      <c r="E67" s="8"/>
      <c r="F67" s="8"/>
      <c r="G67" s="8"/>
      <c r="H67" s="11"/>
      <c r="I67" s="14"/>
      <c r="J67" s="4" t="e">
        <f t="shared" si="0"/>
        <v>#N/A</v>
      </c>
      <c r="T67" s="4" t="e">
        <f>+INDEX([1]GOLF!$E$2:$E$1990,MATCH(B67,[1]GOLF!$C$2:$C$1990,0))</f>
        <v>#N/A</v>
      </c>
      <c r="U67" s="4" t="s">
        <v>13</v>
      </c>
      <c r="V67" s="4" t="e">
        <f>+INDEX([1]GOLF!$G:$G,MATCH(B67,[1]GOLF!$C:$C,0))</f>
        <v>#N/A</v>
      </c>
      <c r="X67" s="4" t="e">
        <f>+VLOOKUP(B67,[1]GOLF!$C:$G,3,0)</f>
        <v>#N/A</v>
      </c>
      <c r="Y67" s="4" t="e">
        <f t="shared" si="2"/>
        <v>#N/A</v>
      </c>
    </row>
    <row r="68" spans="1:25" ht="37.5" customHeight="1" x14ac:dyDescent="0.25">
      <c r="A68" s="6"/>
      <c r="B68" s="8"/>
      <c r="C68" s="8"/>
      <c r="D68" s="8"/>
      <c r="E68" s="8"/>
      <c r="F68" s="8"/>
      <c r="G68" s="8"/>
      <c r="H68" s="11"/>
      <c r="I68" s="14"/>
      <c r="J68" s="4" t="e">
        <f t="shared" ref="J68:J69" si="3">+$R$1&amp;""&amp;T68&amp;""&amp;U68&amp;" "&amp;$V$1&amp;" "&amp;V68&amp;" / "&amp;B68&amp;" "&amp;$U$1&amp;" "&amp;C68&amp;""&amp;$W$1</f>
        <v>#N/A</v>
      </c>
      <c r="T68" s="4" t="e">
        <f>+INDEX([1]GOLF!$E$2:$E$1990,MATCH(B68,[1]GOLF!$C$2:$C$1990,0))</f>
        <v>#N/A</v>
      </c>
      <c r="U68" s="4" t="s">
        <v>13</v>
      </c>
      <c r="V68" s="4" t="e">
        <f>+INDEX([1]GOLF!$G:$G,MATCH(B68,[1]GOLF!$C:$C,0))</f>
        <v>#N/A</v>
      </c>
      <c r="X68" s="4" t="e">
        <f>+VLOOKUP(B68,[1]GOLF!$C:$G,3,0)</f>
        <v>#N/A</v>
      </c>
      <c r="Y68" s="4" t="e">
        <f t="shared" si="2"/>
        <v>#N/A</v>
      </c>
    </row>
    <row r="69" spans="1:25" ht="37.5" customHeight="1" x14ac:dyDescent="0.25">
      <c r="A69" s="6"/>
      <c r="B69" s="8"/>
      <c r="C69" s="8"/>
      <c r="D69" s="8"/>
      <c r="E69" s="8"/>
      <c r="F69" s="8"/>
      <c r="G69" s="8"/>
      <c r="H69" s="11"/>
      <c r="I69" s="14"/>
      <c r="J69" s="4" t="e">
        <f t="shared" si="3"/>
        <v>#N/A</v>
      </c>
      <c r="T69" s="4" t="e">
        <f>+INDEX([1]GOLF!$E$2:$E$1990,MATCH(B69,[1]GOLF!$C$2:$C$1990,0))</f>
        <v>#N/A</v>
      </c>
      <c r="U69" s="4" t="s">
        <v>13</v>
      </c>
      <c r="V69" s="4" t="e">
        <f>+INDEX([1]GOLF!$G:$G,MATCH(B69,[1]GOLF!$C:$C,0))</f>
        <v>#N/A</v>
      </c>
      <c r="X69" s="4" t="e">
        <f>+VLOOKUP(B69,[1]GOLF!$C:$G,3,0)</f>
        <v>#N/A</v>
      </c>
      <c r="Y69" s="4" t="e">
        <f t="shared" si="2"/>
        <v>#N/A</v>
      </c>
    </row>
    <row r="70" spans="1:25" ht="37.5" customHeight="1" x14ac:dyDescent="0.25">
      <c r="A70" s="6"/>
      <c r="B70" s="8"/>
      <c r="C70" s="8"/>
      <c r="D70" s="8"/>
      <c r="E70" s="8"/>
      <c r="F70" s="8"/>
      <c r="G70" s="8"/>
      <c r="H70" s="11"/>
      <c r="I70" s="14"/>
      <c r="J70" s="4" t="e">
        <f t="shared" ref="J70:J100" si="4">+$R$1&amp;""&amp;T70&amp;""&amp;U70&amp;" "&amp;$V$1&amp;" "&amp;V70&amp;" / "&amp;B70&amp;" "&amp;$U$1&amp;" "&amp;C70&amp;""&amp;$W$1</f>
        <v>#N/A</v>
      </c>
      <c r="T70" s="4" t="e">
        <f>+INDEX([1]GOLF!$E$2:$E$1990,MATCH(B70,[1]GOLF!$C$2:$C$1990,0))</f>
        <v>#N/A</v>
      </c>
      <c r="U70" s="4" t="s">
        <v>13</v>
      </c>
      <c r="V70" s="4" t="e">
        <f>+INDEX([1]GOLF!$G:$G,MATCH(B70,[1]GOLF!$C:$C,0))</f>
        <v>#N/A</v>
      </c>
      <c r="X70" s="4" t="e">
        <f>+VLOOKUP(B70,[1]GOLF!$C:$G,3,0)</f>
        <v>#N/A</v>
      </c>
      <c r="Y70" s="4" t="e">
        <f t="shared" ref="Y70:Y100" si="5">+X70=T70</f>
        <v>#N/A</v>
      </c>
    </row>
    <row r="71" spans="1:25" ht="37.5" customHeight="1" x14ac:dyDescent="0.25">
      <c r="A71" s="6"/>
      <c r="B71" s="8"/>
      <c r="C71" s="8"/>
      <c r="D71" s="8"/>
      <c r="E71" s="8"/>
      <c r="F71" s="8"/>
      <c r="G71" s="8"/>
      <c r="H71" s="11"/>
      <c r="I71" s="14"/>
      <c r="J71" s="4" t="e">
        <f t="shared" si="4"/>
        <v>#N/A</v>
      </c>
      <c r="T71" s="4" t="e">
        <f>+INDEX([1]GOLF!$E$2:$E$1990,MATCH(B71,[1]GOLF!$C$2:$C$1990,0))</f>
        <v>#N/A</v>
      </c>
      <c r="U71" s="4" t="s">
        <v>13</v>
      </c>
      <c r="V71" s="4" t="e">
        <f>+INDEX([1]GOLF!$G:$G,MATCH(B71,[1]GOLF!$C:$C,0))</f>
        <v>#N/A</v>
      </c>
      <c r="X71" s="4" t="e">
        <f>+VLOOKUP(B71,[1]GOLF!$C:$G,3,0)</f>
        <v>#N/A</v>
      </c>
      <c r="Y71" s="4" t="e">
        <f t="shared" si="5"/>
        <v>#N/A</v>
      </c>
    </row>
    <row r="72" spans="1:25" ht="37.5" customHeight="1" x14ac:dyDescent="0.25">
      <c r="A72" s="6"/>
      <c r="B72" s="8"/>
      <c r="C72" s="8"/>
      <c r="D72" s="8"/>
      <c r="E72" s="8"/>
      <c r="F72" s="8"/>
      <c r="G72" s="8"/>
      <c r="H72" s="11"/>
      <c r="I72" s="14"/>
      <c r="J72" s="4" t="e">
        <f t="shared" si="4"/>
        <v>#N/A</v>
      </c>
      <c r="T72" s="4" t="e">
        <f>+INDEX([1]GOLF!$E$2:$E$1990,MATCH(B72,[1]GOLF!$C$2:$C$1990,0))</f>
        <v>#N/A</v>
      </c>
      <c r="U72" s="4" t="s">
        <v>13</v>
      </c>
      <c r="V72" s="4" t="e">
        <f>+INDEX([1]GOLF!$G:$G,MATCH(B72,[1]GOLF!$C:$C,0))</f>
        <v>#N/A</v>
      </c>
      <c r="X72" s="4" t="e">
        <f>+VLOOKUP(B72,[1]GOLF!$C:$G,3,0)</f>
        <v>#N/A</v>
      </c>
      <c r="Y72" s="4" t="e">
        <f t="shared" si="5"/>
        <v>#N/A</v>
      </c>
    </row>
    <row r="73" spans="1:25" ht="37.5" customHeight="1" x14ac:dyDescent="0.25">
      <c r="A73" s="6"/>
      <c r="B73" s="8"/>
      <c r="C73" s="8"/>
      <c r="D73" s="8"/>
      <c r="E73" s="8"/>
      <c r="F73" s="8"/>
      <c r="G73" s="8"/>
      <c r="H73" s="11"/>
      <c r="I73" s="14"/>
      <c r="J73" s="4" t="e">
        <f t="shared" si="4"/>
        <v>#N/A</v>
      </c>
      <c r="T73" s="4" t="e">
        <f>+INDEX([1]GOLF!$E$2:$E$1990,MATCH(B73,[1]GOLF!$C$2:$C$1990,0))</f>
        <v>#N/A</v>
      </c>
      <c r="U73" s="4" t="s">
        <v>13</v>
      </c>
      <c r="V73" s="4" t="e">
        <f>+INDEX([1]GOLF!$G:$G,MATCH(B73,[1]GOLF!$C:$C,0))</f>
        <v>#N/A</v>
      </c>
      <c r="X73" s="4" t="e">
        <f>+VLOOKUP(B73,[1]GOLF!$C:$G,3,0)</f>
        <v>#N/A</v>
      </c>
      <c r="Y73" s="4" t="e">
        <f t="shared" si="5"/>
        <v>#N/A</v>
      </c>
    </row>
    <row r="74" spans="1:25" ht="37.5" customHeight="1" x14ac:dyDescent="0.25">
      <c r="A74" s="6"/>
      <c r="B74" s="8"/>
      <c r="C74" s="8"/>
      <c r="D74" s="8"/>
      <c r="E74" s="8"/>
      <c r="F74" s="8"/>
      <c r="G74" s="8"/>
      <c r="H74" s="11"/>
      <c r="I74" s="14"/>
      <c r="J74" s="4" t="e">
        <f t="shared" si="4"/>
        <v>#N/A</v>
      </c>
      <c r="T74" s="4" t="e">
        <f>+INDEX([1]GOLF!$E$2:$E$1990,MATCH(B74,[1]GOLF!$C$2:$C$1990,0))</f>
        <v>#N/A</v>
      </c>
      <c r="U74" s="4" t="s">
        <v>13</v>
      </c>
      <c r="V74" s="4" t="e">
        <f>+INDEX([1]GOLF!$G:$G,MATCH(B74,[1]GOLF!$C:$C,0))</f>
        <v>#N/A</v>
      </c>
      <c r="X74" s="4" t="e">
        <f>+VLOOKUP(B74,[1]GOLF!$C:$G,3,0)</f>
        <v>#N/A</v>
      </c>
      <c r="Y74" s="4" t="e">
        <f t="shared" si="5"/>
        <v>#N/A</v>
      </c>
    </row>
    <row r="75" spans="1:25" ht="37.5" customHeight="1" x14ac:dyDescent="0.25">
      <c r="A75" s="6"/>
      <c r="B75" s="8"/>
      <c r="C75" s="8"/>
      <c r="D75" s="8"/>
      <c r="E75" s="8"/>
      <c r="F75" s="8"/>
      <c r="G75" s="8"/>
      <c r="H75" s="11"/>
      <c r="I75" s="14"/>
      <c r="J75" s="4" t="e">
        <f t="shared" si="4"/>
        <v>#N/A</v>
      </c>
      <c r="T75" s="4" t="e">
        <f>+INDEX([1]GOLF!$E$2:$E$1990,MATCH(B75,[1]GOLF!$C$2:$C$1990,0))</f>
        <v>#N/A</v>
      </c>
      <c r="U75" s="4" t="s">
        <v>13</v>
      </c>
      <c r="V75" s="4" t="e">
        <f>+INDEX([1]GOLF!$G:$G,MATCH(B75,[1]GOLF!$C:$C,0))</f>
        <v>#N/A</v>
      </c>
      <c r="X75" s="4" t="e">
        <f>+VLOOKUP(B75,[1]GOLF!$C:$G,3,0)</f>
        <v>#N/A</v>
      </c>
      <c r="Y75" s="4" t="e">
        <f t="shared" si="5"/>
        <v>#N/A</v>
      </c>
    </row>
    <row r="76" spans="1:25" ht="37.5" customHeight="1" x14ac:dyDescent="0.25">
      <c r="A76" s="6"/>
      <c r="B76" s="8"/>
      <c r="C76" s="8"/>
      <c r="D76" s="8"/>
      <c r="E76" s="8"/>
      <c r="F76" s="8"/>
      <c r="G76" s="8"/>
      <c r="H76" s="11"/>
      <c r="I76" s="14"/>
      <c r="J76" s="4" t="e">
        <f t="shared" si="4"/>
        <v>#N/A</v>
      </c>
      <c r="T76" s="4" t="e">
        <f>+INDEX([1]GOLF!$E$2:$E$1990,MATCH(B76,[1]GOLF!$C$2:$C$1990,0))</f>
        <v>#N/A</v>
      </c>
      <c r="U76" s="4" t="s">
        <v>13</v>
      </c>
      <c r="V76" s="4" t="e">
        <f>+INDEX([1]GOLF!$G:$G,MATCH(B76,[1]GOLF!$C:$C,0))</f>
        <v>#N/A</v>
      </c>
      <c r="X76" s="4" t="e">
        <f>+VLOOKUP(B76,[1]GOLF!$C:$G,3,0)</f>
        <v>#N/A</v>
      </c>
      <c r="Y76" s="4" t="e">
        <f t="shared" si="5"/>
        <v>#N/A</v>
      </c>
    </row>
    <row r="77" spans="1:25" ht="37.5" customHeight="1" x14ac:dyDescent="0.25">
      <c r="A77" s="6"/>
      <c r="B77" s="8"/>
      <c r="C77" s="8"/>
      <c r="D77" s="8"/>
      <c r="E77" s="8"/>
      <c r="F77" s="8"/>
      <c r="G77" s="8"/>
      <c r="H77" s="11"/>
      <c r="I77" s="14"/>
      <c r="J77" s="4" t="e">
        <f t="shared" si="4"/>
        <v>#N/A</v>
      </c>
      <c r="T77" s="4" t="e">
        <f>+INDEX([1]GOLF!$E$2:$E$1990,MATCH(B77,[1]GOLF!$C$2:$C$1990,0))</f>
        <v>#N/A</v>
      </c>
      <c r="U77" s="4" t="s">
        <v>13</v>
      </c>
      <c r="V77" s="4" t="e">
        <f>+INDEX([1]GOLF!$G:$G,MATCH(B77,[1]GOLF!$C:$C,0))</f>
        <v>#N/A</v>
      </c>
      <c r="X77" s="4" t="e">
        <f>+VLOOKUP(B77,[1]GOLF!$C:$G,3,0)</f>
        <v>#N/A</v>
      </c>
      <c r="Y77" s="4" t="e">
        <f t="shared" si="5"/>
        <v>#N/A</v>
      </c>
    </row>
    <row r="78" spans="1:25" ht="37.5" customHeight="1" x14ac:dyDescent="0.25">
      <c r="A78" s="6"/>
      <c r="B78" s="8"/>
      <c r="C78" s="8"/>
      <c r="D78" s="8"/>
      <c r="E78" s="8"/>
      <c r="F78" s="8"/>
      <c r="G78" s="8"/>
      <c r="H78" s="11"/>
      <c r="I78" s="14"/>
      <c r="J78" s="4" t="e">
        <f t="shared" si="4"/>
        <v>#N/A</v>
      </c>
      <c r="T78" s="4" t="e">
        <f>+INDEX([1]GOLF!$E$2:$E$1990,MATCH(B78,[1]GOLF!$C$2:$C$1990,0))</f>
        <v>#N/A</v>
      </c>
      <c r="U78" s="4" t="s">
        <v>13</v>
      </c>
      <c r="V78" s="4" t="e">
        <f>+INDEX([1]GOLF!$G:$G,MATCH(B78,[1]GOLF!$C:$C,0))</f>
        <v>#N/A</v>
      </c>
      <c r="X78" s="4" t="e">
        <f>+VLOOKUP(B78,[1]GOLF!$C:$G,3,0)</f>
        <v>#N/A</v>
      </c>
      <c r="Y78" s="4" t="e">
        <f t="shared" si="5"/>
        <v>#N/A</v>
      </c>
    </row>
    <row r="79" spans="1:25" ht="37.5" customHeight="1" x14ac:dyDescent="0.25">
      <c r="A79" s="6"/>
      <c r="B79" s="8"/>
      <c r="C79" s="8"/>
      <c r="D79" s="8"/>
      <c r="E79" s="8"/>
      <c r="F79" s="8"/>
      <c r="G79" s="8"/>
      <c r="H79" s="11"/>
      <c r="I79" s="14"/>
      <c r="J79" s="4" t="e">
        <f t="shared" si="4"/>
        <v>#N/A</v>
      </c>
      <c r="T79" s="4" t="e">
        <f>+INDEX([1]GOLF!$E$2:$E$1990,MATCH(B79,[1]GOLF!$C$2:$C$1990,0))</f>
        <v>#N/A</v>
      </c>
      <c r="U79" s="4" t="s">
        <v>13</v>
      </c>
      <c r="V79" s="4" t="e">
        <f>+INDEX([1]GOLF!$G:$G,MATCH(B79,[1]GOLF!$C:$C,0))</f>
        <v>#N/A</v>
      </c>
      <c r="X79" s="4" t="e">
        <f>+VLOOKUP(B79,[1]GOLF!$C:$G,3,0)</f>
        <v>#N/A</v>
      </c>
      <c r="Y79" s="4" t="e">
        <f t="shared" si="5"/>
        <v>#N/A</v>
      </c>
    </row>
    <row r="80" spans="1:25" ht="37.5" customHeight="1" x14ac:dyDescent="0.25">
      <c r="A80" s="6"/>
      <c r="B80" s="8"/>
      <c r="C80" s="8"/>
      <c r="D80" s="8"/>
      <c r="E80" s="8"/>
      <c r="F80" s="8"/>
      <c r="G80" s="8"/>
      <c r="H80" s="11"/>
      <c r="I80" s="14"/>
      <c r="J80" s="4" t="e">
        <f t="shared" si="4"/>
        <v>#N/A</v>
      </c>
      <c r="T80" s="4" t="e">
        <f>+INDEX([1]GOLF!$E$2:$E$1990,MATCH(B80,[1]GOLF!$C$2:$C$1990,0))</f>
        <v>#N/A</v>
      </c>
      <c r="U80" s="4" t="s">
        <v>13</v>
      </c>
      <c r="V80" s="4" t="e">
        <f>+INDEX([1]GOLF!$G:$G,MATCH(B80,[1]GOLF!$C:$C,0))</f>
        <v>#N/A</v>
      </c>
      <c r="X80" s="4" t="e">
        <f>+VLOOKUP(B80,[1]GOLF!$C:$G,3,0)</f>
        <v>#N/A</v>
      </c>
      <c r="Y80" s="4" t="e">
        <f t="shared" si="5"/>
        <v>#N/A</v>
      </c>
    </row>
    <row r="81" spans="1:25" ht="37.5" customHeight="1" x14ac:dyDescent="0.25">
      <c r="A81" s="6"/>
      <c r="B81" s="8"/>
      <c r="C81" s="8"/>
      <c r="D81" s="8"/>
      <c r="E81" s="8"/>
      <c r="F81" s="8"/>
      <c r="G81" s="8"/>
      <c r="H81" s="11"/>
      <c r="I81" s="14"/>
      <c r="J81" s="4" t="e">
        <f t="shared" si="4"/>
        <v>#N/A</v>
      </c>
      <c r="T81" s="4" t="e">
        <f>+INDEX([1]GOLF!$E$2:$E$1990,MATCH(B81,[1]GOLF!$C$2:$C$1990,0))</f>
        <v>#N/A</v>
      </c>
      <c r="U81" s="4" t="s">
        <v>13</v>
      </c>
      <c r="V81" s="4" t="e">
        <f>+INDEX([1]GOLF!$G:$G,MATCH(B81,[1]GOLF!$C:$C,0))</f>
        <v>#N/A</v>
      </c>
      <c r="X81" s="4" t="e">
        <f>+VLOOKUP(B81,[1]GOLF!$C:$G,3,0)</f>
        <v>#N/A</v>
      </c>
      <c r="Y81" s="4" t="e">
        <f t="shared" si="5"/>
        <v>#N/A</v>
      </c>
    </row>
    <row r="82" spans="1:25" ht="37.5" customHeight="1" x14ac:dyDescent="0.25">
      <c r="A82" s="6"/>
      <c r="B82" s="8"/>
      <c r="C82" s="8"/>
      <c r="D82" s="8"/>
      <c r="E82" s="8"/>
      <c r="F82" s="8"/>
      <c r="G82" s="8"/>
      <c r="H82" s="11"/>
      <c r="I82" s="14"/>
      <c r="J82" s="4" t="e">
        <f t="shared" si="4"/>
        <v>#N/A</v>
      </c>
      <c r="T82" s="4" t="e">
        <f>+INDEX([1]GOLF!$E$2:$E$1990,MATCH(B82,[1]GOLF!$C$2:$C$1990,0))</f>
        <v>#N/A</v>
      </c>
      <c r="U82" s="4" t="s">
        <v>13</v>
      </c>
      <c r="V82" s="4" t="e">
        <f>+INDEX([1]GOLF!$G:$G,MATCH(B82,[1]GOLF!$C:$C,0))</f>
        <v>#N/A</v>
      </c>
      <c r="X82" s="4" t="e">
        <f>+VLOOKUP(B82,[1]GOLF!$C:$G,3,0)</f>
        <v>#N/A</v>
      </c>
      <c r="Y82" s="4" t="e">
        <f t="shared" si="5"/>
        <v>#N/A</v>
      </c>
    </row>
    <row r="83" spans="1:25" ht="37.5" customHeight="1" x14ac:dyDescent="0.25">
      <c r="A83" s="6"/>
      <c r="B83" s="8"/>
      <c r="C83" s="8"/>
      <c r="D83" s="8"/>
      <c r="E83" s="8"/>
      <c r="F83" s="8"/>
      <c r="G83" s="8"/>
      <c r="H83" s="11"/>
      <c r="I83" s="14"/>
      <c r="J83" s="4" t="e">
        <f t="shared" si="4"/>
        <v>#N/A</v>
      </c>
      <c r="T83" s="4" t="e">
        <f>+INDEX([1]GOLF!$E$2:$E$1990,MATCH(B83,[1]GOLF!$C$2:$C$1990,0))</f>
        <v>#N/A</v>
      </c>
      <c r="U83" s="4" t="s">
        <v>13</v>
      </c>
      <c r="V83" s="4" t="e">
        <f>+INDEX([1]GOLF!$G:$G,MATCH(B83,[1]GOLF!$C:$C,0))</f>
        <v>#N/A</v>
      </c>
      <c r="X83" s="4" t="e">
        <f>+VLOOKUP(B83,[1]GOLF!$C:$G,3,0)</f>
        <v>#N/A</v>
      </c>
      <c r="Y83" s="4" t="e">
        <f t="shared" si="5"/>
        <v>#N/A</v>
      </c>
    </row>
    <row r="84" spans="1:25" ht="37.5" customHeight="1" x14ac:dyDescent="0.25">
      <c r="A84" s="6"/>
      <c r="B84" s="8"/>
      <c r="C84" s="8"/>
      <c r="D84" s="8"/>
      <c r="E84" s="8"/>
      <c r="F84" s="8"/>
      <c r="G84" s="8"/>
      <c r="H84" s="11"/>
      <c r="I84" s="14"/>
      <c r="J84" s="4" t="e">
        <f t="shared" si="4"/>
        <v>#N/A</v>
      </c>
      <c r="T84" s="4" t="e">
        <f>+INDEX([1]GOLF!$E$2:$E$1990,MATCH(B84,[1]GOLF!$C$2:$C$1990,0))</f>
        <v>#N/A</v>
      </c>
      <c r="U84" s="4" t="s">
        <v>13</v>
      </c>
      <c r="V84" s="4" t="e">
        <f>+INDEX([1]GOLF!$G:$G,MATCH(B84,[1]GOLF!$C:$C,0))</f>
        <v>#N/A</v>
      </c>
      <c r="X84" s="4" t="e">
        <f>+VLOOKUP(B84,[1]GOLF!$C:$G,3,0)</f>
        <v>#N/A</v>
      </c>
      <c r="Y84" s="4" t="e">
        <f t="shared" si="5"/>
        <v>#N/A</v>
      </c>
    </row>
    <row r="85" spans="1:25" ht="37.5" customHeight="1" x14ac:dyDescent="0.25">
      <c r="A85" s="6"/>
      <c r="B85" s="8"/>
      <c r="C85" s="8"/>
      <c r="D85" s="8"/>
      <c r="E85" s="8"/>
      <c r="F85" s="8"/>
      <c r="G85" s="8"/>
      <c r="H85" s="11"/>
      <c r="I85" s="14"/>
      <c r="J85" s="4" t="e">
        <f t="shared" si="4"/>
        <v>#N/A</v>
      </c>
      <c r="T85" s="4" t="e">
        <f>+INDEX([1]GOLF!$E$2:$E$1990,MATCH(B85,[1]GOLF!$C$2:$C$1990,0))</f>
        <v>#N/A</v>
      </c>
      <c r="U85" s="4" t="s">
        <v>13</v>
      </c>
      <c r="V85" s="4" t="e">
        <f>+INDEX([1]GOLF!$G:$G,MATCH(B85,[1]GOLF!$C:$C,0))</f>
        <v>#N/A</v>
      </c>
      <c r="X85" s="4" t="e">
        <f>+VLOOKUP(B85,[1]GOLF!$C:$G,3,0)</f>
        <v>#N/A</v>
      </c>
      <c r="Y85" s="4" t="e">
        <f t="shared" si="5"/>
        <v>#N/A</v>
      </c>
    </row>
    <row r="86" spans="1:25" ht="37.5" customHeight="1" x14ac:dyDescent="0.25">
      <c r="A86" s="6"/>
      <c r="B86" s="8"/>
      <c r="C86" s="8"/>
      <c r="D86" s="8"/>
      <c r="E86" s="8"/>
      <c r="F86" s="8"/>
      <c r="G86" s="8"/>
      <c r="H86" s="11"/>
      <c r="I86" s="14"/>
      <c r="J86" s="4" t="e">
        <f t="shared" si="4"/>
        <v>#N/A</v>
      </c>
      <c r="T86" s="4" t="e">
        <f>+INDEX([1]GOLF!$E$2:$E$1990,MATCH(B86,[1]GOLF!$C$2:$C$1990,0))</f>
        <v>#N/A</v>
      </c>
      <c r="U86" s="4" t="s">
        <v>13</v>
      </c>
      <c r="V86" s="4" t="e">
        <f>+INDEX([1]GOLF!$G:$G,MATCH(B86,[1]GOLF!$C:$C,0))</f>
        <v>#N/A</v>
      </c>
      <c r="X86" s="4" t="e">
        <f>+VLOOKUP(B86,[1]GOLF!$C:$G,3,0)</f>
        <v>#N/A</v>
      </c>
      <c r="Y86" s="4" t="e">
        <f t="shared" si="5"/>
        <v>#N/A</v>
      </c>
    </row>
    <row r="87" spans="1:25" ht="37.5" customHeight="1" x14ac:dyDescent="0.25">
      <c r="A87" s="6"/>
      <c r="B87" s="8"/>
      <c r="C87" s="8"/>
      <c r="D87" s="8"/>
      <c r="E87" s="8"/>
      <c r="F87" s="8"/>
      <c r="G87" s="8"/>
      <c r="H87" s="11"/>
      <c r="I87" s="14"/>
      <c r="J87" s="4" t="e">
        <f t="shared" si="4"/>
        <v>#N/A</v>
      </c>
      <c r="T87" s="4" t="e">
        <f>+INDEX([1]GOLF!$E$2:$E$1990,MATCH(B87,[1]GOLF!$C$2:$C$1990,0))</f>
        <v>#N/A</v>
      </c>
      <c r="U87" s="4" t="s">
        <v>13</v>
      </c>
      <c r="V87" s="4" t="e">
        <f>+INDEX([1]GOLF!$G:$G,MATCH(B87,[1]GOLF!$C:$C,0))</f>
        <v>#N/A</v>
      </c>
      <c r="X87" s="4" t="e">
        <f>+VLOOKUP(B87,[1]GOLF!$C:$G,3,0)</f>
        <v>#N/A</v>
      </c>
      <c r="Y87" s="4" t="e">
        <f t="shared" si="5"/>
        <v>#N/A</v>
      </c>
    </row>
    <row r="88" spans="1:25" ht="37.5" customHeight="1" x14ac:dyDescent="0.25">
      <c r="A88" s="6"/>
      <c r="B88" s="8"/>
      <c r="C88" s="8"/>
      <c r="D88" s="8"/>
      <c r="E88" s="8"/>
      <c r="F88" s="8"/>
      <c r="G88" s="8"/>
      <c r="H88" s="11"/>
      <c r="I88" s="14"/>
      <c r="J88" s="4" t="e">
        <f t="shared" si="4"/>
        <v>#N/A</v>
      </c>
      <c r="T88" s="4" t="e">
        <f>+INDEX([1]GOLF!$E$2:$E$1990,MATCH(B88,[1]GOLF!$C$2:$C$1990,0))</f>
        <v>#N/A</v>
      </c>
      <c r="U88" s="4" t="s">
        <v>13</v>
      </c>
      <c r="V88" s="4" t="e">
        <f>+INDEX([1]GOLF!$G:$G,MATCH(B88,[1]GOLF!$C:$C,0))</f>
        <v>#N/A</v>
      </c>
      <c r="X88" s="4" t="e">
        <f>+VLOOKUP(B88,[1]GOLF!$C:$G,3,0)</f>
        <v>#N/A</v>
      </c>
      <c r="Y88" s="4" t="e">
        <f t="shared" si="5"/>
        <v>#N/A</v>
      </c>
    </row>
    <row r="89" spans="1:25" ht="37.5" customHeight="1" x14ac:dyDescent="0.25">
      <c r="A89" s="6"/>
      <c r="B89" s="8"/>
      <c r="C89" s="8"/>
      <c r="D89" s="8"/>
      <c r="E89" s="8"/>
      <c r="F89" s="8"/>
      <c r="G89" s="8"/>
      <c r="H89" s="11"/>
      <c r="I89" s="14"/>
      <c r="J89" s="4" t="e">
        <f t="shared" si="4"/>
        <v>#N/A</v>
      </c>
      <c r="T89" s="4" t="e">
        <f>+INDEX([1]GOLF!$E$2:$E$1990,MATCH(B89,[1]GOLF!$C$2:$C$1990,0))</f>
        <v>#N/A</v>
      </c>
      <c r="U89" s="4" t="s">
        <v>13</v>
      </c>
      <c r="V89" s="4" t="e">
        <f>+INDEX([1]GOLF!$G:$G,MATCH(B89,[1]GOLF!$C:$C,0))</f>
        <v>#N/A</v>
      </c>
      <c r="X89" s="4" t="e">
        <f>+VLOOKUP(B89,[1]GOLF!$C:$G,3,0)</f>
        <v>#N/A</v>
      </c>
      <c r="Y89" s="4" t="e">
        <f t="shared" si="5"/>
        <v>#N/A</v>
      </c>
    </row>
    <row r="90" spans="1:25" ht="37.5" customHeight="1" x14ac:dyDescent="0.25">
      <c r="A90" s="6"/>
      <c r="B90" s="8"/>
      <c r="C90" s="8"/>
      <c r="D90" s="8"/>
      <c r="E90" s="8"/>
      <c r="F90" s="8"/>
      <c r="G90" s="8"/>
      <c r="H90" s="11"/>
      <c r="I90" s="14"/>
      <c r="J90" s="4" t="e">
        <f t="shared" si="4"/>
        <v>#N/A</v>
      </c>
      <c r="T90" s="4" t="e">
        <f>+INDEX([1]GOLF!$E$2:$E$1990,MATCH(B90,[1]GOLF!$C$2:$C$1990,0))</f>
        <v>#N/A</v>
      </c>
      <c r="U90" s="4" t="s">
        <v>13</v>
      </c>
      <c r="V90" s="4" t="e">
        <f>+INDEX([1]GOLF!$G:$G,MATCH(B90,[1]GOLF!$C:$C,0))</f>
        <v>#N/A</v>
      </c>
      <c r="X90" s="4" t="e">
        <f>+VLOOKUP(B90,[1]GOLF!$C:$G,3,0)</f>
        <v>#N/A</v>
      </c>
      <c r="Y90" s="4" t="e">
        <f t="shared" si="5"/>
        <v>#N/A</v>
      </c>
    </row>
    <row r="91" spans="1:25" ht="37.5" customHeight="1" x14ac:dyDescent="0.25">
      <c r="A91" s="6"/>
      <c r="B91" s="8"/>
      <c r="C91" s="8"/>
      <c r="D91" s="8"/>
      <c r="E91" s="8"/>
      <c r="F91" s="8"/>
      <c r="G91" s="8"/>
      <c r="H91" s="11"/>
      <c r="I91" s="14"/>
      <c r="J91" s="4" t="e">
        <f t="shared" si="4"/>
        <v>#N/A</v>
      </c>
      <c r="T91" s="4" t="e">
        <f>+INDEX([1]GOLF!$E$2:$E$1990,MATCH(B91,[1]GOLF!$C$2:$C$1990,0))</f>
        <v>#N/A</v>
      </c>
      <c r="U91" s="4" t="s">
        <v>13</v>
      </c>
      <c r="V91" s="4" t="e">
        <f>+INDEX([1]GOLF!$G:$G,MATCH(B91,[1]GOLF!$C:$C,0))</f>
        <v>#N/A</v>
      </c>
      <c r="X91" s="4" t="e">
        <f>+VLOOKUP(B91,[1]GOLF!$C:$G,3,0)</f>
        <v>#N/A</v>
      </c>
      <c r="Y91" s="4" t="e">
        <f t="shared" si="5"/>
        <v>#N/A</v>
      </c>
    </row>
    <row r="92" spans="1:25" ht="37.5" customHeight="1" x14ac:dyDescent="0.25">
      <c r="A92" s="6"/>
      <c r="B92" s="8"/>
      <c r="C92" s="8"/>
      <c r="D92" s="8"/>
      <c r="E92" s="8"/>
      <c r="F92" s="8"/>
      <c r="G92" s="8"/>
      <c r="H92" s="11"/>
      <c r="I92" s="14"/>
      <c r="J92" s="4" t="e">
        <f t="shared" si="4"/>
        <v>#N/A</v>
      </c>
      <c r="T92" s="4" t="e">
        <f>+INDEX([1]GOLF!$E$2:$E$1990,MATCH(B92,[1]GOLF!$C$2:$C$1990,0))</f>
        <v>#N/A</v>
      </c>
      <c r="U92" s="4" t="s">
        <v>13</v>
      </c>
      <c r="V92" s="4" t="e">
        <f>+INDEX([1]GOLF!$G:$G,MATCH(B92,[1]GOLF!$C:$C,0))</f>
        <v>#N/A</v>
      </c>
      <c r="X92" s="4" t="e">
        <f>+VLOOKUP(B92,[1]GOLF!$C:$G,3,0)</f>
        <v>#N/A</v>
      </c>
      <c r="Y92" s="4" t="e">
        <f t="shared" si="5"/>
        <v>#N/A</v>
      </c>
    </row>
    <row r="93" spans="1:25" ht="37.5" customHeight="1" x14ac:dyDescent="0.25">
      <c r="A93" s="6"/>
      <c r="B93" s="8"/>
      <c r="C93" s="8"/>
      <c r="D93" s="8"/>
      <c r="E93" s="8"/>
      <c r="F93" s="8"/>
      <c r="G93" s="8"/>
      <c r="H93" s="11"/>
      <c r="I93" s="14"/>
      <c r="J93" s="4" t="e">
        <f t="shared" si="4"/>
        <v>#N/A</v>
      </c>
      <c r="T93" s="4" t="e">
        <f>+INDEX([1]GOLF!$E$2:$E$1990,MATCH(B93,[1]GOLF!$C$2:$C$1990,0))</f>
        <v>#N/A</v>
      </c>
      <c r="U93" s="4" t="s">
        <v>13</v>
      </c>
      <c r="V93" s="4" t="e">
        <f>+INDEX([1]GOLF!$G:$G,MATCH(B93,[1]GOLF!$C:$C,0))</f>
        <v>#N/A</v>
      </c>
      <c r="X93" s="4" t="e">
        <f>+VLOOKUP(B93,[1]GOLF!$C:$G,3,0)</f>
        <v>#N/A</v>
      </c>
      <c r="Y93" s="4" t="e">
        <f t="shared" si="5"/>
        <v>#N/A</v>
      </c>
    </row>
    <row r="94" spans="1:25" ht="37.5" customHeight="1" x14ac:dyDescent="0.25">
      <c r="A94" s="6"/>
      <c r="B94" s="8"/>
      <c r="C94" s="8"/>
      <c r="D94" s="8"/>
      <c r="E94" s="8"/>
      <c r="F94" s="8"/>
      <c r="G94" s="8"/>
      <c r="H94" s="11"/>
      <c r="I94" s="14"/>
      <c r="J94" s="4" t="e">
        <f t="shared" si="4"/>
        <v>#N/A</v>
      </c>
      <c r="T94" s="4" t="e">
        <f>+INDEX([1]GOLF!$E$2:$E$1990,MATCH(B94,[1]GOLF!$C$2:$C$1990,0))</f>
        <v>#N/A</v>
      </c>
      <c r="U94" s="4" t="s">
        <v>13</v>
      </c>
      <c r="V94" s="4" t="e">
        <f>+INDEX([1]GOLF!$G:$G,MATCH(B94,[1]GOLF!$C:$C,0))</f>
        <v>#N/A</v>
      </c>
      <c r="X94" s="4" t="e">
        <f>+VLOOKUP(B94,[1]GOLF!$C:$G,3,0)</f>
        <v>#N/A</v>
      </c>
      <c r="Y94" s="4" t="e">
        <f t="shared" si="5"/>
        <v>#N/A</v>
      </c>
    </row>
    <row r="95" spans="1:25" ht="37.5" customHeight="1" x14ac:dyDescent="0.25">
      <c r="A95" s="6"/>
      <c r="B95" s="8"/>
      <c r="C95" s="8"/>
      <c r="D95" s="8"/>
      <c r="E95" s="8"/>
      <c r="F95" s="8"/>
      <c r="G95" s="8"/>
      <c r="H95" s="11"/>
      <c r="I95" s="14"/>
      <c r="J95" s="4" t="e">
        <f t="shared" si="4"/>
        <v>#N/A</v>
      </c>
      <c r="T95" s="4" t="e">
        <f>+INDEX([1]GOLF!$E$2:$E$1990,MATCH(B95,[1]GOLF!$C$2:$C$1990,0))</f>
        <v>#N/A</v>
      </c>
      <c r="U95" s="4" t="s">
        <v>13</v>
      </c>
      <c r="V95" s="4" t="e">
        <f>+INDEX([1]GOLF!$G:$G,MATCH(B95,[1]GOLF!$C:$C,0))</f>
        <v>#N/A</v>
      </c>
      <c r="X95" s="4" t="e">
        <f>+VLOOKUP(B95,[1]GOLF!$C:$G,3,0)</f>
        <v>#N/A</v>
      </c>
      <c r="Y95" s="4" t="e">
        <f t="shared" si="5"/>
        <v>#N/A</v>
      </c>
    </row>
    <row r="96" spans="1:25" ht="37.5" customHeight="1" x14ac:dyDescent="0.25">
      <c r="A96" s="6"/>
      <c r="B96" s="8"/>
      <c r="C96" s="8"/>
      <c r="D96" s="8"/>
      <c r="E96" s="8"/>
      <c r="F96" s="8"/>
      <c r="G96" s="8"/>
      <c r="H96" s="11"/>
      <c r="I96" s="14"/>
      <c r="J96" s="4" t="e">
        <f t="shared" si="4"/>
        <v>#N/A</v>
      </c>
      <c r="T96" s="4" t="e">
        <f>+INDEX([1]GOLF!$E$2:$E$1990,MATCH(B96,[1]GOLF!$C$2:$C$1990,0))</f>
        <v>#N/A</v>
      </c>
      <c r="U96" s="4" t="s">
        <v>13</v>
      </c>
      <c r="V96" s="4" t="e">
        <f>+INDEX([1]GOLF!$G:$G,MATCH(B96,[1]GOLF!$C:$C,0))</f>
        <v>#N/A</v>
      </c>
      <c r="X96" s="4" t="e">
        <f>+VLOOKUP(B96,[1]GOLF!$C:$G,3,0)</f>
        <v>#N/A</v>
      </c>
      <c r="Y96" s="4" t="e">
        <f t="shared" si="5"/>
        <v>#N/A</v>
      </c>
    </row>
    <row r="97" spans="1:25" ht="37.5" customHeight="1" x14ac:dyDescent="0.25">
      <c r="A97" s="6"/>
      <c r="B97" s="8"/>
      <c r="C97" s="8"/>
      <c r="D97" s="8"/>
      <c r="E97" s="8"/>
      <c r="F97" s="8"/>
      <c r="G97" s="8"/>
      <c r="H97" s="11"/>
      <c r="I97" s="14"/>
      <c r="J97" s="4" t="e">
        <f t="shared" si="4"/>
        <v>#N/A</v>
      </c>
      <c r="T97" s="4" t="e">
        <f>+INDEX([1]GOLF!$E$2:$E$1990,MATCH(B97,[1]GOLF!$C$2:$C$1990,0))</f>
        <v>#N/A</v>
      </c>
      <c r="U97" s="4" t="s">
        <v>13</v>
      </c>
      <c r="V97" s="4" t="e">
        <f>+INDEX([1]GOLF!$G:$G,MATCH(B97,[1]GOLF!$C:$C,0))</f>
        <v>#N/A</v>
      </c>
      <c r="X97" s="4" t="e">
        <f>+VLOOKUP(B97,[1]GOLF!$C:$G,3,0)</f>
        <v>#N/A</v>
      </c>
      <c r="Y97" s="4" t="e">
        <f t="shared" si="5"/>
        <v>#N/A</v>
      </c>
    </row>
    <row r="98" spans="1:25" ht="37.5" customHeight="1" x14ac:dyDescent="0.25">
      <c r="A98" s="6"/>
      <c r="B98" s="8"/>
      <c r="C98" s="8"/>
      <c r="D98" s="8"/>
      <c r="E98" s="8"/>
      <c r="F98" s="8"/>
      <c r="G98" s="8"/>
      <c r="H98" s="11"/>
      <c r="I98" s="14"/>
      <c r="J98" s="4" t="e">
        <f t="shared" si="4"/>
        <v>#N/A</v>
      </c>
      <c r="T98" s="4" t="e">
        <f>+INDEX([1]GOLF!$E$2:$E$1990,MATCH(B98,[1]GOLF!$C$2:$C$1990,0))</f>
        <v>#N/A</v>
      </c>
      <c r="U98" s="4" t="s">
        <v>13</v>
      </c>
      <c r="V98" s="4" t="e">
        <f>+INDEX([1]GOLF!$G:$G,MATCH(B98,[1]GOLF!$C:$C,0))</f>
        <v>#N/A</v>
      </c>
      <c r="X98" s="4" t="e">
        <f>+VLOOKUP(B98,[1]GOLF!$C:$G,3,0)</f>
        <v>#N/A</v>
      </c>
      <c r="Y98" s="4" t="e">
        <f t="shared" si="5"/>
        <v>#N/A</v>
      </c>
    </row>
    <row r="99" spans="1:25" ht="37.5" customHeight="1" x14ac:dyDescent="0.25">
      <c r="A99" s="6"/>
      <c r="B99" s="8"/>
      <c r="C99" s="8"/>
      <c r="D99" s="8"/>
      <c r="E99" s="8"/>
      <c r="F99" s="8"/>
      <c r="G99" s="8"/>
      <c r="H99" s="11"/>
      <c r="I99" s="14"/>
      <c r="J99" s="4" t="e">
        <f t="shared" si="4"/>
        <v>#N/A</v>
      </c>
      <c r="T99" s="4" t="e">
        <f>+INDEX([1]GOLF!$E$2:$E$1990,MATCH(B99,[1]GOLF!$C$2:$C$1990,0))</f>
        <v>#N/A</v>
      </c>
      <c r="U99" s="4" t="s">
        <v>13</v>
      </c>
      <c r="V99" s="4" t="e">
        <f>+INDEX([1]GOLF!$G:$G,MATCH(B99,[1]GOLF!$C:$C,0))</f>
        <v>#N/A</v>
      </c>
      <c r="X99" s="4" t="e">
        <f>+VLOOKUP(B99,[1]GOLF!$C:$G,3,0)</f>
        <v>#N/A</v>
      </c>
      <c r="Y99" s="4" t="e">
        <f t="shared" si="5"/>
        <v>#N/A</v>
      </c>
    </row>
    <row r="100" spans="1:25" ht="37.5" customHeight="1" x14ac:dyDescent="0.25">
      <c r="A100" s="6"/>
      <c r="B100" s="8"/>
      <c r="C100" s="8"/>
      <c r="D100" s="8"/>
      <c r="E100" s="8"/>
      <c r="F100" s="8"/>
      <c r="G100" s="8"/>
      <c r="H100" s="11"/>
      <c r="I100" s="14"/>
      <c r="J100" s="4" t="e">
        <f t="shared" si="4"/>
        <v>#N/A</v>
      </c>
      <c r="T100" s="4" t="e">
        <f>+INDEX([1]GOLF!$E$2:$E$1990,MATCH(B100,[1]GOLF!$C$2:$C$1990,0))</f>
        <v>#N/A</v>
      </c>
      <c r="U100" s="4" t="s">
        <v>13</v>
      </c>
      <c r="V100" s="4" t="e">
        <f>+INDEX([1]GOLF!$G:$G,MATCH(B100,[1]GOLF!$C:$C,0))</f>
        <v>#N/A</v>
      </c>
      <c r="X100" s="4" t="e">
        <f>+VLOOKUP(B100,[1]GOLF!$C:$G,3,0)</f>
        <v>#N/A</v>
      </c>
      <c r="Y100" s="4" t="e">
        <f t="shared" si="5"/>
        <v>#N/A</v>
      </c>
    </row>
    <row r="101" spans="1:25" ht="37.5" customHeight="1" x14ac:dyDescent="0.25">
      <c r="A101" s="6"/>
      <c r="B101" s="8"/>
      <c r="C101" s="8"/>
      <c r="D101" s="8"/>
      <c r="E101" s="8"/>
      <c r="F101" s="8"/>
      <c r="G101" s="8"/>
      <c r="H101" s="11"/>
      <c r="I101" s="14"/>
    </row>
    <row r="102" spans="1:25" ht="37.5" customHeight="1" x14ac:dyDescent="0.25">
      <c r="A102" s="6"/>
      <c r="B102" s="8"/>
      <c r="C102" s="8"/>
      <c r="D102" s="8"/>
      <c r="E102" s="8"/>
      <c r="F102" s="8"/>
      <c r="G102" s="8"/>
      <c r="H102" s="11"/>
      <c r="I102" s="14"/>
    </row>
    <row r="103" spans="1:25" ht="37.5" customHeight="1" x14ac:dyDescent="0.25">
      <c r="A103" s="6"/>
      <c r="B103" s="8"/>
      <c r="C103" s="8"/>
      <c r="D103" s="8"/>
      <c r="E103" s="8"/>
      <c r="F103" s="8"/>
      <c r="G103" s="8"/>
      <c r="H103" s="11"/>
      <c r="I103" s="14"/>
    </row>
    <row r="104" spans="1:25" ht="37.5" customHeight="1" x14ac:dyDescent="0.25">
      <c r="A104" s="6"/>
      <c r="B104" s="8"/>
      <c r="C104" s="8"/>
      <c r="D104" s="8"/>
      <c r="E104" s="8"/>
      <c r="F104" s="8"/>
      <c r="G104" s="8"/>
      <c r="H104" s="11"/>
      <c r="I104" s="14"/>
    </row>
    <row r="105" spans="1:25" ht="37.5" customHeight="1" x14ac:dyDescent="0.25">
      <c r="A105" s="6"/>
      <c r="B105" s="8"/>
      <c r="C105" s="8"/>
      <c r="D105" s="8"/>
      <c r="E105" s="8"/>
      <c r="F105" s="8"/>
      <c r="G105" s="8"/>
      <c r="H105" s="11"/>
      <c r="I105" s="14"/>
    </row>
    <row r="106" spans="1:25" ht="37.5" customHeight="1" x14ac:dyDescent="0.25">
      <c r="A106" s="6"/>
      <c r="B106" s="8"/>
      <c r="C106" s="8"/>
      <c r="D106" s="8"/>
      <c r="E106" s="8"/>
      <c r="F106" s="8"/>
      <c r="G106" s="8"/>
      <c r="H106" s="11"/>
      <c r="I106" s="14"/>
    </row>
    <row r="107" spans="1:25" ht="37.5" customHeight="1" x14ac:dyDescent="0.25">
      <c r="A107" s="6"/>
      <c r="B107" s="8"/>
      <c r="C107" s="8"/>
      <c r="D107" s="8"/>
      <c r="E107" s="8"/>
      <c r="F107" s="8"/>
      <c r="G107" s="8"/>
      <c r="H107" s="11"/>
      <c r="I107" s="14"/>
    </row>
    <row r="108" spans="1:25" ht="37.5" customHeight="1" x14ac:dyDescent="0.25">
      <c r="A108" s="6"/>
      <c r="B108" s="8"/>
      <c r="C108" s="8"/>
      <c r="D108" s="8"/>
      <c r="E108" s="8"/>
      <c r="F108" s="8"/>
      <c r="G108" s="8"/>
      <c r="H108" s="11"/>
      <c r="I108" s="14"/>
    </row>
    <row r="109" spans="1:25" ht="37.5" customHeight="1" x14ac:dyDescent="0.25">
      <c r="A109" s="6"/>
      <c r="B109" s="8"/>
      <c r="C109" s="8"/>
      <c r="D109" s="8"/>
      <c r="E109" s="8"/>
      <c r="F109" s="8"/>
      <c r="G109" s="8"/>
      <c r="H109" s="11"/>
      <c r="I109" s="14"/>
    </row>
    <row r="110" spans="1:25" ht="37.5" customHeight="1" x14ac:dyDescent="0.25">
      <c r="A110" s="6"/>
      <c r="B110" s="8"/>
      <c r="C110" s="8"/>
      <c r="D110" s="8"/>
      <c r="E110" s="8"/>
      <c r="F110" s="8"/>
      <c r="G110" s="8"/>
      <c r="H110" s="11"/>
      <c r="I110" s="14"/>
    </row>
    <row r="111" spans="1:25" ht="37.5" customHeight="1" x14ac:dyDescent="0.25">
      <c r="A111" s="6"/>
      <c r="B111" s="8"/>
      <c r="C111" s="8"/>
      <c r="D111" s="8"/>
      <c r="E111" s="8"/>
      <c r="F111" s="8"/>
      <c r="G111" s="8"/>
      <c r="H111" s="11"/>
      <c r="I111" s="14"/>
    </row>
    <row r="112" spans="1:25" ht="37.5" customHeight="1" x14ac:dyDescent="0.25">
      <c r="A112" s="6"/>
      <c r="B112" s="8"/>
      <c r="C112" s="8"/>
      <c r="D112" s="8"/>
      <c r="E112" s="8"/>
      <c r="F112" s="8"/>
      <c r="G112" s="8"/>
      <c r="H112" s="11"/>
      <c r="I112" s="14"/>
    </row>
    <row r="113" spans="1:9" ht="37.5" customHeight="1" x14ac:dyDescent="0.25">
      <c r="A113" s="6"/>
      <c r="B113" s="8"/>
      <c r="C113" s="8"/>
      <c r="D113" s="8"/>
      <c r="E113" s="8"/>
      <c r="F113" s="8"/>
      <c r="G113" s="8"/>
      <c r="H113" s="11"/>
      <c r="I113" s="14"/>
    </row>
  </sheetData>
  <mergeCells count="1">
    <mergeCell ref="A1:B1"/>
  </mergeCells>
  <conditionalFormatting sqref="S1 S3:S1048576">
    <cfRule type="duplicateValues" dxfId="1" priority="2"/>
  </conditionalFormatting>
  <conditionalFormatting sqref="Y1:Y1048576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87F6-5547-4DCC-BFFA-79D5977A2372}">
  <dimension ref="A1:L100"/>
  <sheetViews>
    <sheetView zoomScale="55" zoomScaleNormal="55" workbookViewId="0">
      <selection activeCell="D16" sqref="D16"/>
    </sheetView>
  </sheetViews>
  <sheetFormatPr defaultColWidth="9.140625" defaultRowHeight="15" x14ac:dyDescent="0.25"/>
  <cols>
    <col min="1" max="1" width="18.28515625" style="4" bestFit="1" customWidth="1"/>
    <col min="2" max="2" width="13.28515625" style="4" customWidth="1"/>
    <col min="3" max="3" width="14.85546875" style="4" customWidth="1"/>
    <col min="4" max="4" width="67" style="4" customWidth="1"/>
    <col min="5" max="5" width="16.85546875" style="17" customWidth="1"/>
    <col min="6" max="7" width="9.140625" style="4"/>
    <col min="8" max="8" width="8.28515625" style="17" bestFit="1" customWidth="1"/>
    <col min="9" max="10" width="10.85546875" style="4" customWidth="1"/>
    <col min="11" max="11" width="12.42578125" style="4" bestFit="1" customWidth="1"/>
    <col min="12" max="12" width="15.28515625" style="17" customWidth="1"/>
    <col min="13" max="16384" width="9.140625" style="4"/>
  </cols>
  <sheetData>
    <row r="1" spans="1:12" ht="55.5" customHeight="1" x14ac:dyDescent="0.25">
      <c r="A1" s="17" t="s">
        <v>14</v>
      </c>
      <c r="D1" s="17" t="s">
        <v>15</v>
      </c>
      <c r="E1" s="17" t="s">
        <v>16</v>
      </c>
      <c r="H1" s="17" t="s">
        <v>17</v>
      </c>
      <c r="I1" s="18">
        <f>+SUM(I2:I379)</f>
        <v>0</v>
      </c>
      <c r="J1" s="18">
        <f>+SUM(J2:J379)</f>
        <v>0</v>
      </c>
      <c r="K1" s="18">
        <f>+SUM(K2:K379)</f>
        <v>0</v>
      </c>
      <c r="L1" s="17" t="s">
        <v>18</v>
      </c>
    </row>
    <row r="2" spans="1:12" ht="55.5" customHeight="1" x14ac:dyDescent="0.25">
      <c r="A2" s="4" t="str">
        <f>+IF(Sheet2!A2="","",Sheet2!A2)</f>
        <v/>
      </c>
      <c r="B2" s="4" t="str">
        <f>+IF(Sheet2!B2="","",Sheet2!B2)</f>
        <v/>
      </c>
      <c r="C2" s="4" t="str">
        <f>+IF(Sheet2!C2="","",Sheet2!C2)</f>
        <v/>
      </c>
      <c r="D2" s="4" t="e">
        <f>+IF(Sheet2!J2="","",Sheet2!J2)</f>
        <v>#N/A</v>
      </c>
      <c r="E2" s="19">
        <f>Sheet2!D2</f>
        <v>0</v>
      </c>
      <c r="H2" s="17">
        <f>Sheet2!H2</f>
        <v>0</v>
      </c>
      <c r="I2" s="18">
        <f t="shared" ref="I2:I4" si="0">+E2*F2</f>
        <v>0</v>
      </c>
      <c r="J2" s="18">
        <f t="shared" ref="J2:J4" si="1">+E2*G2</f>
        <v>0</v>
      </c>
      <c r="K2" s="18">
        <f>+E2*H2</f>
        <v>0</v>
      </c>
      <c r="L2" s="17" t="s">
        <v>19</v>
      </c>
    </row>
    <row r="3" spans="1:12" ht="55.5" customHeight="1" x14ac:dyDescent="0.25">
      <c r="A3" s="4" t="str">
        <f>+IF(Sheet2!A3="","",Sheet2!A3)</f>
        <v/>
      </c>
      <c r="B3" s="4" t="str">
        <f>+IF(Sheet2!B3="","",Sheet2!B3)</f>
        <v/>
      </c>
      <c r="C3" s="4" t="str">
        <f>+IF(Sheet2!C3="","",Sheet2!C3)</f>
        <v/>
      </c>
      <c r="D3" s="4" t="e">
        <f>+IF(Sheet2!J3="","",Sheet2!J3)</f>
        <v>#N/A</v>
      </c>
      <c r="E3" s="19">
        <f>Sheet2!D3</f>
        <v>0</v>
      </c>
      <c r="H3" s="17">
        <f>Sheet2!H3</f>
        <v>0</v>
      </c>
      <c r="I3" s="18">
        <f t="shared" si="0"/>
        <v>0</v>
      </c>
      <c r="J3" s="18">
        <f t="shared" si="1"/>
        <v>0</v>
      </c>
      <c r="K3" s="18">
        <f t="shared" ref="K3:K4" si="2">+E3*H3</f>
        <v>0</v>
      </c>
      <c r="L3" s="17" t="s">
        <v>19</v>
      </c>
    </row>
    <row r="4" spans="1:12" ht="55.5" customHeight="1" x14ac:dyDescent="0.25">
      <c r="A4" s="4" t="str">
        <f>+IF(Sheet2!A4="","",Sheet2!A4)</f>
        <v/>
      </c>
      <c r="B4" s="4" t="str">
        <f>+IF(Sheet2!B4="","",Sheet2!B4)</f>
        <v/>
      </c>
      <c r="C4" s="4" t="str">
        <f>+IF(Sheet2!C4="","",Sheet2!C4)</f>
        <v/>
      </c>
      <c r="D4" s="4" t="e">
        <f>+IF(Sheet2!J4="","",Sheet2!J4)</f>
        <v>#N/A</v>
      </c>
      <c r="E4" s="19">
        <f>Sheet2!D4</f>
        <v>0</v>
      </c>
      <c r="H4" s="17">
        <f>Sheet2!H4</f>
        <v>0</v>
      </c>
      <c r="I4" s="18">
        <f t="shared" si="0"/>
        <v>0</v>
      </c>
      <c r="J4" s="18">
        <f t="shared" si="1"/>
        <v>0</v>
      </c>
      <c r="K4" s="18">
        <f t="shared" si="2"/>
        <v>0</v>
      </c>
      <c r="L4" s="17" t="s">
        <v>19</v>
      </c>
    </row>
    <row r="5" spans="1:12" ht="55.5" customHeight="1" x14ac:dyDescent="0.25">
      <c r="A5" s="4" t="str">
        <f>+IF(Sheet2!A5="","",Sheet2!A5)</f>
        <v/>
      </c>
      <c r="B5" s="4" t="str">
        <f>+IF(Sheet2!B5="","",Sheet2!B5)</f>
        <v/>
      </c>
      <c r="C5" s="4" t="str">
        <f>+IF(Sheet2!C5="","",Sheet2!C5)</f>
        <v/>
      </c>
      <c r="D5" s="4" t="e">
        <f>+IF(Sheet2!J5="","",Sheet2!J5)</f>
        <v>#N/A</v>
      </c>
      <c r="E5" s="19">
        <f>Sheet2!D5</f>
        <v>0</v>
      </c>
      <c r="H5" s="17">
        <f>Sheet2!H5</f>
        <v>0</v>
      </c>
      <c r="I5" s="18">
        <f t="shared" ref="I5:I68" si="3">+E5*F5</f>
        <v>0</v>
      </c>
      <c r="J5" s="18">
        <f t="shared" ref="J5:J68" si="4">+E5*G5</f>
        <v>0</v>
      </c>
      <c r="K5" s="18">
        <f t="shared" ref="K5:K68" si="5">+E5*H5</f>
        <v>0</v>
      </c>
      <c r="L5" s="17" t="s">
        <v>19</v>
      </c>
    </row>
    <row r="6" spans="1:12" ht="55.5" customHeight="1" x14ac:dyDescent="0.25">
      <c r="A6" s="4" t="str">
        <f>+IF(Sheet2!A6="","",Sheet2!A6)</f>
        <v/>
      </c>
      <c r="B6" s="4" t="str">
        <f>+IF(Sheet2!B6="","",Sheet2!B6)</f>
        <v/>
      </c>
      <c r="C6" s="4" t="str">
        <f>+IF(Sheet2!C6="","",Sheet2!C6)</f>
        <v/>
      </c>
      <c r="D6" s="4" t="e">
        <f>+IF(Sheet2!J6="","",Sheet2!J6)</f>
        <v>#N/A</v>
      </c>
      <c r="E6" s="19">
        <f>Sheet2!D6</f>
        <v>0</v>
      </c>
      <c r="H6" s="17">
        <f>Sheet2!H6</f>
        <v>0</v>
      </c>
      <c r="I6" s="18">
        <f t="shared" si="3"/>
        <v>0</v>
      </c>
      <c r="J6" s="18">
        <f t="shared" si="4"/>
        <v>0</v>
      </c>
      <c r="K6" s="18">
        <f t="shared" si="5"/>
        <v>0</v>
      </c>
      <c r="L6" s="17" t="s">
        <v>19</v>
      </c>
    </row>
    <row r="7" spans="1:12" ht="55.5" customHeight="1" x14ac:dyDescent="0.25">
      <c r="A7" s="4" t="str">
        <f>+IF(Sheet2!A7="","",Sheet2!A7)</f>
        <v/>
      </c>
      <c r="B7" s="4" t="str">
        <f>+IF(Sheet2!B7="","",Sheet2!B7)</f>
        <v/>
      </c>
      <c r="C7" s="4" t="str">
        <f>+IF(Sheet2!C7="","",Sheet2!C7)</f>
        <v/>
      </c>
      <c r="D7" s="4" t="e">
        <f>+IF(Sheet2!J7="","",Sheet2!J7)</f>
        <v>#N/A</v>
      </c>
      <c r="E7" s="19">
        <f>Sheet2!D7</f>
        <v>0</v>
      </c>
      <c r="H7" s="17">
        <f>Sheet2!H7</f>
        <v>0</v>
      </c>
      <c r="I7" s="18">
        <f t="shared" si="3"/>
        <v>0</v>
      </c>
      <c r="J7" s="18">
        <f t="shared" si="4"/>
        <v>0</v>
      </c>
      <c r="K7" s="18">
        <f t="shared" si="5"/>
        <v>0</v>
      </c>
      <c r="L7" s="17" t="s">
        <v>19</v>
      </c>
    </row>
    <row r="8" spans="1:12" ht="55.5" customHeight="1" x14ac:dyDescent="0.25">
      <c r="A8" s="4" t="str">
        <f>+IF(Sheet2!A8="","",Sheet2!A8)</f>
        <v/>
      </c>
      <c r="B8" s="4" t="str">
        <f>+IF(Sheet2!B8="","",Sheet2!B8)</f>
        <v/>
      </c>
      <c r="C8" s="4" t="str">
        <f>+IF(Sheet2!C8="","",Sheet2!C8)</f>
        <v/>
      </c>
      <c r="D8" s="4" t="e">
        <f>+IF(Sheet2!J8="","",Sheet2!J8)</f>
        <v>#N/A</v>
      </c>
      <c r="E8" s="19">
        <f>Sheet2!D8</f>
        <v>0</v>
      </c>
      <c r="H8" s="17">
        <f>Sheet2!H8</f>
        <v>0</v>
      </c>
      <c r="I8" s="18">
        <f t="shared" si="3"/>
        <v>0</v>
      </c>
      <c r="J8" s="18">
        <f t="shared" si="4"/>
        <v>0</v>
      </c>
      <c r="K8" s="18">
        <f t="shared" si="5"/>
        <v>0</v>
      </c>
      <c r="L8" s="17" t="s">
        <v>19</v>
      </c>
    </row>
    <row r="9" spans="1:12" ht="55.5" customHeight="1" x14ac:dyDescent="0.25">
      <c r="A9" s="4" t="str">
        <f>+IF(Sheet2!A9="","",Sheet2!A9)</f>
        <v/>
      </c>
      <c r="B9" s="4" t="str">
        <f>+IF(Sheet2!B9="","",Sheet2!B9)</f>
        <v/>
      </c>
      <c r="C9" s="4" t="str">
        <f>+IF(Sheet2!C9="","",Sheet2!C9)</f>
        <v/>
      </c>
      <c r="D9" s="4" t="e">
        <f>+IF(Sheet2!J9="","",Sheet2!J9)</f>
        <v>#N/A</v>
      </c>
      <c r="E9" s="19">
        <f>Sheet2!D9</f>
        <v>0</v>
      </c>
      <c r="H9" s="17">
        <f>Sheet2!H9</f>
        <v>0</v>
      </c>
      <c r="I9" s="18">
        <f t="shared" si="3"/>
        <v>0</v>
      </c>
      <c r="J9" s="18">
        <f t="shared" si="4"/>
        <v>0</v>
      </c>
      <c r="K9" s="18">
        <f t="shared" si="5"/>
        <v>0</v>
      </c>
      <c r="L9" s="17" t="s">
        <v>19</v>
      </c>
    </row>
    <row r="10" spans="1:12" ht="55.5" customHeight="1" x14ac:dyDescent="0.25">
      <c r="A10" s="4" t="str">
        <f>+IF(Sheet2!A10="","",Sheet2!A10)</f>
        <v/>
      </c>
      <c r="B10" s="4" t="str">
        <f>+IF(Sheet2!B10="","",Sheet2!B10)</f>
        <v/>
      </c>
      <c r="C10" s="4" t="str">
        <f>+IF(Sheet2!C10="","",Sheet2!C10)</f>
        <v/>
      </c>
      <c r="D10" s="4" t="e">
        <f>+IF(Sheet2!J10="","",Sheet2!J10)</f>
        <v>#N/A</v>
      </c>
      <c r="E10" s="19">
        <f>Sheet2!D10</f>
        <v>0</v>
      </c>
      <c r="H10" s="17">
        <f>Sheet2!H10</f>
        <v>0</v>
      </c>
      <c r="I10" s="18">
        <f t="shared" si="3"/>
        <v>0</v>
      </c>
      <c r="J10" s="18">
        <f t="shared" si="4"/>
        <v>0</v>
      </c>
      <c r="K10" s="18">
        <f t="shared" si="5"/>
        <v>0</v>
      </c>
      <c r="L10" s="17" t="s">
        <v>19</v>
      </c>
    </row>
    <row r="11" spans="1:12" ht="55.5" customHeight="1" x14ac:dyDescent="0.25">
      <c r="A11" s="4" t="str">
        <f>+IF(Sheet2!A11="","",Sheet2!A11)</f>
        <v/>
      </c>
      <c r="B11" s="4" t="str">
        <f>+IF(Sheet2!B11="","",Sheet2!B11)</f>
        <v/>
      </c>
      <c r="C11" s="4" t="str">
        <f>+IF(Sheet2!C11="","",Sheet2!C11)</f>
        <v/>
      </c>
      <c r="D11" s="4" t="e">
        <f>+IF(Sheet2!J11="","",Sheet2!J11)</f>
        <v>#N/A</v>
      </c>
      <c r="E11" s="19">
        <f>Sheet2!D11</f>
        <v>0</v>
      </c>
      <c r="H11" s="17">
        <f>Sheet2!H11</f>
        <v>0</v>
      </c>
      <c r="I11" s="18">
        <f t="shared" si="3"/>
        <v>0</v>
      </c>
      <c r="J11" s="18">
        <f t="shared" si="4"/>
        <v>0</v>
      </c>
      <c r="K11" s="18">
        <f t="shared" si="5"/>
        <v>0</v>
      </c>
      <c r="L11" s="17" t="s">
        <v>19</v>
      </c>
    </row>
    <row r="12" spans="1:12" ht="55.5" customHeight="1" x14ac:dyDescent="0.25">
      <c r="A12" s="4" t="str">
        <f>+IF(Sheet2!A12="","",Sheet2!A12)</f>
        <v/>
      </c>
      <c r="B12" s="4" t="str">
        <f>+IF(Sheet2!B12="","",Sheet2!B12)</f>
        <v/>
      </c>
      <c r="C12" s="4" t="str">
        <f>+IF(Sheet2!C12="","",Sheet2!C12)</f>
        <v/>
      </c>
      <c r="D12" s="4" t="e">
        <f>+IF(Sheet2!J12="","",Sheet2!J12)</f>
        <v>#N/A</v>
      </c>
      <c r="E12" s="19">
        <f>Sheet2!D12</f>
        <v>0</v>
      </c>
      <c r="H12" s="17">
        <f>Sheet2!H12</f>
        <v>0</v>
      </c>
      <c r="I12" s="18">
        <f t="shared" si="3"/>
        <v>0</v>
      </c>
      <c r="J12" s="18">
        <f t="shared" si="4"/>
        <v>0</v>
      </c>
      <c r="K12" s="18">
        <f t="shared" si="5"/>
        <v>0</v>
      </c>
      <c r="L12" s="17" t="s">
        <v>19</v>
      </c>
    </row>
    <row r="13" spans="1:12" ht="55.5" customHeight="1" x14ac:dyDescent="0.25">
      <c r="A13" s="4" t="str">
        <f>+IF(Sheet2!A13="","",Sheet2!A13)</f>
        <v/>
      </c>
      <c r="B13" s="4" t="str">
        <f>+IF(Sheet2!B13="","",Sheet2!B13)</f>
        <v/>
      </c>
      <c r="C13" s="4" t="str">
        <f>+IF(Sheet2!C13="","",Sheet2!C13)</f>
        <v/>
      </c>
      <c r="D13" s="4" t="e">
        <f>+IF(Sheet2!J13="","",Sheet2!J13)</f>
        <v>#N/A</v>
      </c>
      <c r="E13" s="19">
        <f>Sheet2!D13</f>
        <v>0</v>
      </c>
      <c r="H13" s="17">
        <f>Sheet2!H13</f>
        <v>0</v>
      </c>
      <c r="I13" s="18">
        <f t="shared" si="3"/>
        <v>0</v>
      </c>
      <c r="J13" s="18">
        <f t="shared" si="4"/>
        <v>0</v>
      </c>
      <c r="K13" s="18">
        <f t="shared" si="5"/>
        <v>0</v>
      </c>
      <c r="L13" s="17" t="s">
        <v>19</v>
      </c>
    </row>
    <row r="14" spans="1:12" ht="55.5" customHeight="1" x14ac:dyDescent="0.25">
      <c r="A14" s="4" t="str">
        <f>+IF(Sheet2!A14="","",Sheet2!A14)</f>
        <v/>
      </c>
      <c r="B14" s="4" t="str">
        <f>+IF(Sheet2!B14="","",Sheet2!B14)</f>
        <v/>
      </c>
      <c r="C14" s="4" t="str">
        <f>+IF(Sheet2!C14="","",Sheet2!C14)</f>
        <v/>
      </c>
      <c r="D14" s="4" t="e">
        <f>+IF(Sheet2!J14="","",Sheet2!J14)</f>
        <v>#N/A</v>
      </c>
      <c r="E14" s="19">
        <f>Sheet2!D14</f>
        <v>0</v>
      </c>
      <c r="H14" s="17">
        <f>Sheet2!H14</f>
        <v>0</v>
      </c>
      <c r="I14" s="18">
        <f t="shared" si="3"/>
        <v>0</v>
      </c>
      <c r="J14" s="18">
        <f t="shared" si="4"/>
        <v>0</v>
      </c>
      <c r="K14" s="18">
        <f t="shared" si="5"/>
        <v>0</v>
      </c>
      <c r="L14" s="17" t="s">
        <v>19</v>
      </c>
    </row>
    <row r="15" spans="1:12" ht="55.5" customHeight="1" x14ac:dyDescent="0.25">
      <c r="A15" s="4" t="str">
        <f>+IF(Sheet2!A15="","",Sheet2!A15)</f>
        <v/>
      </c>
      <c r="B15" s="4" t="str">
        <f>+IF(Sheet2!B15="","",Sheet2!B15)</f>
        <v/>
      </c>
      <c r="C15" s="4" t="str">
        <f>+IF(Sheet2!C15="","",Sheet2!C15)</f>
        <v/>
      </c>
      <c r="D15" s="4" t="e">
        <f>+IF(Sheet2!J15="","",Sheet2!J15)</f>
        <v>#N/A</v>
      </c>
      <c r="E15" s="19">
        <f>Sheet2!D15</f>
        <v>0</v>
      </c>
      <c r="H15" s="17">
        <f>Sheet2!H15</f>
        <v>0</v>
      </c>
      <c r="I15" s="18">
        <f t="shared" si="3"/>
        <v>0</v>
      </c>
      <c r="J15" s="18">
        <f t="shared" si="4"/>
        <v>0</v>
      </c>
      <c r="K15" s="18">
        <f t="shared" si="5"/>
        <v>0</v>
      </c>
      <c r="L15" s="17" t="s">
        <v>19</v>
      </c>
    </row>
    <row r="16" spans="1:12" ht="55.5" customHeight="1" x14ac:dyDescent="0.25">
      <c r="A16" s="4" t="str">
        <f>+IF(Sheet2!A16="","",Sheet2!A16)</f>
        <v/>
      </c>
      <c r="B16" s="4" t="str">
        <f>+IF(Sheet2!B16="","",Sheet2!B16)</f>
        <v/>
      </c>
      <c r="C16" s="4" t="str">
        <f>+IF(Sheet2!C16="","",Sheet2!C16)</f>
        <v/>
      </c>
      <c r="D16" s="4" t="e">
        <f>+IF(Sheet2!J16="","",Sheet2!J16)</f>
        <v>#N/A</v>
      </c>
      <c r="E16" s="19">
        <f>Sheet2!D16</f>
        <v>0</v>
      </c>
      <c r="H16" s="17">
        <f>Sheet2!H16</f>
        <v>0</v>
      </c>
      <c r="I16" s="18">
        <f t="shared" si="3"/>
        <v>0</v>
      </c>
      <c r="J16" s="18">
        <f t="shared" si="4"/>
        <v>0</v>
      </c>
      <c r="K16" s="18">
        <f t="shared" si="5"/>
        <v>0</v>
      </c>
      <c r="L16" s="17" t="s">
        <v>19</v>
      </c>
    </row>
    <row r="17" spans="1:12" ht="55.5" customHeight="1" x14ac:dyDescent="0.25">
      <c r="A17" s="4" t="str">
        <f>+IF(Sheet2!A17="","",Sheet2!A17)</f>
        <v/>
      </c>
      <c r="B17" s="4" t="str">
        <f>+IF(Sheet2!B17="","",Sheet2!B17)</f>
        <v/>
      </c>
      <c r="C17" s="4" t="str">
        <f>+IF(Sheet2!C17="","",Sheet2!C17)</f>
        <v/>
      </c>
      <c r="D17" s="4" t="e">
        <f>+IF(Sheet2!J17="","",Sheet2!J17)</f>
        <v>#N/A</v>
      </c>
      <c r="E17" s="19">
        <f>Sheet2!D17</f>
        <v>0</v>
      </c>
      <c r="H17" s="17">
        <f>Sheet2!H17</f>
        <v>0</v>
      </c>
      <c r="I17" s="18">
        <f t="shared" si="3"/>
        <v>0</v>
      </c>
      <c r="J17" s="18">
        <f t="shared" si="4"/>
        <v>0</v>
      </c>
      <c r="K17" s="18">
        <f t="shared" si="5"/>
        <v>0</v>
      </c>
      <c r="L17" s="17" t="s">
        <v>19</v>
      </c>
    </row>
    <row r="18" spans="1:12" ht="55.5" customHeight="1" x14ac:dyDescent="0.25">
      <c r="A18" s="4" t="str">
        <f>+IF(Sheet2!A18="","",Sheet2!A18)</f>
        <v/>
      </c>
      <c r="B18" s="4" t="str">
        <f>+IF(Sheet2!B18="","",Sheet2!B18)</f>
        <v/>
      </c>
      <c r="C18" s="4" t="str">
        <f>+IF(Sheet2!C18="","",Sheet2!C18)</f>
        <v/>
      </c>
      <c r="D18" s="4" t="e">
        <f>+IF(Sheet2!J18="","",Sheet2!J18)</f>
        <v>#N/A</v>
      </c>
      <c r="E18" s="19">
        <f>Sheet2!D18</f>
        <v>0</v>
      </c>
      <c r="H18" s="17">
        <f>Sheet2!H18</f>
        <v>0</v>
      </c>
      <c r="I18" s="18">
        <f t="shared" si="3"/>
        <v>0</v>
      </c>
      <c r="J18" s="18">
        <f t="shared" si="4"/>
        <v>0</v>
      </c>
      <c r="K18" s="18">
        <f t="shared" si="5"/>
        <v>0</v>
      </c>
      <c r="L18" s="17" t="s">
        <v>19</v>
      </c>
    </row>
    <row r="19" spans="1:12" ht="55.5" customHeight="1" x14ac:dyDescent="0.25">
      <c r="A19" s="4" t="str">
        <f>+IF(Sheet2!A19="","",Sheet2!A19)</f>
        <v/>
      </c>
      <c r="B19" s="4" t="str">
        <f>+IF(Sheet2!B19="","",Sheet2!B19)</f>
        <v/>
      </c>
      <c r="C19" s="4" t="str">
        <f>+IF(Sheet2!C19="","",Sheet2!C19)</f>
        <v/>
      </c>
      <c r="D19" s="4" t="e">
        <f>+IF(Sheet2!J19="","",Sheet2!J19)</f>
        <v>#N/A</v>
      </c>
      <c r="E19" s="19">
        <f>Sheet2!D19</f>
        <v>0</v>
      </c>
      <c r="H19" s="17">
        <f>Sheet2!H19</f>
        <v>0</v>
      </c>
      <c r="I19" s="18">
        <f t="shared" si="3"/>
        <v>0</v>
      </c>
      <c r="J19" s="18">
        <f t="shared" si="4"/>
        <v>0</v>
      </c>
      <c r="K19" s="18">
        <f t="shared" si="5"/>
        <v>0</v>
      </c>
      <c r="L19" s="17" t="s">
        <v>19</v>
      </c>
    </row>
    <row r="20" spans="1:12" ht="55.5" customHeight="1" x14ac:dyDescent="0.25">
      <c r="A20" s="4" t="str">
        <f>+IF(Sheet2!A20="","",Sheet2!A20)</f>
        <v/>
      </c>
      <c r="B20" s="4" t="str">
        <f>+IF(Sheet2!B20="","",Sheet2!B20)</f>
        <v/>
      </c>
      <c r="C20" s="4" t="str">
        <f>+IF(Sheet2!C20="","",Sheet2!C20)</f>
        <v/>
      </c>
      <c r="D20" s="4" t="e">
        <f>+IF(Sheet2!J20="","",Sheet2!J20)</f>
        <v>#N/A</v>
      </c>
      <c r="E20" s="19">
        <f>Sheet2!D20</f>
        <v>0</v>
      </c>
      <c r="H20" s="17">
        <f>Sheet2!H20</f>
        <v>0</v>
      </c>
      <c r="I20" s="18">
        <f t="shared" si="3"/>
        <v>0</v>
      </c>
      <c r="J20" s="18">
        <f t="shared" si="4"/>
        <v>0</v>
      </c>
      <c r="K20" s="18">
        <f t="shared" si="5"/>
        <v>0</v>
      </c>
      <c r="L20" s="17" t="s">
        <v>19</v>
      </c>
    </row>
    <row r="21" spans="1:12" ht="55.5" customHeight="1" x14ac:dyDescent="0.25">
      <c r="A21" s="4" t="str">
        <f>+IF(Sheet2!A21="","",Sheet2!A21)</f>
        <v/>
      </c>
      <c r="B21" s="4" t="str">
        <f>+IF(Sheet2!B21="","",Sheet2!B21)</f>
        <v/>
      </c>
      <c r="C21" s="4" t="str">
        <f>+IF(Sheet2!C21="","",Sheet2!C21)</f>
        <v/>
      </c>
      <c r="D21" s="4" t="e">
        <f>+IF(Sheet2!J21="","",Sheet2!J21)</f>
        <v>#N/A</v>
      </c>
      <c r="E21" s="19">
        <f>Sheet2!D21</f>
        <v>0</v>
      </c>
      <c r="H21" s="17">
        <f>Sheet2!H21</f>
        <v>0</v>
      </c>
      <c r="I21" s="18">
        <f t="shared" si="3"/>
        <v>0</v>
      </c>
      <c r="J21" s="18">
        <f t="shared" si="4"/>
        <v>0</v>
      </c>
      <c r="K21" s="18">
        <f t="shared" si="5"/>
        <v>0</v>
      </c>
      <c r="L21" s="17" t="s">
        <v>19</v>
      </c>
    </row>
    <row r="22" spans="1:12" ht="55.5" customHeight="1" x14ac:dyDescent="0.25">
      <c r="A22" s="4" t="str">
        <f>+IF(Sheet2!A22="","",Sheet2!A22)</f>
        <v/>
      </c>
      <c r="B22" s="4" t="str">
        <f>+IF(Sheet2!B22="","",Sheet2!B22)</f>
        <v/>
      </c>
      <c r="C22" s="4" t="str">
        <f>+IF(Sheet2!C22="","",Sheet2!C22)</f>
        <v/>
      </c>
      <c r="D22" s="4" t="e">
        <f>+IF(Sheet2!J22="","",Sheet2!J22)</f>
        <v>#N/A</v>
      </c>
      <c r="E22" s="19">
        <f>Sheet2!D22</f>
        <v>0</v>
      </c>
      <c r="H22" s="17">
        <f>Sheet2!H22</f>
        <v>0</v>
      </c>
      <c r="I22" s="18">
        <f t="shared" si="3"/>
        <v>0</v>
      </c>
      <c r="J22" s="18">
        <f t="shared" si="4"/>
        <v>0</v>
      </c>
      <c r="K22" s="18">
        <f t="shared" si="5"/>
        <v>0</v>
      </c>
      <c r="L22" s="17" t="s">
        <v>19</v>
      </c>
    </row>
    <row r="23" spans="1:12" ht="55.5" customHeight="1" x14ac:dyDescent="0.25">
      <c r="A23" s="4" t="str">
        <f>+IF(Sheet2!A23="","",Sheet2!A23)</f>
        <v/>
      </c>
      <c r="B23" s="4" t="str">
        <f>+IF(Sheet2!B23="","",Sheet2!B23)</f>
        <v/>
      </c>
      <c r="C23" s="4" t="str">
        <f>+IF(Sheet2!C23="","",Sheet2!C23)</f>
        <v/>
      </c>
      <c r="D23" s="4" t="e">
        <f>+IF(Sheet2!J23="","",Sheet2!J23)</f>
        <v>#N/A</v>
      </c>
      <c r="E23" s="19">
        <f>Sheet2!D23</f>
        <v>0</v>
      </c>
      <c r="H23" s="17">
        <f>Sheet2!H23</f>
        <v>0</v>
      </c>
      <c r="I23" s="18">
        <f t="shared" si="3"/>
        <v>0</v>
      </c>
      <c r="J23" s="18">
        <f t="shared" si="4"/>
        <v>0</v>
      </c>
      <c r="K23" s="18">
        <f t="shared" si="5"/>
        <v>0</v>
      </c>
      <c r="L23" s="17" t="s">
        <v>19</v>
      </c>
    </row>
    <row r="24" spans="1:12" ht="55.5" customHeight="1" x14ac:dyDescent="0.25">
      <c r="A24" s="4" t="str">
        <f>+IF(Sheet2!A24="","",Sheet2!A24)</f>
        <v/>
      </c>
      <c r="B24" s="4" t="str">
        <f>+IF(Sheet2!B24="","",Sheet2!B24)</f>
        <v/>
      </c>
      <c r="C24" s="4" t="str">
        <f>+IF(Sheet2!C24="","",Sheet2!C24)</f>
        <v/>
      </c>
      <c r="D24" s="4" t="e">
        <f>+IF(Sheet2!J24="","",Sheet2!J24)</f>
        <v>#N/A</v>
      </c>
      <c r="E24" s="19">
        <f>Sheet2!D24</f>
        <v>0</v>
      </c>
      <c r="H24" s="17">
        <f>Sheet2!H24</f>
        <v>0</v>
      </c>
      <c r="I24" s="18">
        <f t="shared" si="3"/>
        <v>0</v>
      </c>
      <c r="J24" s="18">
        <f t="shared" si="4"/>
        <v>0</v>
      </c>
      <c r="K24" s="18">
        <f t="shared" si="5"/>
        <v>0</v>
      </c>
      <c r="L24" s="17" t="s">
        <v>19</v>
      </c>
    </row>
    <row r="25" spans="1:12" ht="55.5" customHeight="1" x14ac:dyDescent="0.25">
      <c r="A25" s="4" t="str">
        <f>+IF(Sheet2!A25="","",Sheet2!A25)</f>
        <v/>
      </c>
      <c r="B25" s="4" t="str">
        <f>+IF(Sheet2!B25="","",Sheet2!B25)</f>
        <v/>
      </c>
      <c r="C25" s="4" t="str">
        <f>+IF(Sheet2!C25="","",Sheet2!C25)</f>
        <v/>
      </c>
      <c r="D25" s="4" t="e">
        <f>+IF(Sheet2!J25="","",Sheet2!J25)</f>
        <v>#N/A</v>
      </c>
      <c r="E25" s="19">
        <f>Sheet2!D25</f>
        <v>0</v>
      </c>
      <c r="H25" s="17">
        <f>Sheet2!H25</f>
        <v>0</v>
      </c>
      <c r="I25" s="18">
        <f t="shared" si="3"/>
        <v>0</v>
      </c>
      <c r="J25" s="18">
        <f t="shared" si="4"/>
        <v>0</v>
      </c>
      <c r="K25" s="18">
        <f t="shared" si="5"/>
        <v>0</v>
      </c>
      <c r="L25" s="17" t="s">
        <v>19</v>
      </c>
    </row>
    <row r="26" spans="1:12" ht="55.5" customHeight="1" x14ac:dyDescent="0.25">
      <c r="A26" s="4" t="str">
        <f>+IF(Sheet2!A26="","",Sheet2!A26)</f>
        <v/>
      </c>
      <c r="B26" s="4" t="str">
        <f>+IF(Sheet2!B26="","",Sheet2!B26)</f>
        <v/>
      </c>
      <c r="C26" s="4" t="str">
        <f>+IF(Sheet2!C26="","",Sheet2!C26)</f>
        <v/>
      </c>
      <c r="D26" s="4" t="e">
        <f>+IF(Sheet2!J26="","",Sheet2!J26)</f>
        <v>#N/A</v>
      </c>
      <c r="E26" s="19">
        <f>Sheet2!D26</f>
        <v>0</v>
      </c>
      <c r="H26" s="17">
        <f>Sheet2!H26</f>
        <v>0</v>
      </c>
      <c r="I26" s="18">
        <f t="shared" si="3"/>
        <v>0</v>
      </c>
      <c r="J26" s="18">
        <f t="shared" si="4"/>
        <v>0</v>
      </c>
      <c r="K26" s="18">
        <f t="shared" si="5"/>
        <v>0</v>
      </c>
      <c r="L26" s="17" t="s">
        <v>19</v>
      </c>
    </row>
    <row r="27" spans="1:12" ht="55.5" customHeight="1" x14ac:dyDescent="0.25">
      <c r="A27" s="4" t="str">
        <f>+IF(Sheet2!A27="","",Sheet2!A27)</f>
        <v/>
      </c>
      <c r="B27" s="4" t="str">
        <f>+IF(Sheet2!B27="","",Sheet2!B27)</f>
        <v/>
      </c>
      <c r="C27" s="4" t="str">
        <f>+IF(Sheet2!C27="","",Sheet2!C27)</f>
        <v/>
      </c>
      <c r="D27" s="4" t="e">
        <f>+IF(Sheet2!J27="","",Sheet2!J27)</f>
        <v>#N/A</v>
      </c>
      <c r="E27" s="19">
        <f>Sheet2!D27</f>
        <v>0</v>
      </c>
      <c r="H27" s="17">
        <f>Sheet2!H27</f>
        <v>0</v>
      </c>
      <c r="I27" s="18">
        <f t="shared" si="3"/>
        <v>0</v>
      </c>
      <c r="J27" s="18">
        <f t="shared" si="4"/>
        <v>0</v>
      </c>
      <c r="K27" s="18">
        <f t="shared" si="5"/>
        <v>0</v>
      </c>
      <c r="L27" s="17" t="s">
        <v>19</v>
      </c>
    </row>
    <row r="28" spans="1:12" ht="55.5" customHeight="1" x14ac:dyDescent="0.25">
      <c r="A28" s="4" t="str">
        <f>+IF(Sheet2!A28="","",Sheet2!A28)</f>
        <v/>
      </c>
      <c r="B28" s="4" t="str">
        <f>+IF(Sheet2!B28="","",Sheet2!B28)</f>
        <v/>
      </c>
      <c r="C28" s="4" t="str">
        <f>+IF(Sheet2!C28="","",Sheet2!C28)</f>
        <v/>
      </c>
      <c r="D28" s="4" t="e">
        <f>+IF(Sheet2!J28="","",Sheet2!J28)</f>
        <v>#N/A</v>
      </c>
      <c r="E28" s="19">
        <f>Sheet2!D28</f>
        <v>0</v>
      </c>
      <c r="H28" s="17">
        <f>Sheet2!H28</f>
        <v>0</v>
      </c>
      <c r="I28" s="18">
        <f t="shared" si="3"/>
        <v>0</v>
      </c>
      <c r="J28" s="18">
        <f t="shared" si="4"/>
        <v>0</v>
      </c>
      <c r="K28" s="18">
        <f t="shared" si="5"/>
        <v>0</v>
      </c>
      <c r="L28" s="17" t="s">
        <v>19</v>
      </c>
    </row>
    <row r="29" spans="1:12" ht="55.5" customHeight="1" x14ac:dyDescent="0.25">
      <c r="A29" s="4" t="str">
        <f>+IF(Sheet2!A29="","",Sheet2!A29)</f>
        <v/>
      </c>
      <c r="B29" s="4" t="str">
        <f>+IF(Sheet2!B29="","",Sheet2!B29)</f>
        <v/>
      </c>
      <c r="C29" s="4" t="str">
        <f>+IF(Sheet2!C29="","",Sheet2!C29)</f>
        <v/>
      </c>
      <c r="D29" s="4" t="e">
        <f>+IF(Sheet2!J29="","",Sheet2!J29)</f>
        <v>#N/A</v>
      </c>
      <c r="E29" s="19">
        <f>Sheet2!D29</f>
        <v>0</v>
      </c>
      <c r="H29" s="17">
        <f>Sheet2!H29</f>
        <v>0</v>
      </c>
      <c r="I29" s="18">
        <f t="shared" si="3"/>
        <v>0</v>
      </c>
      <c r="J29" s="18">
        <f t="shared" si="4"/>
        <v>0</v>
      </c>
      <c r="K29" s="18">
        <f t="shared" si="5"/>
        <v>0</v>
      </c>
      <c r="L29" s="17" t="s">
        <v>19</v>
      </c>
    </row>
    <row r="30" spans="1:12" ht="55.5" customHeight="1" x14ac:dyDescent="0.25">
      <c r="A30" s="4" t="str">
        <f>+IF(Sheet2!A30="","",Sheet2!A30)</f>
        <v/>
      </c>
      <c r="B30" s="4" t="str">
        <f>+IF(Sheet2!B30="","",Sheet2!B30)</f>
        <v/>
      </c>
      <c r="C30" s="4" t="str">
        <f>+IF(Sheet2!C30="","",Sheet2!C30)</f>
        <v/>
      </c>
      <c r="D30" s="4" t="e">
        <f>+IF(Sheet2!J30="","",Sheet2!J30)</f>
        <v>#N/A</v>
      </c>
      <c r="E30" s="19">
        <f>Sheet2!D30</f>
        <v>0</v>
      </c>
      <c r="H30" s="17">
        <f>Sheet2!H30</f>
        <v>0</v>
      </c>
      <c r="I30" s="18">
        <f t="shared" si="3"/>
        <v>0</v>
      </c>
      <c r="J30" s="18">
        <f t="shared" si="4"/>
        <v>0</v>
      </c>
      <c r="K30" s="18">
        <f t="shared" si="5"/>
        <v>0</v>
      </c>
      <c r="L30" s="17" t="s">
        <v>19</v>
      </c>
    </row>
    <row r="31" spans="1:12" ht="55.5" customHeight="1" x14ac:dyDescent="0.25">
      <c r="A31" s="4" t="str">
        <f>+IF(Sheet2!A31="","",Sheet2!A31)</f>
        <v/>
      </c>
      <c r="B31" s="4" t="str">
        <f>+IF(Sheet2!B31="","",Sheet2!B31)</f>
        <v/>
      </c>
      <c r="C31" s="4" t="str">
        <f>+IF(Sheet2!C31="","",Sheet2!C31)</f>
        <v/>
      </c>
      <c r="D31" s="4" t="e">
        <f>+IF(Sheet2!J31="","",Sheet2!J31)</f>
        <v>#N/A</v>
      </c>
      <c r="E31" s="19">
        <f>Sheet2!D31</f>
        <v>0</v>
      </c>
      <c r="H31" s="17">
        <f>Sheet2!H31</f>
        <v>0</v>
      </c>
      <c r="I31" s="18">
        <f t="shared" si="3"/>
        <v>0</v>
      </c>
      <c r="J31" s="18">
        <f t="shared" si="4"/>
        <v>0</v>
      </c>
      <c r="K31" s="18">
        <f t="shared" si="5"/>
        <v>0</v>
      </c>
      <c r="L31" s="17" t="s">
        <v>19</v>
      </c>
    </row>
    <row r="32" spans="1:12" ht="55.5" customHeight="1" x14ac:dyDescent="0.25">
      <c r="A32" s="4" t="str">
        <f>+IF(Sheet2!A32="","",Sheet2!A32)</f>
        <v/>
      </c>
      <c r="B32" s="4" t="str">
        <f>+IF(Sheet2!B32="","",Sheet2!B32)</f>
        <v/>
      </c>
      <c r="C32" s="4" t="str">
        <f>+IF(Sheet2!C32="","",Sheet2!C32)</f>
        <v/>
      </c>
      <c r="D32" s="4" t="e">
        <f>+IF(Sheet2!J32="","",Sheet2!J32)</f>
        <v>#N/A</v>
      </c>
      <c r="E32" s="19">
        <f>Sheet2!D32</f>
        <v>0</v>
      </c>
      <c r="H32" s="17">
        <f>Sheet2!H32</f>
        <v>0</v>
      </c>
      <c r="I32" s="18">
        <f t="shared" si="3"/>
        <v>0</v>
      </c>
      <c r="J32" s="18">
        <f t="shared" si="4"/>
        <v>0</v>
      </c>
      <c r="K32" s="18">
        <f t="shared" si="5"/>
        <v>0</v>
      </c>
      <c r="L32" s="17" t="s">
        <v>19</v>
      </c>
    </row>
    <row r="33" spans="1:12" ht="55.5" customHeight="1" x14ac:dyDescent="0.25">
      <c r="A33" s="4" t="str">
        <f>+IF(Sheet2!A33="","",Sheet2!A33)</f>
        <v/>
      </c>
      <c r="B33" s="4" t="str">
        <f>+IF(Sheet2!B33="","",Sheet2!B33)</f>
        <v/>
      </c>
      <c r="C33" s="4" t="str">
        <f>+IF(Sheet2!C33="","",Sheet2!C33)</f>
        <v/>
      </c>
      <c r="D33" s="4" t="e">
        <f>+IF(Sheet2!J33="","",Sheet2!J33)</f>
        <v>#N/A</v>
      </c>
      <c r="E33" s="19">
        <f>Sheet2!D33</f>
        <v>0</v>
      </c>
      <c r="H33" s="17">
        <f>Sheet2!H33</f>
        <v>0</v>
      </c>
      <c r="I33" s="18">
        <f t="shared" si="3"/>
        <v>0</v>
      </c>
      <c r="J33" s="18">
        <f t="shared" si="4"/>
        <v>0</v>
      </c>
      <c r="K33" s="18">
        <f t="shared" si="5"/>
        <v>0</v>
      </c>
      <c r="L33" s="17" t="s">
        <v>19</v>
      </c>
    </row>
    <row r="34" spans="1:12" ht="55.5" customHeight="1" x14ac:dyDescent="0.25">
      <c r="A34" s="4" t="str">
        <f>+IF(Sheet2!A34="","",Sheet2!A34)</f>
        <v/>
      </c>
      <c r="B34" s="4" t="str">
        <f>+IF(Sheet2!B34="","",Sheet2!B34)</f>
        <v/>
      </c>
      <c r="C34" s="4" t="str">
        <f>+IF(Sheet2!C34="","",Sheet2!C34)</f>
        <v/>
      </c>
      <c r="D34" s="4" t="e">
        <f>+IF(Sheet2!J34="","",Sheet2!J34)</f>
        <v>#N/A</v>
      </c>
      <c r="E34" s="19">
        <f>Sheet2!D34</f>
        <v>0</v>
      </c>
      <c r="H34" s="17">
        <f>Sheet2!H34</f>
        <v>0</v>
      </c>
      <c r="I34" s="18">
        <f t="shared" si="3"/>
        <v>0</v>
      </c>
      <c r="J34" s="18">
        <f t="shared" si="4"/>
        <v>0</v>
      </c>
      <c r="K34" s="18">
        <f t="shared" si="5"/>
        <v>0</v>
      </c>
      <c r="L34" s="17" t="s">
        <v>19</v>
      </c>
    </row>
    <row r="35" spans="1:12" ht="55.5" customHeight="1" x14ac:dyDescent="0.25">
      <c r="A35" s="4" t="str">
        <f>+IF(Sheet2!A35="","",Sheet2!A35)</f>
        <v/>
      </c>
      <c r="B35" s="4" t="str">
        <f>+IF(Sheet2!B35="","",Sheet2!B35)</f>
        <v/>
      </c>
      <c r="C35" s="4" t="str">
        <f>+IF(Sheet2!C35="","",Sheet2!C35)</f>
        <v/>
      </c>
      <c r="D35" s="4" t="e">
        <f>+IF(Sheet2!J35="","",Sheet2!J35)</f>
        <v>#N/A</v>
      </c>
      <c r="E35" s="19">
        <f>Sheet2!D35</f>
        <v>0</v>
      </c>
      <c r="H35" s="17">
        <f>Sheet2!H35</f>
        <v>0</v>
      </c>
      <c r="I35" s="18">
        <f t="shared" si="3"/>
        <v>0</v>
      </c>
      <c r="J35" s="18">
        <f t="shared" si="4"/>
        <v>0</v>
      </c>
      <c r="K35" s="18">
        <f t="shared" si="5"/>
        <v>0</v>
      </c>
      <c r="L35" s="17" t="s">
        <v>19</v>
      </c>
    </row>
    <row r="36" spans="1:12" ht="55.5" customHeight="1" x14ac:dyDescent="0.25">
      <c r="A36" s="4" t="str">
        <f>+IF(Sheet2!A36="","",Sheet2!A36)</f>
        <v/>
      </c>
      <c r="B36" s="4" t="str">
        <f>+IF(Sheet2!B36="","",Sheet2!B36)</f>
        <v/>
      </c>
      <c r="C36" s="4" t="str">
        <f>+IF(Sheet2!C36="","",Sheet2!C36)</f>
        <v/>
      </c>
      <c r="D36" s="4" t="e">
        <f>+IF(Sheet2!J36="","",Sheet2!J36)</f>
        <v>#N/A</v>
      </c>
      <c r="E36" s="19">
        <f>Sheet2!D36</f>
        <v>0</v>
      </c>
      <c r="H36" s="17">
        <f>Sheet2!H36</f>
        <v>0</v>
      </c>
      <c r="I36" s="18">
        <f t="shared" si="3"/>
        <v>0</v>
      </c>
      <c r="J36" s="18">
        <f t="shared" si="4"/>
        <v>0</v>
      </c>
      <c r="K36" s="18">
        <f t="shared" si="5"/>
        <v>0</v>
      </c>
      <c r="L36" s="17" t="s">
        <v>19</v>
      </c>
    </row>
    <row r="37" spans="1:12" ht="55.5" customHeight="1" x14ac:dyDescent="0.25">
      <c r="A37" s="4" t="str">
        <f>+IF(Sheet2!A37="","",Sheet2!A37)</f>
        <v/>
      </c>
      <c r="B37" s="4" t="str">
        <f>+IF(Sheet2!B37="","",Sheet2!B37)</f>
        <v/>
      </c>
      <c r="C37" s="4" t="str">
        <f>+IF(Sheet2!C37="","",Sheet2!C37)</f>
        <v/>
      </c>
      <c r="D37" s="4" t="e">
        <f>+IF(Sheet2!J37="","",Sheet2!J37)</f>
        <v>#N/A</v>
      </c>
      <c r="E37" s="19">
        <f>Sheet2!D37</f>
        <v>0</v>
      </c>
      <c r="H37" s="17">
        <f>Sheet2!H37</f>
        <v>0</v>
      </c>
      <c r="I37" s="18">
        <f t="shared" si="3"/>
        <v>0</v>
      </c>
      <c r="J37" s="18">
        <f t="shared" si="4"/>
        <v>0</v>
      </c>
      <c r="K37" s="18">
        <f t="shared" si="5"/>
        <v>0</v>
      </c>
      <c r="L37" s="17" t="s">
        <v>19</v>
      </c>
    </row>
    <row r="38" spans="1:12" ht="55.5" customHeight="1" x14ac:dyDescent="0.25">
      <c r="A38" s="4" t="str">
        <f>+IF(Sheet2!A38="","",Sheet2!A38)</f>
        <v/>
      </c>
      <c r="B38" s="4" t="str">
        <f>+IF(Sheet2!B38="","",Sheet2!B38)</f>
        <v/>
      </c>
      <c r="C38" s="4" t="str">
        <f>+IF(Sheet2!C38="","",Sheet2!C38)</f>
        <v/>
      </c>
      <c r="D38" s="4" t="e">
        <f>+IF(Sheet2!J38="","",Sheet2!J38)</f>
        <v>#N/A</v>
      </c>
      <c r="E38" s="19">
        <f>Sheet2!D38</f>
        <v>0</v>
      </c>
      <c r="H38" s="17">
        <f>Sheet2!H38</f>
        <v>0</v>
      </c>
      <c r="I38" s="18">
        <f t="shared" si="3"/>
        <v>0</v>
      </c>
      <c r="J38" s="18">
        <f t="shared" si="4"/>
        <v>0</v>
      </c>
      <c r="K38" s="18">
        <f t="shared" si="5"/>
        <v>0</v>
      </c>
      <c r="L38" s="17" t="s">
        <v>19</v>
      </c>
    </row>
    <row r="39" spans="1:12" ht="55.5" customHeight="1" x14ac:dyDescent="0.25">
      <c r="A39" s="4" t="str">
        <f>+IF(Sheet2!A39="","",Sheet2!A39)</f>
        <v/>
      </c>
      <c r="B39" s="4" t="str">
        <f>+IF(Sheet2!B39="","",Sheet2!B39)</f>
        <v/>
      </c>
      <c r="C39" s="4" t="str">
        <f>+IF(Sheet2!C39="","",Sheet2!C39)</f>
        <v/>
      </c>
      <c r="D39" s="4" t="e">
        <f>+IF(Sheet2!J39="","",Sheet2!J39)</f>
        <v>#N/A</v>
      </c>
      <c r="E39" s="19">
        <f>Sheet2!D39</f>
        <v>0</v>
      </c>
      <c r="H39" s="17">
        <f>Sheet2!H39</f>
        <v>0</v>
      </c>
      <c r="I39" s="18">
        <f t="shared" si="3"/>
        <v>0</v>
      </c>
      <c r="J39" s="18">
        <f t="shared" si="4"/>
        <v>0</v>
      </c>
      <c r="K39" s="18">
        <f t="shared" si="5"/>
        <v>0</v>
      </c>
      <c r="L39" s="17" t="s">
        <v>19</v>
      </c>
    </row>
    <row r="40" spans="1:12" ht="55.5" customHeight="1" x14ac:dyDescent="0.25">
      <c r="A40" s="4" t="str">
        <f>+IF(Sheet2!A40="","",Sheet2!A40)</f>
        <v/>
      </c>
      <c r="B40" s="4" t="str">
        <f>+IF(Sheet2!B40="","",Sheet2!B40)</f>
        <v/>
      </c>
      <c r="C40" s="4" t="str">
        <f>+IF(Sheet2!C40="","",Sheet2!C40)</f>
        <v/>
      </c>
      <c r="D40" s="4" t="e">
        <f>+IF(Sheet2!J40="","",Sheet2!J40)</f>
        <v>#N/A</v>
      </c>
      <c r="E40" s="19">
        <f>Sheet2!D40</f>
        <v>0</v>
      </c>
      <c r="H40" s="17">
        <f>Sheet2!H40</f>
        <v>0</v>
      </c>
      <c r="I40" s="18">
        <f t="shared" si="3"/>
        <v>0</v>
      </c>
      <c r="J40" s="18">
        <f t="shared" si="4"/>
        <v>0</v>
      </c>
      <c r="K40" s="18">
        <f t="shared" si="5"/>
        <v>0</v>
      </c>
      <c r="L40" s="17" t="s">
        <v>19</v>
      </c>
    </row>
    <row r="41" spans="1:12" ht="55.5" customHeight="1" x14ac:dyDescent="0.25">
      <c r="A41" s="4" t="str">
        <f>+IF(Sheet2!A41="","",Sheet2!A41)</f>
        <v/>
      </c>
      <c r="B41" s="4" t="str">
        <f>+IF(Sheet2!B41="","",Sheet2!B41)</f>
        <v/>
      </c>
      <c r="C41" s="4" t="str">
        <f>+IF(Sheet2!C41="","",Sheet2!C41)</f>
        <v/>
      </c>
      <c r="D41" s="4" t="e">
        <f>+IF(Sheet2!J41="","",Sheet2!J41)</f>
        <v>#N/A</v>
      </c>
      <c r="E41" s="19">
        <f>Sheet2!D41</f>
        <v>0</v>
      </c>
      <c r="H41" s="17">
        <f>Sheet2!H41</f>
        <v>0</v>
      </c>
      <c r="I41" s="18">
        <f t="shared" si="3"/>
        <v>0</v>
      </c>
      <c r="J41" s="18">
        <f t="shared" si="4"/>
        <v>0</v>
      </c>
      <c r="K41" s="18">
        <f t="shared" si="5"/>
        <v>0</v>
      </c>
      <c r="L41" s="17" t="s">
        <v>19</v>
      </c>
    </row>
    <row r="42" spans="1:12" ht="55.5" customHeight="1" x14ac:dyDescent="0.25">
      <c r="A42" s="4" t="str">
        <f>+IF(Sheet2!A42="","",Sheet2!A42)</f>
        <v/>
      </c>
      <c r="B42" s="4" t="str">
        <f>+IF(Sheet2!B42="","",Sheet2!B42)</f>
        <v/>
      </c>
      <c r="C42" s="4" t="str">
        <f>+IF(Sheet2!C42="","",Sheet2!C42)</f>
        <v/>
      </c>
      <c r="D42" s="4" t="e">
        <f>+IF(Sheet2!J42="","",Sheet2!J42)</f>
        <v>#N/A</v>
      </c>
      <c r="E42" s="19">
        <f>Sheet2!D42</f>
        <v>0</v>
      </c>
      <c r="H42" s="17">
        <f>Sheet2!H42</f>
        <v>0</v>
      </c>
      <c r="I42" s="18">
        <f t="shared" si="3"/>
        <v>0</v>
      </c>
      <c r="J42" s="18">
        <f t="shared" si="4"/>
        <v>0</v>
      </c>
      <c r="K42" s="18">
        <f t="shared" si="5"/>
        <v>0</v>
      </c>
      <c r="L42" s="17" t="s">
        <v>19</v>
      </c>
    </row>
    <row r="43" spans="1:12" ht="55.5" customHeight="1" x14ac:dyDescent="0.25">
      <c r="A43" s="4" t="str">
        <f>+IF(Sheet2!A43="","",Sheet2!A43)</f>
        <v/>
      </c>
      <c r="B43" s="4" t="str">
        <f>+IF(Sheet2!B43="","",Sheet2!B43)</f>
        <v/>
      </c>
      <c r="C43" s="4" t="str">
        <f>+IF(Sheet2!C43="","",Sheet2!C43)</f>
        <v/>
      </c>
      <c r="D43" s="4" t="e">
        <f>+IF(Sheet2!J43="","",Sheet2!J43)</f>
        <v>#N/A</v>
      </c>
      <c r="E43" s="19">
        <f>Sheet2!D43</f>
        <v>0</v>
      </c>
      <c r="H43" s="17">
        <f>Sheet2!H43</f>
        <v>0</v>
      </c>
      <c r="I43" s="18">
        <f t="shared" si="3"/>
        <v>0</v>
      </c>
      <c r="J43" s="18">
        <f t="shared" si="4"/>
        <v>0</v>
      </c>
      <c r="K43" s="18">
        <f t="shared" si="5"/>
        <v>0</v>
      </c>
      <c r="L43" s="17" t="s">
        <v>19</v>
      </c>
    </row>
    <row r="44" spans="1:12" ht="55.5" customHeight="1" x14ac:dyDescent="0.25">
      <c r="A44" s="4" t="str">
        <f>+IF(Sheet2!A44="","",Sheet2!A44)</f>
        <v/>
      </c>
      <c r="B44" s="4" t="str">
        <f>+IF(Sheet2!B44="","",Sheet2!B44)</f>
        <v/>
      </c>
      <c r="C44" s="4" t="str">
        <f>+IF(Sheet2!C44="","",Sheet2!C44)</f>
        <v/>
      </c>
      <c r="D44" s="4" t="e">
        <f>+IF(Sheet2!J44="","",Sheet2!J44)</f>
        <v>#N/A</v>
      </c>
      <c r="E44" s="19">
        <f>Sheet2!D44</f>
        <v>0</v>
      </c>
      <c r="H44" s="17">
        <f>Sheet2!H44</f>
        <v>0</v>
      </c>
      <c r="I44" s="18">
        <f t="shared" si="3"/>
        <v>0</v>
      </c>
      <c r="J44" s="18">
        <f t="shared" si="4"/>
        <v>0</v>
      </c>
      <c r="K44" s="18">
        <f t="shared" si="5"/>
        <v>0</v>
      </c>
      <c r="L44" s="17" t="s">
        <v>19</v>
      </c>
    </row>
    <row r="45" spans="1:12" ht="55.5" customHeight="1" x14ac:dyDescent="0.25">
      <c r="A45" s="4" t="str">
        <f>+IF(Sheet2!A45="","",Sheet2!A45)</f>
        <v/>
      </c>
      <c r="B45" s="4" t="str">
        <f>+IF(Sheet2!B45="","",Sheet2!B45)</f>
        <v/>
      </c>
      <c r="C45" s="4" t="str">
        <f>+IF(Sheet2!C45="","",Sheet2!C45)</f>
        <v/>
      </c>
      <c r="D45" s="4" t="e">
        <f>+IF(Sheet2!J45="","",Sheet2!J45)</f>
        <v>#N/A</v>
      </c>
      <c r="E45" s="19">
        <f>Sheet2!D45</f>
        <v>0</v>
      </c>
      <c r="H45" s="17">
        <f>Sheet2!H45</f>
        <v>0</v>
      </c>
      <c r="I45" s="18">
        <f t="shared" si="3"/>
        <v>0</v>
      </c>
      <c r="J45" s="18">
        <f t="shared" si="4"/>
        <v>0</v>
      </c>
      <c r="K45" s="18">
        <f t="shared" si="5"/>
        <v>0</v>
      </c>
      <c r="L45" s="17" t="s">
        <v>19</v>
      </c>
    </row>
    <row r="46" spans="1:12" ht="55.5" customHeight="1" x14ac:dyDescent="0.25">
      <c r="A46" s="4" t="str">
        <f>+IF(Sheet2!A46="","",Sheet2!A46)</f>
        <v/>
      </c>
      <c r="B46" s="4" t="str">
        <f>+IF(Sheet2!B46="","",Sheet2!B46)</f>
        <v/>
      </c>
      <c r="C46" s="4" t="str">
        <f>+IF(Sheet2!C46="","",Sheet2!C46)</f>
        <v/>
      </c>
      <c r="D46" s="4" t="e">
        <f>+IF(Sheet2!J46="","",Sheet2!J46)</f>
        <v>#N/A</v>
      </c>
      <c r="E46" s="19">
        <f>Sheet2!D46</f>
        <v>0</v>
      </c>
      <c r="H46" s="17">
        <f>Sheet2!H46</f>
        <v>0</v>
      </c>
      <c r="I46" s="18">
        <f t="shared" si="3"/>
        <v>0</v>
      </c>
      <c r="J46" s="18">
        <f t="shared" si="4"/>
        <v>0</v>
      </c>
      <c r="K46" s="18">
        <f t="shared" si="5"/>
        <v>0</v>
      </c>
      <c r="L46" s="17" t="s">
        <v>19</v>
      </c>
    </row>
    <row r="47" spans="1:12" ht="55.5" customHeight="1" x14ac:dyDescent="0.25">
      <c r="A47" s="4" t="str">
        <f>+IF(Sheet2!A47="","",Sheet2!A47)</f>
        <v/>
      </c>
      <c r="B47" s="4" t="str">
        <f>+IF(Sheet2!B47="","",Sheet2!B47)</f>
        <v/>
      </c>
      <c r="C47" s="4" t="str">
        <f>+IF(Sheet2!C47="","",Sheet2!C47)</f>
        <v/>
      </c>
      <c r="D47" s="4" t="e">
        <f>+IF(Sheet2!J47="","",Sheet2!J47)</f>
        <v>#N/A</v>
      </c>
      <c r="E47" s="19">
        <f>Sheet2!D47</f>
        <v>0</v>
      </c>
      <c r="H47" s="17">
        <f>Sheet2!H47</f>
        <v>0</v>
      </c>
      <c r="I47" s="18">
        <f t="shared" si="3"/>
        <v>0</v>
      </c>
      <c r="J47" s="18">
        <f t="shared" si="4"/>
        <v>0</v>
      </c>
      <c r="K47" s="18">
        <f t="shared" si="5"/>
        <v>0</v>
      </c>
      <c r="L47" s="17" t="s">
        <v>19</v>
      </c>
    </row>
    <row r="48" spans="1:12" ht="55.5" customHeight="1" x14ac:dyDescent="0.25">
      <c r="A48" s="4" t="str">
        <f>+IF(Sheet2!A48="","",Sheet2!A48)</f>
        <v/>
      </c>
      <c r="B48" s="4" t="str">
        <f>+IF(Sheet2!B48="","",Sheet2!B48)</f>
        <v/>
      </c>
      <c r="C48" s="4" t="str">
        <f>+IF(Sheet2!C48="","",Sheet2!C48)</f>
        <v/>
      </c>
      <c r="D48" s="4" t="e">
        <f>+IF(Sheet2!J48="","",Sheet2!J48)</f>
        <v>#N/A</v>
      </c>
      <c r="E48" s="19">
        <f>Sheet2!D48</f>
        <v>0</v>
      </c>
      <c r="H48" s="17">
        <f>Sheet2!H48</f>
        <v>0</v>
      </c>
      <c r="I48" s="18">
        <f t="shared" si="3"/>
        <v>0</v>
      </c>
      <c r="J48" s="18">
        <f t="shared" si="4"/>
        <v>0</v>
      </c>
      <c r="K48" s="18">
        <f t="shared" si="5"/>
        <v>0</v>
      </c>
      <c r="L48" s="17" t="s">
        <v>19</v>
      </c>
    </row>
    <row r="49" spans="1:12" ht="55.5" customHeight="1" x14ac:dyDescent="0.25">
      <c r="A49" s="4" t="str">
        <f>+IF(Sheet2!A49="","",Sheet2!A49)</f>
        <v/>
      </c>
      <c r="B49" s="4" t="str">
        <f>+IF(Sheet2!B49="","",Sheet2!B49)</f>
        <v/>
      </c>
      <c r="C49" s="4" t="str">
        <f>+IF(Sheet2!C49="","",Sheet2!C49)</f>
        <v/>
      </c>
      <c r="D49" s="4" t="e">
        <f>+IF(Sheet2!J49="","",Sheet2!J49)</f>
        <v>#N/A</v>
      </c>
      <c r="E49" s="19">
        <f>Sheet2!D49</f>
        <v>0</v>
      </c>
      <c r="H49" s="17">
        <f>Sheet2!H49</f>
        <v>0</v>
      </c>
      <c r="I49" s="18">
        <f t="shared" si="3"/>
        <v>0</v>
      </c>
      <c r="J49" s="18">
        <f t="shared" si="4"/>
        <v>0</v>
      </c>
      <c r="K49" s="18">
        <f t="shared" si="5"/>
        <v>0</v>
      </c>
      <c r="L49" s="17" t="s">
        <v>19</v>
      </c>
    </row>
    <row r="50" spans="1:12" ht="55.5" customHeight="1" x14ac:dyDescent="0.25">
      <c r="A50" s="4" t="str">
        <f>+IF(Sheet2!A50="","",Sheet2!A50)</f>
        <v/>
      </c>
      <c r="B50" s="4" t="str">
        <f>+IF(Sheet2!B50="","",Sheet2!B50)</f>
        <v/>
      </c>
      <c r="C50" s="4" t="str">
        <f>+IF(Sheet2!C50="","",Sheet2!C50)</f>
        <v/>
      </c>
      <c r="D50" s="4" t="e">
        <f>+IF(Sheet2!J50="","",Sheet2!J50)</f>
        <v>#N/A</v>
      </c>
      <c r="E50" s="19">
        <f>Sheet2!D50</f>
        <v>0</v>
      </c>
      <c r="H50" s="17">
        <f>Sheet2!H50</f>
        <v>0</v>
      </c>
      <c r="I50" s="18">
        <f t="shared" si="3"/>
        <v>0</v>
      </c>
      <c r="J50" s="18">
        <f t="shared" si="4"/>
        <v>0</v>
      </c>
      <c r="K50" s="18">
        <f t="shared" si="5"/>
        <v>0</v>
      </c>
      <c r="L50" s="17" t="s">
        <v>19</v>
      </c>
    </row>
    <row r="51" spans="1:12" ht="55.5" customHeight="1" x14ac:dyDescent="0.25">
      <c r="A51" s="4" t="str">
        <f>+IF(Sheet2!A51="","",Sheet2!A51)</f>
        <v/>
      </c>
      <c r="B51" s="4" t="str">
        <f>+IF(Sheet2!B51="","",Sheet2!B51)</f>
        <v/>
      </c>
      <c r="C51" s="4" t="str">
        <f>+IF(Sheet2!C51="","",Sheet2!C51)</f>
        <v/>
      </c>
      <c r="D51" s="4" t="e">
        <f>+IF(Sheet2!J51="","",Sheet2!J51)</f>
        <v>#N/A</v>
      </c>
      <c r="E51" s="19">
        <f>Sheet2!D51</f>
        <v>0</v>
      </c>
      <c r="H51" s="17">
        <f>Sheet2!H51</f>
        <v>0</v>
      </c>
      <c r="I51" s="18">
        <f t="shared" si="3"/>
        <v>0</v>
      </c>
      <c r="J51" s="18">
        <f t="shared" si="4"/>
        <v>0</v>
      </c>
      <c r="K51" s="18">
        <f t="shared" si="5"/>
        <v>0</v>
      </c>
      <c r="L51" s="17" t="s">
        <v>19</v>
      </c>
    </row>
    <row r="52" spans="1:12" ht="55.5" customHeight="1" x14ac:dyDescent="0.25">
      <c r="A52" s="4" t="str">
        <f>+IF(Sheet2!A52="","",Sheet2!A52)</f>
        <v/>
      </c>
      <c r="B52" s="4" t="str">
        <f>+IF(Sheet2!B52="","",Sheet2!B52)</f>
        <v/>
      </c>
      <c r="C52" s="4" t="str">
        <f>+IF(Sheet2!C52="","",Sheet2!C52)</f>
        <v/>
      </c>
      <c r="D52" s="4" t="e">
        <f>+IF(Sheet2!J52="","",Sheet2!J52)</f>
        <v>#N/A</v>
      </c>
      <c r="E52" s="19">
        <f>Sheet2!D52</f>
        <v>0</v>
      </c>
      <c r="H52" s="17">
        <f>Sheet2!H52</f>
        <v>0</v>
      </c>
      <c r="I52" s="18">
        <f t="shared" si="3"/>
        <v>0</v>
      </c>
      <c r="J52" s="18">
        <f t="shared" si="4"/>
        <v>0</v>
      </c>
      <c r="K52" s="18">
        <f t="shared" si="5"/>
        <v>0</v>
      </c>
      <c r="L52" s="17" t="s">
        <v>19</v>
      </c>
    </row>
    <row r="53" spans="1:12" ht="55.5" customHeight="1" x14ac:dyDescent="0.25">
      <c r="A53" s="4" t="str">
        <f>+IF(Sheet2!A53="","",Sheet2!A53)</f>
        <v/>
      </c>
      <c r="B53" s="4" t="str">
        <f>+IF(Sheet2!B53="","",Sheet2!B53)</f>
        <v/>
      </c>
      <c r="C53" s="4" t="str">
        <f>+IF(Sheet2!C53="","",Sheet2!C53)</f>
        <v/>
      </c>
      <c r="D53" s="4" t="e">
        <f>+IF(Sheet2!J53="","",Sheet2!J53)</f>
        <v>#N/A</v>
      </c>
      <c r="E53" s="19">
        <f>Sheet2!D53</f>
        <v>0</v>
      </c>
      <c r="H53" s="17">
        <f>Sheet2!H53</f>
        <v>0</v>
      </c>
      <c r="I53" s="18">
        <f t="shared" si="3"/>
        <v>0</v>
      </c>
      <c r="J53" s="18">
        <f t="shared" si="4"/>
        <v>0</v>
      </c>
      <c r="K53" s="18">
        <f t="shared" si="5"/>
        <v>0</v>
      </c>
      <c r="L53" s="17" t="s">
        <v>19</v>
      </c>
    </row>
    <row r="54" spans="1:12" ht="55.5" customHeight="1" x14ac:dyDescent="0.25">
      <c r="A54" s="4" t="str">
        <f>+IF(Sheet2!A54="","",Sheet2!A54)</f>
        <v/>
      </c>
      <c r="B54" s="4" t="str">
        <f>+IF(Sheet2!B54="","",Sheet2!B54)</f>
        <v/>
      </c>
      <c r="C54" s="4" t="str">
        <f>+IF(Sheet2!C54="","",Sheet2!C54)</f>
        <v/>
      </c>
      <c r="D54" s="4" t="e">
        <f>+IF(Sheet2!J54="","",Sheet2!J54)</f>
        <v>#N/A</v>
      </c>
      <c r="E54" s="19">
        <f>Sheet2!D54</f>
        <v>0</v>
      </c>
      <c r="H54" s="17">
        <f>Sheet2!H54</f>
        <v>0</v>
      </c>
      <c r="I54" s="18">
        <f t="shared" si="3"/>
        <v>0</v>
      </c>
      <c r="J54" s="18">
        <f t="shared" si="4"/>
        <v>0</v>
      </c>
      <c r="K54" s="18">
        <f t="shared" si="5"/>
        <v>0</v>
      </c>
      <c r="L54" s="17" t="s">
        <v>19</v>
      </c>
    </row>
    <row r="55" spans="1:12" ht="55.5" customHeight="1" x14ac:dyDescent="0.25">
      <c r="A55" s="4" t="str">
        <f>+IF(Sheet2!A55="","",Sheet2!A55)</f>
        <v/>
      </c>
      <c r="B55" s="4" t="str">
        <f>+IF(Sheet2!B55="","",Sheet2!B55)</f>
        <v/>
      </c>
      <c r="C55" s="4" t="str">
        <f>+IF(Sheet2!C55="","",Sheet2!C55)</f>
        <v/>
      </c>
      <c r="D55" s="4" t="e">
        <f>+IF(Sheet2!J55="","",Sheet2!J55)</f>
        <v>#N/A</v>
      </c>
      <c r="E55" s="19">
        <f>Sheet2!D55</f>
        <v>0</v>
      </c>
      <c r="H55" s="17">
        <f>Sheet2!H55</f>
        <v>0</v>
      </c>
      <c r="I55" s="18">
        <f t="shared" si="3"/>
        <v>0</v>
      </c>
      <c r="J55" s="18">
        <f t="shared" si="4"/>
        <v>0</v>
      </c>
      <c r="K55" s="18">
        <f t="shared" si="5"/>
        <v>0</v>
      </c>
      <c r="L55" s="17" t="s">
        <v>19</v>
      </c>
    </row>
    <row r="56" spans="1:12" ht="55.5" customHeight="1" x14ac:dyDescent="0.25">
      <c r="A56" s="4" t="str">
        <f>+IF(Sheet2!A56="","",Sheet2!A56)</f>
        <v/>
      </c>
      <c r="B56" s="4" t="str">
        <f>+IF(Sheet2!B56="","",Sheet2!B56)</f>
        <v/>
      </c>
      <c r="C56" s="4" t="str">
        <f>+IF(Sheet2!C56="","",Sheet2!C56)</f>
        <v/>
      </c>
      <c r="D56" s="4" t="e">
        <f>+IF(Sheet2!J56="","",Sheet2!J56)</f>
        <v>#N/A</v>
      </c>
      <c r="E56" s="19">
        <f>Sheet2!D56</f>
        <v>0</v>
      </c>
      <c r="H56" s="17">
        <f>Sheet2!H56</f>
        <v>0</v>
      </c>
      <c r="I56" s="18">
        <f t="shared" si="3"/>
        <v>0</v>
      </c>
      <c r="J56" s="18">
        <f t="shared" si="4"/>
        <v>0</v>
      </c>
      <c r="K56" s="18">
        <f t="shared" si="5"/>
        <v>0</v>
      </c>
      <c r="L56" s="17" t="s">
        <v>19</v>
      </c>
    </row>
    <row r="57" spans="1:12" ht="55.5" customHeight="1" x14ac:dyDescent="0.25">
      <c r="A57" s="4" t="str">
        <f>+IF(Sheet2!A57="","",Sheet2!A57)</f>
        <v/>
      </c>
      <c r="B57" s="4" t="str">
        <f>+IF(Sheet2!B57="","",Sheet2!B57)</f>
        <v/>
      </c>
      <c r="C57" s="4" t="str">
        <f>+IF(Sheet2!C57="","",Sheet2!C57)</f>
        <v/>
      </c>
      <c r="D57" s="4" t="e">
        <f>+IF(Sheet2!J57="","",Sheet2!J57)</f>
        <v>#N/A</v>
      </c>
      <c r="E57" s="19">
        <f>Sheet2!D57</f>
        <v>0</v>
      </c>
      <c r="H57" s="17">
        <f>Sheet2!H57</f>
        <v>0</v>
      </c>
      <c r="I57" s="18">
        <f t="shared" si="3"/>
        <v>0</v>
      </c>
      <c r="J57" s="18">
        <f t="shared" si="4"/>
        <v>0</v>
      </c>
      <c r="K57" s="18">
        <f t="shared" si="5"/>
        <v>0</v>
      </c>
      <c r="L57" s="17" t="s">
        <v>19</v>
      </c>
    </row>
    <row r="58" spans="1:12" ht="55.5" customHeight="1" x14ac:dyDescent="0.25">
      <c r="A58" s="4" t="str">
        <f>+IF(Sheet2!A58="","",Sheet2!A58)</f>
        <v/>
      </c>
      <c r="B58" s="4" t="str">
        <f>+IF(Sheet2!B58="","",Sheet2!B58)</f>
        <v/>
      </c>
      <c r="C58" s="4" t="str">
        <f>+IF(Sheet2!C58="","",Sheet2!C58)</f>
        <v/>
      </c>
      <c r="D58" s="4" t="e">
        <f>+IF(Sheet2!J58="","",Sheet2!J58)</f>
        <v>#N/A</v>
      </c>
      <c r="E58" s="19">
        <f>Sheet2!D58</f>
        <v>0</v>
      </c>
      <c r="H58" s="17">
        <f>Sheet2!H58</f>
        <v>0</v>
      </c>
      <c r="I58" s="18">
        <f t="shared" si="3"/>
        <v>0</v>
      </c>
      <c r="J58" s="18">
        <f t="shared" si="4"/>
        <v>0</v>
      </c>
      <c r="K58" s="18">
        <f t="shared" si="5"/>
        <v>0</v>
      </c>
      <c r="L58" s="17" t="s">
        <v>19</v>
      </c>
    </row>
    <row r="59" spans="1:12" ht="55.5" customHeight="1" x14ac:dyDescent="0.25">
      <c r="A59" s="4" t="str">
        <f>+IF(Sheet2!A59="","",Sheet2!A59)</f>
        <v/>
      </c>
      <c r="B59" s="4" t="str">
        <f>+IF(Sheet2!B59="","",Sheet2!B59)</f>
        <v/>
      </c>
      <c r="C59" s="4" t="str">
        <f>+IF(Sheet2!C59="","",Sheet2!C59)</f>
        <v/>
      </c>
      <c r="D59" s="4" t="e">
        <f>+IF(Sheet2!J59="","",Sheet2!J59)</f>
        <v>#N/A</v>
      </c>
      <c r="E59" s="19">
        <f>Sheet2!D59</f>
        <v>0</v>
      </c>
      <c r="H59" s="17">
        <f>Sheet2!H59</f>
        <v>0</v>
      </c>
      <c r="I59" s="18">
        <f t="shared" si="3"/>
        <v>0</v>
      </c>
      <c r="J59" s="18">
        <f t="shared" si="4"/>
        <v>0</v>
      </c>
      <c r="K59" s="18">
        <f t="shared" si="5"/>
        <v>0</v>
      </c>
      <c r="L59" s="17" t="s">
        <v>19</v>
      </c>
    </row>
    <row r="60" spans="1:12" ht="55.5" customHeight="1" x14ac:dyDescent="0.25">
      <c r="A60" s="4" t="str">
        <f>+IF(Sheet2!A60="","",Sheet2!A60)</f>
        <v/>
      </c>
      <c r="B60" s="4" t="str">
        <f>+IF(Sheet2!B60="","",Sheet2!B60)</f>
        <v/>
      </c>
      <c r="C60" s="4" t="str">
        <f>+IF(Sheet2!C60="","",Sheet2!C60)</f>
        <v/>
      </c>
      <c r="D60" s="4" t="e">
        <f>+IF(Sheet2!J60="","",Sheet2!J60)</f>
        <v>#N/A</v>
      </c>
      <c r="E60" s="19">
        <f>Sheet2!D60</f>
        <v>0</v>
      </c>
      <c r="H60" s="17">
        <f>Sheet2!H60</f>
        <v>0</v>
      </c>
      <c r="I60" s="18">
        <f t="shared" si="3"/>
        <v>0</v>
      </c>
      <c r="J60" s="18">
        <f t="shared" si="4"/>
        <v>0</v>
      </c>
      <c r="K60" s="18">
        <f t="shared" si="5"/>
        <v>0</v>
      </c>
      <c r="L60" s="17" t="s">
        <v>19</v>
      </c>
    </row>
    <row r="61" spans="1:12" ht="55.5" customHeight="1" x14ac:dyDescent="0.25">
      <c r="A61" s="4" t="str">
        <f>+IF(Sheet2!A61="","",Sheet2!A61)</f>
        <v/>
      </c>
      <c r="B61" s="4" t="str">
        <f>+IF(Sheet2!B61="","",Sheet2!B61)</f>
        <v/>
      </c>
      <c r="C61" s="4" t="str">
        <f>+IF(Sheet2!C61="","",Sheet2!C61)</f>
        <v/>
      </c>
      <c r="D61" s="4" t="e">
        <f>+IF(Sheet2!J61="","",Sheet2!J61)</f>
        <v>#N/A</v>
      </c>
      <c r="E61" s="19">
        <f>Sheet2!D61</f>
        <v>0</v>
      </c>
      <c r="H61" s="17">
        <f>Sheet2!H61</f>
        <v>0</v>
      </c>
      <c r="I61" s="18">
        <f t="shared" si="3"/>
        <v>0</v>
      </c>
      <c r="J61" s="18">
        <f t="shared" si="4"/>
        <v>0</v>
      </c>
      <c r="K61" s="18">
        <f t="shared" si="5"/>
        <v>0</v>
      </c>
      <c r="L61" s="17" t="s">
        <v>19</v>
      </c>
    </row>
    <row r="62" spans="1:12" ht="55.5" customHeight="1" x14ac:dyDescent="0.25">
      <c r="A62" s="4" t="str">
        <f>+IF(Sheet2!A62="","",Sheet2!A62)</f>
        <v/>
      </c>
      <c r="B62" s="4" t="str">
        <f>+IF(Sheet2!B62="","",Sheet2!B62)</f>
        <v/>
      </c>
      <c r="C62" s="4" t="str">
        <f>+IF(Sheet2!C62="","",Sheet2!C62)</f>
        <v/>
      </c>
      <c r="D62" s="4" t="e">
        <f>+IF(Sheet2!J62="","",Sheet2!J62)</f>
        <v>#N/A</v>
      </c>
      <c r="E62" s="19">
        <f>Sheet2!D62</f>
        <v>0</v>
      </c>
      <c r="H62" s="17">
        <f>Sheet2!H62</f>
        <v>0</v>
      </c>
      <c r="I62" s="18">
        <f t="shared" si="3"/>
        <v>0</v>
      </c>
      <c r="J62" s="18">
        <f t="shared" si="4"/>
        <v>0</v>
      </c>
      <c r="K62" s="18">
        <f t="shared" si="5"/>
        <v>0</v>
      </c>
      <c r="L62" s="17" t="s">
        <v>19</v>
      </c>
    </row>
    <row r="63" spans="1:12" ht="55.5" customHeight="1" x14ac:dyDescent="0.25">
      <c r="A63" s="4" t="str">
        <f>+IF(Sheet2!A63="","",Sheet2!A63)</f>
        <v/>
      </c>
      <c r="B63" s="4" t="str">
        <f>+IF(Sheet2!B63="","",Sheet2!B63)</f>
        <v/>
      </c>
      <c r="C63" s="4" t="str">
        <f>+IF(Sheet2!C63="","",Sheet2!C63)</f>
        <v/>
      </c>
      <c r="D63" s="4" t="e">
        <f>+IF(Sheet2!J63="","",Sheet2!J63)</f>
        <v>#N/A</v>
      </c>
      <c r="E63" s="19">
        <f>Sheet2!D63</f>
        <v>0</v>
      </c>
      <c r="H63" s="17">
        <f>Sheet2!H63</f>
        <v>0</v>
      </c>
      <c r="I63" s="18">
        <f t="shared" si="3"/>
        <v>0</v>
      </c>
      <c r="J63" s="18">
        <f t="shared" si="4"/>
        <v>0</v>
      </c>
      <c r="K63" s="18">
        <f t="shared" si="5"/>
        <v>0</v>
      </c>
      <c r="L63" s="17" t="s">
        <v>19</v>
      </c>
    </row>
    <row r="64" spans="1:12" ht="55.5" customHeight="1" x14ac:dyDescent="0.25">
      <c r="A64" s="4" t="str">
        <f>+IF(Sheet2!A64="","",Sheet2!A64)</f>
        <v/>
      </c>
      <c r="B64" s="4" t="str">
        <f>+IF(Sheet2!B64="","",Sheet2!B64)</f>
        <v/>
      </c>
      <c r="C64" s="4" t="str">
        <f>+IF(Sheet2!C64="","",Sheet2!C64)</f>
        <v/>
      </c>
      <c r="D64" s="4" t="e">
        <f>+IF(Sheet2!J64="","",Sheet2!J64)</f>
        <v>#N/A</v>
      </c>
      <c r="E64" s="19">
        <f>Sheet2!D64</f>
        <v>0</v>
      </c>
      <c r="H64" s="17">
        <f>Sheet2!H64</f>
        <v>0</v>
      </c>
      <c r="I64" s="18">
        <f t="shared" si="3"/>
        <v>0</v>
      </c>
      <c r="J64" s="18">
        <f t="shared" si="4"/>
        <v>0</v>
      </c>
      <c r="K64" s="18">
        <f t="shared" si="5"/>
        <v>0</v>
      </c>
      <c r="L64" s="17" t="s">
        <v>19</v>
      </c>
    </row>
    <row r="65" spans="1:12" ht="55.5" customHeight="1" x14ac:dyDescent="0.25">
      <c r="A65" s="4" t="str">
        <f>+IF(Sheet2!A65="","",Sheet2!A65)</f>
        <v/>
      </c>
      <c r="B65" s="4" t="str">
        <f>+IF(Sheet2!B65="","",Sheet2!B65)</f>
        <v/>
      </c>
      <c r="C65" s="4" t="str">
        <f>+IF(Sheet2!C65="","",Sheet2!C65)</f>
        <v/>
      </c>
      <c r="D65" s="4" t="e">
        <f>+IF(Sheet2!J65="","",Sheet2!J65)</f>
        <v>#N/A</v>
      </c>
      <c r="E65" s="19">
        <f>Sheet2!D65</f>
        <v>0</v>
      </c>
      <c r="H65" s="17">
        <f>Sheet2!H65</f>
        <v>0</v>
      </c>
      <c r="I65" s="18">
        <f t="shared" si="3"/>
        <v>0</v>
      </c>
      <c r="J65" s="18">
        <f t="shared" si="4"/>
        <v>0</v>
      </c>
      <c r="K65" s="18">
        <f t="shared" si="5"/>
        <v>0</v>
      </c>
      <c r="L65" s="17" t="s">
        <v>19</v>
      </c>
    </row>
    <row r="66" spans="1:12" ht="55.5" customHeight="1" x14ac:dyDescent="0.25">
      <c r="A66" s="4" t="str">
        <f>+IF(Sheet2!A66="","",Sheet2!A66)</f>
        <v/>
      </c>
      <c r="B66" s="4" t="str">
        <f>+IF(Sheet2!B66="","",Sheet2!B66)</f>
        <v/>
      </c>
      <c r="C66" s="4" t="str">
        <f>+IF(Sheet2!C66="","",Sheet2!C66)</f>
        <v/>
      </c>
      <c r="D66" s="4" t="e">
        <f>+IF(Sheet2!J66="","",Sheet2!J66)</f>
        <v>#N/A</v>
      </c>
      <c r="E66" s="19">
        <f>Sheet2!D66</f>
        <v>0</v>
      </c>
      <c r="H66" s="17">
        <f>Sheet2!H66</f>
        <v>0</v>
      </c>
      <c r="I66" s="18">
        <f t="shared" si="3"/>
        <v>0</v>
      </c>
      <c r="J66" s="18">
        <f t="shared" si="4"/>
        <v>0</v>
      </c>
      <c r="K66" s="18">
        <f t="shared" si="5"/>
        <v>0</v>
      </c>
      <c r="L66" s="17" t="s">
        <v>19</v>
      </c>
    </row>
    <row r="67" spans="1:12" ht="55.5" customHeight="1" x14ac:dyDescent="0.25">
      <c r="A67" s="4" t="str">
        <f>+IF(Sheet2!A67="","",Sheet2!A67)</f>
        <v/>
      </c>
      <c r="B67" s="4" t="str">
        <f>+IF(Sheet2!B67="","",Sheet2!B67)</f>
        <v/>
      </c>
      <c r="C67" s="4" t="str">
        <f>+IF(Sheet2!C67="","",Sheet2!C67)</f>
        <v/>
      </c>
      <c r="D67" s="4" t="e">
        <f>+IF(Sheet2!J67="","",Sheet2!J67)</f>
        <v>#N/A</v>
      </c>
      <c r="E67" s="19">
        <f>Sheet2!D67</f>
        <v>0</v>
      </c>
      <c r="H67" s="17">
        <f>Sheet2!H67</f>
        <v>0</v>
      </c>
      <c r="I67" s="18">
        <f t="shared" si="3"/>
        <v>0</v>
      </c>
      <c r="J67" s="18">
        <f t="shared" si="4"/>
        <v>0</v>
      </c>
      <c r="K67" s="18">
        <f t="shared" si="5"/>
        <v>0</v>
      </c>
      <c r="L67" s="17" t="s">
        <v>19</v>
      </c>
    </row>
    <row r="68" spans="1:12" ht="55.5" customHeight="1" x14ac:dyDescent="0.25">
      <c r="A68" s="4" t="str">
        <f>+IF(Sheet2!A68="","",Sheet2!A68)</f>
        <v/>
      </c>
      <c r="B68" s="4" t="str">
        <f>+IF(Sheet2!B68="","",Sheet2!B68)</f>
        <v/>
      </c>
      <c r="C68" s="4" t="str">
        <f>+IF(Sheet2!C68="","",Sheet2!C68)</f>
        <v/>
      </c>
      <c r="D68" s="4" t="e">
        <f>+IF(Sheet2!J68="","",Sheet2!J68)</f>
        <v>#N/A</v>
      </c>
      <c r="E68" s="19">
        <f>Sheet2!D68</f>
        <v>0</v>
      </c>
      <c r="H68" s="17">
        <f>Sheet2!H68</f>
        <v>0</v>
      </c>
      <c r="I68" s="18">
        <f t="shared" si="3"/>
        <v>0</v>
      </c>
      <c r="J68" s="18">
        <f t="shared" si="4"/>
        <v>0</v>
      </c>
      <c r="K68" s="18">
        <f t="shared" si="5"/>
        <v>0</v>
      </c>
      <c r="L68" s="17" t="s">
        <v>19</v>
      </c>
    </row>
    <row r="69" spans="1:12" ht="55.5" customHeight="1" x14ac:dyDescent="0.25">
      <c r="A69" s="4" t="str">
        <f>+IF(Sheet2!A69="","",Sheet2!A69)</f>
        <v/>
      </c>
      <c r="B69" s="4" t="str">
        <f>+IF(Sheet2!B69="","",Sheet2!B69)</f>
        <v/>
      </c>
      <c r="C69" s="4" t="str">
        <f>+IF(Sheet2!C69="","",Sheet2!C69)</f>
        <v/>
      </c>
      <c r="D69" s="4" t="e">
        <f>+IF(Sheet2!J69="","",Sheet2!J69)</f>
        <v>#N/A</v>
      </c>
      <c r="E69" s="19">
        <f>Sheet2!D69</f>
        <v>0</v>
      </c>
      <c r="H69" s="17">
        <f>Sheet2!H69</f>
        <v>0</v>
      </c>
      <c r="I69" s="18">
        <f t="shared" ref="I69:I100" si="6">+E69*F69</f>
        <v>0</v>
      </c>
      <c r="J69" s="18">
        <f t="shared" ref="J69:J100" si="7">+E69*G69</f>
        <v>0</v>
      </c>
      <c r="K69" s="18">
        <f t="shared" ref="K69:K100" si="8">+E69*H69</f>
        <v>0</v>
      </c>
      <c r="L69" s="17" t="s">
        <v>19</v>
      </c>
    </row>
    <row r="70" spans="1:12" x14ac:dyDescent="0.25">
      <c r="A70" s="4" t="str">
        <f>+IF(Sheet2!A70="","",Sheet2!A70)</f>
        <v/>
      </c>
      <c r="B70" s="4" t="str">
        <f>+IF(Sheet2!B70="","",Sheet2!B70)</f>
        <v/>
      </c>
      <c r="C70" s="4" t="str">
        <f>+IF(Sheet2!C70="","",Sheet2!C70)</f>
        <v/>
      </c>
      <c r="D70" s="4" t="e">
        <f>+IF(Sheet2!J70="","",Sheet2!J70)</f>
        <v>#N/A</v>
      </c>
      <c r="E70" s="19">
        <f>Sheet2!D70</f>
        <v>0</v>
      </c>
      <c r="H70" s="17">
        <f>Sheet2!H70</f>
        <v>0</v>
      </c>
      <c r="I70" s="18">
        <f t="shared" si="6"/>
        <v>0</v>
      </c>
      <c r="J70" s="18">
        <f t="shared" si="7"/>
        <v>0</v>
      </c>
      <c r="K70" s="18">
        <f t="shared" si="8"/>
        <v>0</v>
      </c>
      <c r="L70" s="17" t="s">
        <v>19</v>
      </c>
    </row>
    <row r="71" spans="1:12" x14ac:dyDescent="0.25">
      <c r="A71" s="4" t="str">
        <f>+IF(Sheet2!A71="","",Sheet2!A71)</f>
        <v/>
      </c>
      <c r="B71" s="4" t="str">
        <f>+IF(Sheet2!B71="","",Sheet2!B71)</f>
        <v/>
      </c>
      <c r="C71" s="4" t="str">
        <f>+IF(Sheet2!C71="","",Sheet2!C71)</f>
        <v/>
      </c>
      <c r="D71" s="4" t="e">
        <f>+IF(Sheet2!J71="","",Sheet2!J71)</f>
        <v>#N/A</v>
      </c>
      <c r="E71" s="19">
        <f>Sheet2!D71</f>
        <v>0</v>
      </c>
      <c r="H71" s="17">
        <f>Sheet2!H71</f>
        <v>0</v>
      </c>
      <c r="I71" s="18">
        <f t="shared" si="6"/>
        <v>0</v>
      </c>
      <c r="J71" s="18">
        <f t="shared" si="7"/>
        <v>0</v>
      </c>
      <c r="K71" s="18">
        <f t="shared" si="8"/>
        <v>0</v>
      </c>
      <c r="L71" s="17" t="s">
        <v>19</v>
      </c>
    </row>
    <row r="72" spans="1:12" x14ac:dyDescent="0.25">
      <c r="A72" s="4" t="str">
        <f>+IF(Sheet2!A72="","",Sheet2!A72)</f>
        <v/>
      </c>
      <c r="B72" s="4" t="str">
        <f>+IF(Sheet2!B72="","",Sheet2!B72)</f>
        <v/>
      </c>
      <c r="C72" s="4" t="str">
        <f>+IF(Sheet2!C72="","",Sheet2!C72)</f>
        <v/>
      </c>
      <c r="D72" s="4" t="e">
        <f>+IF(Sheet2!J72="","",Sheet2!J72)</f>
        <v>#N/A</v>
      </c>
      <c r="E72" s="19">
        <f>Sheet2!D72</f>
        <v>0</v>
      </c>
      <c r="H72" s="17">
        <f>Sheet2!H72</f>
        <v>0</v>
      </c>
      <c r="I72" s="18">
        <f t="shared" si="6"/>
        <v>0</v>
      </c>
      <c r="J72" s="18">
        <f t="shared" si="7"/>
        <v>0</v>
      </c>
      <c r="K72" s="18">
        <f t="shared" si="8"/>
        <v>0</v>
      </c>
      <c r="L72" s="17" t="s">
        <v>19</v>
      </c>
    </row>
    <row r="73" spans="1:12" x14ac:dyDescent="0.25">
      <c r="A73" s="4" t="str">
        <f>+IF(Sheet2!A73="","",Sheet2!A73)</f>
        <v/>
      </c>
      <c r="B73" s="4" t="str">
        <f>+IF(Sheet2!B73="","",Sheet2!B73)</f>
        <v/>
      </c>
      <c r="C73" s="4" t="str">
        <f>+IF(Sheet2!C73="","",Sheet2!C73)</f>
        <v/>
      </c>
      <c r="D73" s="4" t="e">
        <f>+IF(Sheet2!J73="","",Sheet2!J73)</f>
        <v>#N/A</v>
      </c>
      <c r="E73" s="19">
        <f>Sheet2!D73</f>
        <v>0</v>
      </c>
      <c r="H73" s="17">
        <f>Sheet2!H73</f>
        <v>0</v>
      </c>
      <c r="I73" s="18">
        <f t="shared" si="6"/>
        <v>0</v>
      </c>
      <c r="J73" s="18">
        <f t="shared" si="7"/>
        <v>0</v>
      </c>
      <c r="K73" s="18">
        <f t="shared" si="8"/>
        <v>0</v>
      </c>
      <c r="L73" s="17" t="s">
        <v>19</v>
      </c>
    </row>
    <row r="74" spans="1:12" x14ac:dyDescent="0.25">
      <c r="A74" s="4" t="str">
        <f>+IF(Sheet2!A74="","",Sheet2!A74)</f>
        <v/>
      </c>
      <c r="B74" s="4" t="str">
        <f>+IF(Sheet2!B74="","",Sheet2!B74)</f>
        <v/>
      </c>
      <c r="C74" s="4" t="str">
        <f>+IF(Sheet2!C74="","",Sheet2!C74)</f>
        <v/>
      </c>
      <c r="D74" s="4" t="e">
        <f>+IF(Sheet2!J74="","",Sheet2!J74)</f>
        <v>#N/A</v>
      </c>
      <c r="E74" s="19">
        <f>Sheet2!D74</f>
        <v>0</v>
      </c>
      <c r="H74" s="17">
        <f>Sheet2!H74</f>
        <v>0</v>
      </c>
      <c r="I74" s="18">
        <f t="shared" si="6"/>
        <v>0</v>
      </c>
      <c r="J74" s="18">
        <f t="shared" si="7"/>
        <v>0</v>
      </c>
      <c r="K74" s="18">
        <f t="shared" si="8"/>
        <v>0</v>
      </c>
      <c r="L74" s="17" t="s">
        <v>19</v>
      </c>
    </row>
    <row r="75" spans="1:12" x14ac:dyDescent="0.25">
      <c r="A75" s="4" t="str">
        <f>+IF(Sheet2!A75="","",Sheet2!A75)</f>
        <v/>
      </c>
      <c r="B75" s="4" t="str">
        <f>+IF(Sheet2!B75="","",Sheet2!B75)</f>
        <v/>
      </c>
      <c r="C75" s="4" t="str">
        <f>+IF(Sheet2!C75="","",Sheet2!C75)</f>
        <v/>
      </c>
      <c r="D75" s="4" t="e">
        <f>+IF(Sheet2!J75="","",Sheet2!J75)</f>
        <v>#N/A</v>
      </c>
      <c r="E75" s="19">
        <f>Sheet2!D75</f>
        <v>0</v>
      </c>
      <c r="H75" s="17">
        <f>Sheet2!H75</f>
        <v>0</v>
      </c>
      <c r="I75" s="18">
        <f t="shared" si="6"/>
        <v>0</v>
      </c>
      <c r="J75" s="18">
        <f t="shared" si="7"/>
        <v>0</v>
      </c>
      <c r="K75" s="18">
        <f t="shared" si="8"/>
        <v>0</v>
      </c>
      <c r="L75" s="17" t="s">
        <v>19</v>
      </c>
    </row>
    <row r="76" spans="1:12" x14ac:dyDescent="0.25">
      <c r="A76" s="4" t="str">
        <f>+IF(Sheet2!A76="","",Sheet2!A76)</f>
        <v/>
      </c>
      <c r="B76" s="4" t="str">
        <f>+IF(Sheet2!B76="","",Sheet2!B76)</f>
        <v/>
      </c>
      <c r="C76" s="4" t="str">
        <f>+IF(Sheet2!C76="","",Sheet2!C76)</f>
        <v/>
      </c>
      <c r="D76" s="4" t="e">
        <f>+IF(Sheet2!J76="","",Sheet2!J76)</f>
        <v>#N/A</v>
      </c>
      <c r="E76" s="19">
        <f>Sheet2!D76</f>
        <v>0</v>
      </c>
      <c r="H76" s="17">
        <f>Sheet2!H76</f>
        <v>0</v>
      </c>
      <c r="I76" s="18">
        <f t="shared" si="6"/>
        <v>0</v>
      </c>
      <c r="J76" s="18">
        <f t="shared" si="7"/>
        <v>0</v>
      </c>
      <c r="K76" s="18">
        <f t="shared" si="8"/>
        <v>0</v>
      </c>
      <c r="L76" s="17" t="s">
        <v>19</v>
      </c>
    </row>
    <row r="77" spans="1:12" x14ac:dyDescent="0.25">
      <c r="A77" s="4" t="str">
        <f>+IF(Sheet2!A77="","",Sheet2!A77)</f>
        <v/>
      </c>
      <c r="B77" s="4" t="str">
        <f>+IF(Sheet2!B77="","",Sheet2!B77)</f>
        <v/>
      </c>
      <c r="C77" s="4" t="str">
        <f>+IF(Sheet2!C77="","",Sheet2!C77)</f>
        <v/>
      </c>
      <c r="D77" s="4" t="e">
        <f>+IF(Sheet2!J77="","",Sheet2!J77)</f>
        <v>#N/A</v>
      </c>
      <c r="E77" s="19">
        <f>Sheet2!D77</f>
        <v>0</v>
      </c>
      <c r="H77" s="17">
        <f>Sheet2!H77</f>
        <v>0</v>
      </c>
      <c r="I77" s="18">
        <f t="shared" si="6"/>
        <v>0</v>
      </c>
      <c r="J77" s="18">
        <f t="shared" si="7"/>
        <v>0</v>
      </c>
      <c r="K77" s="18">
        <f t="shared" si="8"/>
        <v>0</v>
      </c>
      <c r="L77" s="17" t="s">
        <v>19</v>
      </c>
    </row>
    <row r="78" spans="1:12" x14ac:dyDescent="0.25">
      <c r="A78" s="4" t="str">
        <f>+IF(Sheet2!A78="","",Sheet2!A78)</f>
        <v/>
      </c>
      <c r="B78" s="4" t="str">
        <f>+IF(Sheet2!B78="","",Sheet2!B78)</f>
        <v/>
      </c>
      <c r="C78" s="4" t="str">
        <f>+IF(Sheet2!C78="","",Sheet2!C78)</f>
        <v/>
      </c>
      <c r="D78" s="4" t="e">
        <f>+IF(Sheet2!J78="","",Sheet2!J78)</f>
        <v>#N/A</v>
      </c>
      <c r="E78" s="19">
        <f>Sheet2!D78</f>
        <v>0</v>
      </c>
      <c r="H78" s="17">
        <f>Sheet2!H78</f>
        <v>0</v>
      </c>
      <c r="I78" s="18">
        <f t="shared" si="6"/>
        <v>0</v>
      </c>
      <c r="J78" s="18">
        <f t="shared" si="7"/>
        <v>0</v>
      </c>
      <c r="K78" s="18">
        <f t="shared" si="8"/>
        <v>0</v>
      </c>
      <c r="L78" s="17" t="s">
        <v>19</v>
      </c>
    </row>
    <row r="79" spans="1:12" x14ac:dyDescent="0.25">
      <c r="A79" s="4" t="str">
        <f>+IF(Sheet2!A79="","",Sheet2!A79)</f>
        <v/>
      </c>
      <c r="B79" s="4" t="str">
        <f>+IF(Sheet2!B79="","",Sheet2!B79)</f>
        <v/>
      </c>
      <c r="C79" s="4" t="str">
        <f>+IF(Sheet2!C79="","",Sheet2!C79)</f>
        <v/>
      </c>
      <c r="D79" s="4" t="e">
        <f>+IF(Sheet2!J79="","",Sheet2!J79)</f>
        <v>#N/A</v>
      </c>
      <c r="E79" s="19">
        <f>Sheet2!D79</f>
        <v>0</v>
      </c>
      <c r="H79" s="17">
        <f>Sheet2!H79</f>
        <v>0</v>
      </c>
      <c r="I79" s="18">
        <f t="shared" si="6"/>
        <v>0</v>
      </c>
      <c r="J79" s="18">
        <f t="shared" si="7"/>
        <v>0</v>
      </c>
      <c r="K79" s="18">
        <f t="shared" si="8"/>
        <v>0</v>
      </c>
      <c r="L79" s="17" t="s">
        <v>19</v>
      </c>
    </row>
    <row r="80" spans="1:12" x14ac:dyDescent="0.25">
      <c r="A80" s="4" t="str">
        <f>+IF(Sheet2!A80="","",Sheet2!A80)</f>
        <v/>
      </c>
      <c r="B80" s="4" t="str">
        <f>+IF(Sheet2!B80="","",Sheet2!B80)</f>
        <v/>
      </c>
      <c r="C80" s="4" t="str">
        <f>+IF(Sheet2!C80="","",Sheet2!C80)</f>
        <v/>
      </c>
      <c r="D80" s="4" t="e">
        <f>+IF(Sheet2!J80="","",Sheet2!J80)</f>
        <v>#N/A</v>
      </c>
      <c r="E80" s="19">
        <f>Sheet2!D80</f>
        <v>0</v>
      </c>
      <c r="H80" s="17">
        <f>Sheet2!H80</f>
        <v>0</v>
      </c>
      <c r="I80" s="18">
        <f t="shared" si="6"/>
        <v>0</v>
      </c>
      <c r="J80" s="18">
        <f t="shared" si="7"/>
        <v>0</v>
      </c>
      <c r="K80" s="18">
        <f t="shared" si="8"/>
        <v>0</v>
      </c>
      <c r="L80" s="17" t="s">
        <v>19</v>
      </c>
    </row>
    <row r="81" spans="1:12" x14ac:dyDescent="0.25">
      <c r="A81" s="4" t="str">
        <f>+IF(Sheet2!A81="","",Sheet2!A81)</f>
        <v/>
      </c>
      <c r="B81" s="4" t="str">
        <f>+IF(Sheet2!B81="","",Sheet2!B81)</f>
        <v/>
      </c>
      <c r="C81" s="4" t="str">
        <f>+IF(Sheet2!C81="","",Sheet2!C81)</f>
        <v/>
      </c>
      <c r="D81" s="4" t="e">
        <f>+IF(Sheet2!J81="","",Sheet2!J81)</f>
        <v>#N/A</v>
      </c>
      <c r="E81" s="19">
        <f>Sheet2!D81</f>
        <v>0</v>
      </c>
      <c r="H81" s="17">
        <f>Sheet2!H81</f>
        <v>0</v>
      </c>
      <c r="I81" s="18">
        <f t="shared" si="6"/>
        <v>0</v>
      </c>
      <c r="J81" s="18">
        <f t="shared" si="7"/>
        <v>0</v>
      </c>
      <c r="K81" s="18">
        <f t="shared" si="8"/>
        <v>0</v>
      </c>
      <c r="L81" s="17" t="s">
        <v>19</v>
      </c>
    </row>
    <row r="82" spans="1:12" x14ac:dyDescent="0.25">
      <c r="A82" s="4" t="str">
        <f>+IF(Sheet2!A82="","",Sheet2!A82)</f>
        <v/>
      </c>
      <c r="B82" s="4" t="str">
        <f>+IF(Sheet2!B82="","",Sheet2!B82)</f>
        <v/>
      </c>
      <c r="C82" s="4" t="str">
        <f>+IF(Sheet2!C82="","",Sheet2!C82)</f>
        <v/>
      </c>
      <c r="D82" s="4" t="e">
        <f>+IF(Sheet2!J82="","",Sheet2!J82)</f>
        <v>#N/A</v>
      </c>
      <c r="E82" s="19">
        <f>Sheet2!D82</f>
        <v>0</v>
      </c>
      <c r="H82" s="17">
        <f>Sheet2!H82</f>
        <v>0</v>
      </c>
      <c r="I82" s="18">
        <f t="shared" si="6"/>
        <v>0</v>
      </c>
      <c r="J82" s="18">
        <f t="shared" si="7"/>
        <v>0</v>
      </c>
      <c r="K82" s="18">
        <f t="shared" si="8"/>
        <v>0</v>
      </c>
      <c r="L82" s="17" t="s">
        <v>19</v>
      </c>
    </row>
    <row r="83" spans="1:12" x14ac:dyDescent="0.25">
      <c r="A83" s="4" t="str">
        <f>+IF(Sheet2!A83="","",Sheet2!A83)</f>
        <v/>
      </c>
      <c r="B83" s="4" t="str">
        <f>+IF(Sheet2!B83="","",Sheet2!B83)</f>
        <v/>
      </c>
      <c r="C83" s="4" t="str">
        <f>+IF(Sheet2!C83="","",Sheet2!C83)</f>
        <v/>
      </c>
      <c r="D83" s="4" t="e">
        <f>+IF(Sheet2!J83="","",Sheet2!J83)</f>
        <v>#N/A</v>
      </c>
      <c r="E83" s="19">
        <f>Sheet2!D83</f>
        <v>0</v>
      </c>
      <c r="H83" s="17">
        <f>Sheet2!H83</f>
        <v>0</v>
      </c>
      <c r="I83" s="18">
        <f t="shared" si="6"/>
        <v>0</v>
      </c>
      <c r="J83" s="18">
        <f t="shared" si="7"/>
        <v>0</v>
      </c>
      <c r="K83" s="18">
        <f t="shared" si="8"/>
        <v>0</v>
      </c>
      <c r="L83" s="17" t="s">
        <v>19</v>
      </c>
    </row>
    <row r="84" spans="1:12" x14ac:dyDescent="0.25">
      <c r="A84" s="4" t="str">
        <f>+IF(Sheet2!A84="","",Sheet2!A84)</f>
        <v/>
      </c>
      <c r="B84" s="4" t="str">
        <f>+IF(Sheet2!B84="","",Sheet2!B84)</f>
        <v/>
      </c>
      <c r="C84" s="4" t="str">
        <f>+IF(Sheet2!C84="","",Sheet2!C84)</f>
        <v/>
      </c>
      <c r="D84" s="4" t="e">
        <f>+IF(Sheet2!J84="","",Sheet2!J84)</f>
        <v>#N/A</v>
      </c>
      <c r="E84" s="19">
        <f>Sheet2!D84</f>
        <v>0</v>
      </c>
      <c r="H84" s="17">
        <f>Sheet2!H84</f>
        <v>0</v>
      </c>
      <c r="I84" s="18">
        <f t="shared" si="6"/>
        <v>0</v>
      </c>
      <c r="J84" s="18">
        <f t="shared" si="7"/>
        <v>0</v>
      </c>
      <c r="K84" s="18">
        <f t="shared" si="8"/>
        <v>0</v>
      </c>
      <c r="L84" s="17" t="s">
        <v>19</v>
      </c>
    </row>
    <row r="85" spans="1:12" x14ac:dyDescent="0.25">
      <c r="A85" s="4" t="str">
        <f>+IF(Sheet2!A85="","",Sheet2!A85)</f>
        <v/>
      </c>
      <c r="B85" s="4" t="str">
        <f>+IF(Sheet2!B85="","",Sheet2!B85)</f>
        <v/>
      </c>
      <c r="C85" s="4" t="str">
        <f>+IF(Sheet2!C85="","",Sheet2!C85)</f>
        <v/>
      </c>
      <c r="D85" s="4" t="e">
        <f>+IF(Sheet2!J85="","",Sheet2!J85)</f>
        <v>#N/A</v>
      </c>
      <c r="E85" s="19">
        <f>Sheet2!D85</f>
        <v>0</v>
      </c>
      <c r="H85" s="17">
        <f>Sheet2!H85</f>
        <v>0</v>
      </c>
      <c r="I85" s="18">
        <f t="shared" si="6"/>
        <v>0</v>
      </c>
      <c r="J85" s="18">
        <f t="shared" si="7"/>
        <v>0</v>
      </c>
      <c r="K85" s="18">
        <f t="shared" si="8"/>
        <v>0</v>
      </c>
      <c r="L85" s="17" t="s">
        <v>19</v>
      </c>
    </row>
    <row r="86" spans="1:12" x14ac:dyDescent="0.25">
      <c r="A86" s="4" t="str">
        <f>+IF(Sheet2!A86="","",Sheet2!A86)</f>
        <v/>
      </c>
      <c r="B86" s="4" t="str">
        <f>+IF(Sheet2!B86="","",Sheet2!B86)</f>
        <v/>
      </c>
      <c r="C86" s="4" t="str">
        <f>+IF(Sheet2!C86="","",Sheet2!C86)</f>
        <v/>
      </c>
      <c r="D86" s="4" t="e">
        <f>+IF(Sheet2!J86="","",Sheet2!J86)</f>
        <v>#N/A</v>
      </c>
      <c r="E86" s="19">
        <f>Sheet2!D86</f>
        <v>0</v>
      </c>
      <c r="H86" s="17">
        <f>Sheet2!H86</f>
        <v>0</v>
      </c>
      <c r="I86" s="18">
        <f t="shared" si="6"/>
        <v>0</v>
      </c>
      <c r="J86" s="18">
        <f t="shared" si="7"/>
        <v>0</v>
      </c>
      <c r="K86" s="18">
        <f t="shared" si="8"/>
        <v>0</v>
      </c>
      <c r="L86" s="17" t="s">
        <v>19</v>
      </c>
    </row>
    <row r="87" spans="1:12" x14ac:dyDescent="0.25">
      <c r="A87" s="4" t="str">
        <f>+IF(Sheet2!A87="","",Sheet2!A87)</f>
        <v/>
      </c>
      <c r="B87" s="4" t="str">
        <f>+IF(Sheet2!B87="","",Sheet2!B87)</f>
        <v/>
      </c>
      <c r="C87" s="4" t="str">
        <f>+IF(Sheet2!C87="","",Sheet2!C87)</f>
        <v/>
      </c>
      <c r="D87" s="4" t="e">
        <f>+IF(Sheet2!J87="","",Sheet2!J87)</f>
        <v>#N/A</v>
      </c>
      <c r="E87" s="19">
        <f>Sheet2!D87</f>
        <v>0</v>
      </c>
      <c r="H87" s="17">
        <f>Sheet2!H87</f>
        <v>0</v>
      </c>
      <c r="I87" s="18">
        <f t="shared" si="6"/>
        <v>0</v>
      </c>
      <c r="J87" s="18">
        <f t="shared" si="7"/>
        <v>0</v>
      </c>
      <c r="K87" s="18">
        <f t="shared" si="8"/>
        <v>0</v>
      </c>
      <c r="L87" s="17" t="s">
        <v>19</v>
      </c>
    </row>
    <row r="88" spans="1:12" x14ac:dyDescent="0.25">
      <c r="A88" s="4" t="str">
        <f>+IF(Sheet2!A88="","",Sheet2!A88)</f>
        <v/>
      </c>
      <c r="B88" s="4" t="str">
        <f>+IF(Sheet2!B88="","",Sheet2!B88)</f>
        <v/>
      </c>
      <c r="C88" s="4" t="str">
        <f>+IF(Sheet2!C88="","",Sheet2!C88)</f>
        <v/>
      </c>
      <c r="D88" s="4" t="e">
        <f>+IF(Sheet2!J88="","",Sheet2!J88)</f>
        <v>#N/A</v>
      </c>
      <c r="E88" s="19">
        <f>Sheet2!D88</f>
        <v>0</v>
      </c>
      <c r="H88" s="17">
        <f>Sheet2!H88</f>
        <v>0</v>
      </c>
      <c r="I88" s="18">
        <f t="shared" si="6"/>
        <v>0</v>
      </c>
      <c r="J88" s="18">
        <f t="shared" si="7"/>
        <v>0</v>
      </c>
      <c r="K88" s="18">
        <f t="shared" si="8"/>
        <v>0</v>
      </c>
      <c r="L88" s="17" t="s">
        <v>19</v>
      </c>
    </row>
    <row r="89" spans="1:12" x14ac:dyDescent="0.25">
      <c r="A89" s="4" t="str">
        <f>+IF(Sheet2!A89="","",Sheet2!A89)</f>
        <v/>
      </c>
      <c r="B89" s="4" t="str">
        <f>+IF(Sheet2!B89="","",Sheet2!B89)</f>
        <v/>
      </c>
      <c r="C89" s="4" t="str">
        <f>+IF(Sheet2!C89="","",Sheet2!C89)</f>
        <v/>
      </c>
      <c r="D89" s="4" t="e">
        <f>+IF(Sheet2!J89="","",Sheet2!J89)</f>
        <v>#N/A</v>
      </c>
      <c r="E89" s="19">
        <f>Sheet2!D89</f>
        <v>0</v>
      </c>
      <c r="H89" s="17">
        <f>Sheet2!H89</f>
        <v>0</v>
      </c>
      <c r="I89" s="18">
        <f t="shared" si="6"/>
        <v>0</v>
      </c>
      <c r="J89" s="18">
        <f t="shared" si="7"/>
        <v>0</v>
      </c>
      <c r="K89" s="18">
        <f t="shared" si="8"/>
        <v>0</v>
      </c>
      <c r="L89" s="17" t="s">
        <v>19</v>
      </c>
    </row>
    <row r="90" spans="1:12" x14ac:dyDescent="0.25">
      <c r="A90" s="4" t="str">
        <f>+IF(Sheet2!A90="","",Sheet2!A90)</f>
        <v/>
      </c>
      <c r="B90" s="4" t="str">
        <f>+IF(Sheet2!B90="","",Sheet2!B90)</f>
        <v/>
      </c>
      <c r="C90" s="4" t="str">
        <f>+IF(Sheet2!C90="","",Sheet2!C90)</f>
        <v/>
      </c>
      <c r="D90" s="4" t="e">
        <f>+IF(Sheet2!J90="","",Sheet2!J90)</f>
        <v>#N/A</v>
      </c>
      <c r="E90" s="19">
        <f>Sheet2!D90</f>
        <v>0</v>
      </c>
      <c r="H90" s="17">
        <f>Sheet2!H90</f>
        <v>0</v>
      </c>
      <c r="I90" s="18">
        <f t="shared" si="6"/>
        <v>0</v>
      </c>
      <c r="J90" s="18">
        <f t="shared" si="7"/>
        <v>0</v>
      </c>
      <c r="K90" s="18">
        <f t="shared" si="8"/>
        <v>0</v>
      </c>
      <c r="L90" s="17" t="s">
        <v>19</v>
      </c>
    </row>
    <row r="91" spans="1:12" x14ac:dyDescent="0.25">
      <c r="A91" s="4" t="str">
        <f>+IF(Sheet2!A91="","",Sheet2!A91)</f>
        <v/>
      </c>
      <c r="B91" s="4" t="str">
        <f>+IF(Sheet2!B91="","",Sheet2!B91)</f>
        <v/>
      </c>
      <c r="C91" s="4" t="str">
        <f>+IF(Sheet2!C91="","",Sheet2!C91)</f>
        <v/>
      </c>
      <c r="D91" s="4" t="e">
        <f>+IF(Sheet2!J91="","",Sheet2!J91)</f>
        <v>#N/A</v>
      </c>
      <c r="E91" s="19">
        <f>Sheet2!D91</f>
        <v>0</v>
      </c>
      <c r="H91" s="17">
        <f>Sheet2!H91</f>
        <v>0</v>
      </c>
      <c r="I91" s="18">
        <f t="shared" si="6"/>
        <v>0</v>
      </c>
      <c r="J91" s="18">
        <f t="shared" si="7"/>
        <v>0</v>
      </c>
      <c r="K91" s="18">
        <f t="shared" si="8"/>
        <v>0</v>
      </c>
      <c r="L91" s="17" t="s">
        <v>19</v>
      </c>
    </row>
    <row r="92" spans="1:12" x14ac:dyDescent="0.25">
      <c r="A92" s="4" t="str">
        <f>+IF(Sheet2!A92="","",Sheet2!A92)</f>
        <v/>
      </c>
      <c r="B92" s="4" t="str">
        <f>+IF(Sheet2!B92="","",Sheet2!B92)</f>
        <v/>
      </c>
      <c r="C92" s="4" t="str">
        <f>+IF(Sheet2!C92="","",Sheet2!C92)</f>
        <v/>
      </c>
      <c r="D92" s="4" t="e">
        <f>+IF(Sheet2!J92="","",Sheet2!J92)</f>
        <v>#N/A</v>
      </c>
      <c r="E92" s="19">
        <f>Sheet2!D92</f>
        <v>0</v>
      </c>
      <c r="H92" s="17">
        <f>Sheet2!H92</f>
        <v>0</v>
      </c>
      <c r="I92" s="18">
        <f t="shared" si="6"/>
        <v>0</v>
      </c>
      <c r="J92" s="18">
        <f t="shared" si="7"/>
        <v>0</v>
      </c>
      <c r="K92" s="18">
        <f t="shared" si="8"/>
        <v>0</v>
      </c>
      <c r="L92" s="17" t="s">
        <v>19</v>
      </c>
    </row>
    <row r="93" spans="1:12" x14ac:dyDescent="0.25">
      <c r="A93" s="4" t="str">
        <f>+IF(Sheet2!A93="","",Sheet2!A93)</f>
        <v/>
      </c>
      <c r="B93" s="4" t="str">
        <f>+IF(Sheet2!B93="","",Sheet2!B93)</f>
        <v/>
      </c>
      <c r="C93" s="4" t="str">
        <f>+IF(Sheet2!C93="","",Sheet2!C93)</f>
        <v/>
      </c>
      <c r="D93" s="4" t="e">
        <f>+IF(Sheet2!J93="","",Sheet2!J93)</f>
        <v>#N/A</v>
      </c>
      <c r="E93" s="19">
        <f>Sheet2!D93</f>
        <v>0</v>
      </c>
      <c r="H93" s="17">
        <f>Sheet2!H93</f>
        <v>0</v>
      </c>
      <c r="I93" s="18">
        <f t="shared" si="6"/>
        <v>0</v>
      </c>
      <c r="J93" s="18">
        <f t="shared" si="7"/>
        <v>0</v>
      </c>
      <c r="K93" s="18">
        <f t="shared" si="8"/>
        <v>0</v>
      </c>
      <c r="L93" s="17" t="s">
        <v>19</v>
      </c>
    </row>
    <row r="94" spans="1:12" x14ac:dyDescent="0.25">
      <c r="A94" s="4" t="str">
        <f>+IF(Sheet2!A94="","",Sheet2!A94)</f>
        <v/>
      </c>
      <c r="B94" s="4" t="str">
        <f>+IF(Sheet2!B94="","",Sheet2!B94)</f>
        <v/>
      </c>
      <c r="C94" s="4" t="str">
        <f>+IF(Sheet2!C94="","",Sheet2!C94)</f>
        <v/>
      </c>
      <c r="D94" s="4" t="e">
        <f>+IF(Sheet2!J94="","",Sheet2!J94)</f>
        <v>#N/A</v>
      </c>
      <c r="E94" s="19">
        <f>Sheet2!D94</f>
        <v>0</v>
      </c>
      <c r="H94" s="17">
        <f>Sheet2!H94</f>
        <v>0</v>
      </c>
      <c r="I94" s="18">
        <f t="shared" si="6"/>
        <v>0</v>
      </c>
      <c r="J94" s="18">
        <f t="shared" si="7"/>
        <v>0</v>
      </c>
      <c r="K94" s="18">
        <f t="shared" si="8"/>
        <v>0</v>
      </c>
      <c r="L94" s="17" t="s">
        <v>19</v>
      </c>
    </row>
    <row r="95" spans="1:12" x14ac:dyDescent="0.25">
      <c r="A95" s="4" t="str">
        <f>+IF(Sheet2!A95="","",Sheet2!A95)</f>
        <v/>
      </c>
      <c r="B95" s="4" t="str">
        <f>+IF(Sheet2!B95="","",Sheet2!B95)</f>
        <v/>
      </c>
      <c r="C95" s="4" t="str">
        <f>+IF(Sheet2!C95="","",Sheet2!C95)</f>
        <v/>
      </c>
      <c r="D95" s="4" t="e">
        <f>+IF(Sheet2!J95="","",Sheet2!J95)</f>
        <v>#N/A</v>
      </c>
      <c r="E95" s="19">
        <f>Sheet2!D95</f>
        <v>0</v>
      </c>
      <c r="H95" s="17">
        <f>Sheet2!H95</f>
        <v>0</v>
      </c>
      <c r="I95" s="18">
        <f t="shared" si="6"/>
        <v>0</v>
      </c>
      <c r="J95" s="18">
        <f t="shared" si="7"/>
        <v>0</v>
      </c>
      <c r="K95" s="18">
        <f t="shared" si="8"/>
        <v>0</v>
      </c>
      <c r="L95" s="17" t="s">
        <v>19</v>
      </c>
    </row>
    <row r="96" spans="1:12" x14ac:dyDescent="0.25">
      <c r="A96" s="4" t="str">
        <f>+IF(Sheet2!A96="","",Sheet2!A96)</f>
        <v/>
      </c>
      <c r="B96" s="4" t="str">
        <f>+IF(Sheet2!B96="","",Sheet2!B96)</f>
        <v/>
      </c>
      <c r="C96" s="4" t="str">
        <f>+IF(Sheet2!C96="","",Sheet2!C96)</f>
        <v/>
      </c>
      <c r="D96" s="4" t="e">
        <f>+IF(Sheet2!J96="","",Sheet2!J96)</f>
        <v>#N/A</v>
      </c>
      <c r="E96" s="19">
        <f>Sheet2!D96</f>
        <v>0</v>
      </c>
      <c r="H96" s="17">
        <f>Sheet2!H96</f>
        <v>0</v>
      </c>
      <c r="I96" s="18">
        <f t="shared" si="6"/>
        <v>0</v>
      </c>
      <c r="J96" s="18">
        <f t="shared" si="7"/>
        <v>0</v>
      </c>
      <c r="K96" s="18">
        <f t="shared" si="8"/>
        <v>0</v>
      </c>
      <c r="L96" s="17" t="s">
        <v>19</v>
      </c>
    </row>
    <row r="97" spans="1:12" x14ac:dyDescent="0.25">
      <c r="A97" s="4" t="str">
        <f>+IF(Sheet2!A97="","",Sheet2!A97)</f>
        <v/>
      </c>
      <c r="B97" s="4" t="str">
        <f>+IF(Sheet2!B97="","",Sheet2!B97)</f>
        <v/>
      </c>
      <c r="C97" s="4" t="str">
        <f>+IF(Sheet2!C97="","",Sheet2!C97)</f>
        <v/>
      </c>
      <c r="D97" s="4" t="e">
        <f>+IF(Sheet2!J97="","",Sheet2!J97)</f>
        <v>#N/A</v>
      </c>
      <c r="E97" s="19">
        <f>Sheet2!D97</f>
        <v>0</v>
      </c>
      <c r="H97" s="17">
        <f>Sheet2!H97</f>
        <v>0</v>
      </c>
      <c r="I97" s="18">
        <f t="shared" si="6"/>
        <v>0</v>
      </c>
      <c r="J97" s="18">
        <f t="shared" si="7"/>
        <v>0</v>
      </c>
      <c r="K97" s="18">
        <f t="shared" si="8"/>
        <v>0</v>
      </c>
      <c r="L97" s="17" t="s">
        <v>19</v>
      </c>
    </row>
    <row r="98" spans="1:12" x14ac:dyDescent="0.25">
      <c r="A98" s="4" t="str">
        <f>+IF(Sheet2!A98="","",Sheet2!A98)</f>
        <v/>
      </c>
      <c r="B98" s="4" t="str">
        <f>+IF(Sheet2!B98="","",Sheet2!B98)</f>
        <v/>
      </c>
      <c r="C98" s="4" t="str">
        <f>+IF(Sheet2!C98="","",Sheet2!C98)</f>
        <v/>
      </c>
      <c r="D98" s="4" t="e">
        <f>+IF(Sheet2!J98="","",Sheet2!J98)</f>
        <v>#N/A</v>
      </c>
      <c r="E98" s="19">
        <f>Sheet2!D98</f>
        <v>0</v>
      </c>
      <c r="H98" s="17">
        <f>Sheet2!H98</f>
        <v>0</v>
      </c>
      <c r="I98" s="18">
        <f t="shared" si="6"/>
        <v>0</v>
      </c>
      <c r="J98" s="18">
        <f t="shared" si="7"/>
        <v>0</v>
      </c>
      <c r="K98" s="18">
        <f t="shared" si="8"/>
        <v>0</v>
      </c>
      <c r="L98" s="17" t="s">
        <v>19</v>
      </c>
    </row>
    <row r="99" spans="1:12" x14ac:dyDescent="0.25">
      <c r="A99" s="4" t="str">
        <f>+IF(Sheet2!A99="","",Sheet2!A99)</f>
        <v/>
      </c>
      <c r="B99" s="4" t="str">
        <f>+IF(Sheet2!B99="","",Sheet2!B99)</f>
        <v/>
      </c>
      <c r="C99" s="4" t="str">
        <f>+IF(Sheet2!C99="","",Sheet2!C99)</f>
        <v/>
      </c>
      <c r="D99" s="4" t="e">
        <f>+IF(Sheet2!J99="","",Sheet2!J99)</f>
        <v>#N/A</v>
      </c>
      <c r="E99" s="19">
        <f>Sheet2!D99</f>
        <v>0</v>
      </c>
      <c r="H99" s="17">
        <f>Sheet2!H99</f>
        <v>0</v>
      </c>
      <c r="I99" s="18">
        <f t="shared" si="6"/>
        <v>0</v>
      </c>
      <c r="J99" s="18">
        <f t="shared" si="7"/>
        <v>0</v>
      </c>
      <c r="K99" s="18">
        <f t="shared" si="8"/>
        <v>0</v>
      </c>
      <c r="L99" s="17" t="s">
        <v>19</v>
      </c>
    </row>
    <row r="100" spans="1:12" x14ac:dyDescent="0.25">
      <c r="A100" s="4" t="str">
        <f>+IF(Sheet2!A100="","",Sheet2!A100)</f>
        <v/>
      </c>
      <c r="B100" s="4" t="str">
        <f>+IF(Sheet2!B100="","",Sheet2!B100)</f>
        <v/>
      </c>
      <c r="C100" s="4" t="str">
        <f>+IF(Sheet2!C100="","",Sheet2!C100)</f>
        <v/>
      </c>
      <c r="D100" s="4" t="e">
        <f>+IF(Sheet2!J100="","",Sheet2!J100)</f>
        <v>#N/A</v>
      </c>
      <c r="E100" s="19">
        <f>Sheet2!D100</f>
        <v>0</v>
      </c>
      <c r="H100" s="17">
        <f>Sheet2!H100</f>
        <v>0</v>
      </c>
      <c r="I100" s="18">
        <f t="shared" si="6"/>
        <v>0</v>
      </c>
      <c r="J100" s="18">
        <f t="shared" si="7"/>
        <v>0</v>
      </c>
      <c r="K100" s="18">
        <f t="shared" si="8"/>
        <v>0</v>
      </c>
      <c r="L100" s="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Achilles.vnsgn / Bee Logistics</dc:creator>
  <cp:lastModifiedBy>Achilles.vnsgn / Bee Logistics</cp:lastModifiedBy>
  <dcterms:created xsi:type="dcterms:W3CDTF">2026-10-20T02:28:43Z</dcterms:created>
  <dcterms:modified xsi:type="dcterms:W3CDTF">2026-10-23T10:33:23Z</dcterms:modified>
</cp:coreProperties>
</file>