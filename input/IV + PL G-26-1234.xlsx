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3 OCT/"/>
    </mc:Choice>
  </mc:AlternateContent>
  <xr:revisionPtr revIDLastSave="1" documentId="8_{AE3F61FC-E7E4-479E-9BAC-508AB0C4C96A}" xr6:coauthVersionLast="47" xr6:coauthVersionMax="47" xr10:uidLastSave="{60CAB740-0EAF-47B7-9B0C-2EEA931CED14}"/>
  <bookViews>
    <workbookView xWindow="-108" yWindow="-108" windowWidth="23256" windowHeight="12456" xr2:uid="{31EF472F-AFA1-4B6F-97FC-B24E67033A80}"/>
  </bookViews>
  <sheets>
    <sheet name="IV G-26-1234 " sheetId="2" r:id="rId1"/>
    <sheet name="G-26-1234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'G-26-1234'!$A$1:$P$37</definedName>
    <definedName name="_xlnm.Print_Area" localSheetId="0">'IV G-26-1234 '!$A$1:$P$37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27" i="1" l="1"/>
  <c r="F26" i="1"/>
  <c r="D28" i="1" s="1"/>
  <c r="K24" i="1"/>
  <c r="N19" i="1"/>
  <c r="L19" i="1"/>
  <c r="L24" i="1" s="1"/>
  <c r="J19" i="1"/>
  <c r="H19" i="1"/>
  <c r="F19" i="1"/>
  <c r="N18" i="1"/>
  <c r="J18" i="1"/>
  <c r="H18" i="1"/>
  <c r="F18" i="1"/>
  <c r="N18" i="2"/>
  <c r="P18" i="2"/>
  <c r="N19" i="2"/>
  <c r="P19" i="2"/>
  <c r="K20" i="2"/>
  <c r="L20" i="2"/>
  <c r="N20" i="2"/>
  <c r="P20" i="2"/>
  <c r="J28" i="2"/>
  <c r="O27" i="1" l="1"/>
  <c r="P19" i="1"/>
  <c r="O19" i="1" s="1"/>
  <c r="M19" i="1"/>
  <c r="P18" i="1"/>
  <c r="M18" i="1"/>
  <c r="N24" i="1"/>
  <c r="P24" i="1" l="1"/>
  <c r="P28" i="1" s="1"/>
  <c r="O18" i="1"/>
  <c r="O24" i="1" s="1"/>
  <c r="O28" i="1" s="1"/>
  <c r="M24" i="1"/>
</calcChain>
</file>

<file path=xl/sharedStrings.xml><?xml version="1.0" encoding="utf-8"?>
<sst xmlns="http://schemas.openxmlformats.org/spreadsheetml/2006/main" count="241" uniqueCount="111">
  <si>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</si>
  <si>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</si>
  <si>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</si>
  <si>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</si>
  <si>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</si>
  <si>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</si>
  <si>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</si>
  <si>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</si>
  <si>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</si>
  <si>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</si>
  <si>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</si>
  <si>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</si>
  <si>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</si>
  <si>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</si>
  <si>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</si>
  <si>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</si>
  <si>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</si>
  <si>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</si>
  <si>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</si>
  <si>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</si>
  <si>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10 CM</t>
  </si>
  <si>
    <t>BOX</t>
  </si>
  <si>
    <t>------TOTAL------</t>
  </si>
  <si>
    <t>************</t>
  </si>
  <si>
    <t>GOLF SHAFTS</t>
  </si>
  <si>
    <t>GOLF SHAFT-MY</t>
  </si>
  <si>
    <t>81</t>
  </si>
  <si>
    <t>08-81741297</t>
  </si>
  <si>
    <t>12K DIAMANA PUTTER P120S</t>
  </si>
  <si>
    <t>MY039-IS-TA</t>
  </si>
  <si>
    <t>08-022389</t>
  </si>
  <si>
    <t>2</t>
  </si>
  <si>
    <t>NJMX1430</t>
  </si>
  <si>
    <t>08-81741296</t>
  </si>
  <si>
    <t>12K DIAMANA PUTTER P105S</t>
  </si>
  <si>
    <t>MY038-IS-TA</t>
  </si>
  <si>
    <t>1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</si>
  <si>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</si>
  <si>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</si>
  <si>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</si>
  <si>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</si>
  <si>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</si>
  <si>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</si>
  <si>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</si>
  <si>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</si>
  <si>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</si>
  <si>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</si>
  <si>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</si>
  <si>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</si>
  <si>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</si>
  <si>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</si>
  <si>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</si>
  <si>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</si>
  <si>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</si>
  <si>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</si>
  <si>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</si>
  <si>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</si>
  <si>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</si>
  <si>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</si>
  <si>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</si>
  <si>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SO No.</t>
  </si>
  <si>
    <t>Line #</t>
  </si>
  <si>
    <t>PO No.</t>
  </si>
  <si>
    <t>HTSUS code:</t>
  </si>
  <si>
    <t>Door To Door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</si>
  <si>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</si>
  <si>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</si>
  <si>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</si>
  <si>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</si>
  <si>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</si>
  <si>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</si>
  <si>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</si>
  <si>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</si>
  <si>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 xml:space="preserve">FEDEX </t>
  </si>
  <si>
    <t>Forwarder/Consolidator:</t>
  </si>
  <si>
    <t>DDP-&gt;FOB</t>
  </si>
  <si>
    <t>FOB Ho Chi Minh City</t>
  </si>
  <si>
    <t>VDD-FEDEX IE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</si>
  <si>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</si>
  <si>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</si>
  <si>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>822 Irukade-Shinden, Komaki City, Aichi Prefecture, 485-0084, Japan
Phone number: +81-568-42-1533
Attn: YOSHIKAWA</t>
  </si>
  <si>
    <t>Beneficiary name  : ALDILA COMPOSITE PRODUCTS COMPANY LTD.</t>
  </si>
  <si>
    <t>Yamato Transport Co. Komaki Logistics Center</t>
  </si>
  <si>
    <t>Marks &amp; Number</t>
  </si>
  <si>
    <t>Ship to Name &amp; Address /Importer</t>
  </si>
  <si>
    <t>MITSUBISHI CHEMICAL CORPORATION
Advanced Composite &amp; Shapes Group, 
Composite Parts Div, 
Asia Business Dep.
Sporting Goods, RD &amp; Operations GROUP
1-2, 4-Chome, Ushikawa-dori, Toyohashi, Aichi 440-8601, Japan
Tel: + 81-532-64-2220</t>
  </si>
  <si>
    <t>ALDILA COMPOSITE PRODUCTS CO., LTD.
No. 30 VSIP, Street 8, Vietnam Singapore Industrial Park
An Phu Ward, Ho Chi Minh City, Vietnam
Tel: +84-274-376-7797
Fax: +84-274-376-7796</t>
  </si>
  <si>
    <t>Importer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</si>
  <si>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</si>
  <si>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</si>
  <si>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</si>
  <si>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</si>
  <si>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</si>
  <si>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</si>
  <si>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G-26-1234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</si>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</sst>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7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1" xfId="12" applyNumberFormat="1" applyFont="1" applyBorder="1" applyAlignment="1">
      <alignment horizontal="center" vertical="center" wrapText="1"/>
    </xf>
    <xf numFmtId="49" fontId="10" fillId="0" borderId="32" xfId="12" applyNumberFormat="1" applyFont="1" applyBorder="1" applyAlignment="1">
      <alignment horizontal="center" vertical="center" wrapText="1"/>
    </xf>
    <xf numFmtId="43" fontId="8" fillId="0" borderId="11" xfId="1" applyFont="1" applyFill="1" applyBorder="1" applyAlignment="1">
      <alignment horizontal="right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F08A2531-A76D-4DFD-AEE0-B3BEC1DC2CD5}"/>
    <cellStyle name="Comma 2" xfId="4" xr:uid="{2C6D4004-468F-48AF-83D7-F8EA9329E5B0}"/>
    <cellStyle name="Normal" xfId="0" builtinId="0"/>
    <cellStyle name="Normal 161 2 4 10 2" xfId="6" xr:uid="{8B743D8D-80B6-4268-8F9A-4806C257FBB1}"/>
    <cellStyle name="Normal 2" xfId="2" xr:uid="{A11DE656-AC87-46D1-82E6-3CF0EE7A2A28}"/>
    <cellStyle name="Normal 2 10 2 2" xfId="5" xr:uid="{B6DDEE21-DCD4-45FC-8357-C75D5D845B06}"/>
    <cellStyle name="Normal 2 10_Packaged data" xfId="12" xr:uid="{CDADA5C8-8B52-4E72-A71A-7130FE932BED}"/>
    <cellStyle name="Normal 2 139 2" xfId="7" xr:uid="{3339596B-EAE3-40DA-9EDB-C76437000D5B}"/>
    <cellStyle name="Normal 222 4 2" xfId="8" xr:uid="{62DC6BE8-14C0-4D0B-AAA8-5D744110C71E}"/>
    <cellStyle name="Normal 6 2 5 2 2" xfId="10" xr:uid="{04691B5D-A955-4F32-83E4-6A841DB6E817}"/>
    <cellStyle name="一般_Book2" xfId="3" xr:uid="{56F014E6-7CEB-4DEA-8476-3A96FD418DA1}"/>
    <cellStyle name="一般_Book2 2" xfId="13" xr:uid="{67E3DFDA-FB90-492F-BCC6-E3A1A4AA362B}"/>
    <cellStyle name="常规_INV 03, 2004" xfId="9" xr:uid="{C1A5AFB5-3A81-42B9-ACD3-7D8D49400F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925276</xdr:colOff>
      <xdr:row>26</xdr:row>
      <xdr:rowOff>204105</xdr:rowOff>
    </xdr:from>
    <xdr:to>
      <xdr:col>8</xdr:col>
      <xdr:colOff>1283145</xdr:colOff>
      <xdr:row>27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43777373-AEA4-4D2F-97FD-43ACE413F1EB}"/>
            </a:ext>
          </a:extLst>
        </xdr:cNvPr>
        <xdr:cNvSpPr/>
      </xdr:nvSpPr>
      <xdr:spPr>
        <a:xfrm>
          <a:off x="10419796" y="11634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1">
          <cell r="B1"/>
        </row>
      </sheetData>
      <sheetData sheetId="138">
        <row r="1">
          <cell r="K1" t="str">
            <v>,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">
          <cell r="F1"/>
        </row>
      </sheetData>
      <sheetData sheetId="150">
        <row r="1">
          <cell r="A1" t="str">
            <v>Item</v>
          </cell>
        </row>
      </sheetData>
      <sheetData sheetId="151"/>
      <sheetData sheetId="152"/>
      <sheetData sheetId="153">
        <row r="1">
          <cell r="A1" t="str">
            <v>Aldila Part #</v>
          </cell>
        </row>
      </sheetData>
      <sheetData sheetId="154"/>
      <sheetData sheetId="155">
        <row r="1">
          <cell r="D1" t="str">
            <v>Ship To (Adjusted)-Mode of Delivery-Forwarder</v>
          </cell>
        </row>
      </sheetData>
      <sheetData sheetId="156"/>
      <sheetData sheetId="157"/>
      <sheetData sheetId="158"/>
      <sheetData sheetId="159">
        <row r="1">
          <cell r="A1" t="str">
            <v>Item Number</v>
          </cell>
        </row>
      </sheetData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5"/>
      <sheetName val="G-26-1096"/>
      <sheetName val="G-26-1079"/>
      <sheetName val="G-26-1104"/>
      <sheetName val="G-26-1070"/>
      <sheetName val="G-26-119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194"/>
      <sheetName val="G-26-1095"/>
      <sheetName val="G-26-1096"/>
      <sheetName val="G-26-1079"/>
      <sheetName val="G-26-1104"/>
      <sheetName val="G-26-1070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44d21b-ee8d-4a6c-8cff-87f00b31213b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E2B3-9D60-4E80-BA9B-AEAE4C6BEBDE}">
  <sheetPr>
    <pageSetUpPr fitToPage="1"/>
  </sheetPr>
  <dimension ref="A1:P37"/>
  <sheetViews>
    <sheetView showGridLines="0" tabSelected="1" view="pageBreakPreview" topLeftCell="E1" zoomScale="70" zoomScaleNormal="70" zoomScaleSheetLayoutView="70" workbookViewId="0">
      <selection activeCell="E3" sqref="E3:K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5" width="15.109375" style="1" customWidth="1"/>
    <col min="6" max="6" width="18.88671875" style="2" customWidth="1"/>
    <col min="7" max="7" width="19.6640625" style="2" customWidth="1"/>
    <col min="8" max="8" width="18.6640625" style="2" customWidth="1"/>
    <col min="9" max="9" width="24.5546875" style="2" customWidth="1"/>
    <col min="10" max="10" width="26.109375" style="2" customWidth="1"/>
    <col min="11" max="11" width="15.44140625" style="2" customWidth="1"/>
    <col min="12" max="12" width="12.44140625" style="2" customWidth="1"/>
    <col min="13" max="14" width="20.21875" style="2" customWidth="1"/>
    <col min="15" max="16" width="20.21875" style="1" customWidth="1"/>
    <col min="17" max="16384" width="9.109375" style="1"/>
  </cols>
  <sheetData>
    <row r="1" spans="1:16" ht="27.75" customHeight="1" thickBot="1">
      <c r="B1" s="1" t="s">
        <v>26</v>
      </c>
    </row>
    <row r="2" spans="1:16" ht="34.5" customHeight="1" thickBot="1">
      <c r="A2" s="147"/>
      <c r="B2" s="141"/>
      <c r="C2" s="141"/>
      <c r="D2" s="146"/>
      <c r="E2" s="145" t="s">
        <v>110</v>
      </c>
      <c r="F2" s="145"/>
      <c r="G2" s="145"/>
      <c r="H2" s="145"/>
      <c r="I2" s="145"/>
      <c r="J2" s="145"/>
      <c r="K2" s="145"/>
      <c r="L2" s="145"/>
      <c r="M2" s="144"/>
      <c r="N2" s="144" t="s">
        <v>95</v>
      </c>
      <c r="O2" s="143">
        <v>46318</v>
      </c>
      <c r="P2" s="142"/>
    </row>
    <row r="3" spans="1:16" ht="60" customHeight="1" thickBot="1">
      <c r="A3" s="141"/>
      <c r="B3" s="141"/>
      <c r="C3" s="141"/>
      <c r="D3" s="141"/>
      <c r="E3" s="140" t="s">
        <v>94</v>
      </c>
      <c r="F3" s="140"/>
      <c r="G3" s="140"/>
      <c r="H3" s="140"/>
      <c r="I3" s="140"/>
      <c r="J3" s="140"/>
      <c r="K3" s="140"/>
      <c r="L3" s="138" t="s">
        <v>93</v>
      </c>
      <c r="M3" s="139">
        <v>46318</v>
      </c>
      <c r="N3" s="138" t="s">
        <v>92</v>
      </c>
      <c r="O3" s="137">
        <v>46325</v>
      </c>
      <c r="P3" s="136"/>
    </row>
    <row r="4" spans="1:16" ht="24.75" customHeight="1">
      <c r="A4" s="128" t="s">
        <v>91</v>
      </c>
      <c r="B4" s="130"/>
      <c r="C4" s="130"/>
      <c r="D4" s="130"/>
      <c r="E4" s="130"/>
      <c r="F4" s="130"/>
      <c r="G4" s="130"/>
      <c r="H4" s="129"/>
      <c r="I4" s="128" t="s">
        <v>90</v>
      </c>
      <c r="J4" s="127"/>
      <c r="K4" s="135"/>
      <c r="L4" s="125"/>
      <c r="M4" s="125"/>
      <c r="N4" s="124"/>
      <c r="O4" s="123"/>
      <c r="P4" s="122"/>
    </row>
    <row r="5" spans="1:16" ht="102" customHeight="1" thickBot="1">
      <c r="A5" s="132" t="s">
        <v>86</v>
      </c>
      <c r="B5" s="132"/>
      <c r="C5" s="132"/>
      <c r="D5" s="132"/>
      <c r="E5" s="132"/>
      <c r="F5" s="132"/>
      <c r="G5" s="132"/>
      <c r="H5" s="132"/>
      <c r="I5" s="132" t="s">
        <v>89</v>
      </c>
      <c r="J5" s="132"/>
      <c r="K5" s="132"/>
      <c r="L5" s="132"/>
      <c r="M5" s="132"/>
      <c r="N5" s="132"/>
      <c r="O5" s="132"/>
      <c r="P5" s="132"/>
    </row>
    <row r="6" spans="1:16" ht="24.75" customHeight="1">
      <c r="A6" s="128" t="s">
        <v>88</v>
      </c>
      <c r="B6" s="130"/>
      <c r="C6" s="130"/>
      <c r="D6" s="134"/>
      <c r="E6" s="130"/>
      <c r="F6" s="130"/>
      <c r="G6" s="130"/>
      <c r="H6" s="129"/>
      <c r="I6" s="128" t="s">
        <v>87</v>
      </c>
      <c r="J6" s="133"/>
      <c r="K6" s="126"/>
      <c r="L6" s="125"/>
      <c r="M6" s="125"/>
      <c r="N6" s="124"/>
      <c r="O6" s="123"/>
      <c r="P6" s="122"/>
    </row>
    <row r="7" spans="1:16" ht="127.2" customHeight="1" thickBot="1">
      <c r="A7" s="132" t="s">
        <v>86</v>
      </c>
      <c r="B7" s="132"/>
      <c r="C7" s="132"/>
      <c r="D7" s="132"/>
      <c r="E7" s="132"/>
      <c r="F7" s="132"/>
      <c r="G7" s="132"/>
      <c r="H7" s="132"/>
      <c r="I7" s="132" t="s">
        <v>85</v>
      </c>
      <c r="J7" s="132"/>
      <c r="K7" s="132"/>
      <c r="L7" s="132"/>
      <c r="M7" s="132"/>
      <c r="N7" s="132"/>
      <c r="O7" s="132"/>
      <c r="P7" s="132"/>
    </row>
    <row r="8" spans="1:16" ht="24.75" customHeight="1">
      <c r="A8" s="128" t="s">
        <v>84</v>
      </c>
      <c r="B8" s="130"/>
      <c r="C8" s="130"/>
      <c r="D8" s="130"/>
      <c r="E8" s="130"/>
      <c r="F8" s="130"/>
      <c r="G8" s="130"/>
      <c r="H8" s="129"/>
      <c r="I8" s="128" t="s">
        <v>83</v>
      </c>
      <c r="J8" s="127"/>
      <c r="K8" s="126"/>
      <c r="L8" s="125"/>
      <c r="M8" s="125"/>
      <c r="N8" s="124"/>
      <c r="O8" s="123"/>
      <c r="P8" s="122"/>
    </row>
    <row r="9" spans="1:16" ht="17.25" customHeight="1">
      <c r="A9" s="121" t="s">
        <v>82</v>
      </c>
      <c r="B9" s="120"/>
      <c r="C9" s="120"/>
      <c r="D9" s="120"/>
      <c r="E9" s="120"/>
      <c r="F9" s="120"/>
      <c r="G9" s="120"/>
      <c r="H9" s="119"/>
      <c r="I9" s="118" t="s">
        <v>81</v>
      </c>
      <c r="J9" s="117"/>
      <c r="K9" s="116"/>
      <c r="L9" s="115"/>
      <c r="M9" s="115"/>
      <c r="N9" s="114"/>
      <c r="O9" s="113"/>
      <c r="P9" s="112"/>
    </row>
    <row r="10" spans="1:16" ht="102" customHeight="1" thickBot="1">
      <c r="A10" s="111" t="s">
        <v>80</v>
      </c>
      <c r="B10" s="111"/>
      <c r="C10" s="111"/>
      <c r="D10" s="111"/>
      <c r="E10" s="111"/>
      <c r="F10" s="111"/>
      <c r="G10" s="111"/>
      <c r="H10" s="111"/>
      <c r="I10" s="110" t="s">
        <v>79</v>
      </c>
      <c r="J10" s="110"/>
      <c r="K10" s="110"/>
      <c r="L10" s="110"/>
      <c r="M10" s="110"/>
      <c r="N10" s="110"/>
      <c r="O10" s="110"/>
      <c r="P10" s="110"/>
    </row>
    <row r="11" spans="1:16" ht="24.75" customHeight="1">
      <c r="A11" s="107" t="s">
        <v>78</v>
      </c>
      <c r="B11" s="106"/>
      <c r="C11" s="106"/>
      <c r="D11" s="109"/>
      <c r="E11" s="109"/>
      <c r="F11" s="106" t="s">
        <v>77</v>
      </c>
      <c r="G11" s="109"/>
      <c r="H11" s="108"/>
      <c r="I11" s="107" t="s">
        <v>40</v>
      </c>
      <c r="J11" s="106"/>
      <c r="K11" s="101" t="s">
        <v>76</v>
      </c>
      <c r="L11" s="105"/>
      <c r="M11" s="104"/>
      <c r="N11" s="86"/>
      <c r="O11" s="103"/>
      <c r="P11" s="102"/>
    </row>
    <row r="12" spans="1:16" ht="24.75" customHeight="1">
      <c r="A12" s="97" t="s">
        <v>74</v>
      </c>
      <c r="B12" s="93"/>
      <c r="C12" s="93"/>
      <c r="D12" s="99"/>
      <c r="E12" s="99"/>
      <c r="F12" s="100" t="s">
        <v>73</v>
      </c>
      <c r="G12" s="93" t="s">
        <v>72</v>
      </c>
      <c r="H12" s="98"/>
      <c r="I12" s="97" t="s">
        <v>71</v>
      </c>
      <c r="J12" s="93"/>
      <c r="K12" s="96" t="s">
        <v>70</v>
      </c>
      <c r="L12" s="17"/>
      <c r="M12" s="10"/>
      <c r="N12" s="86"/>
      <c r="O12" s="95"/>
      <c r="P12" s="94"/>
    </row>
    <row r="13" spans="1:16" ht="24.75" customHeight="1">
      <c r="A13" s="97" t="s">
        <v>69</v>
      </c>
      <c r="B13" s="93"/>
      <c r="C13" s="93"/>
      <c r="D13" s="99"/>
      <c r="E13" s="99"/>
      <c r="F13" s="99" t="s">
        <v>68</v>
      </c>
      <c r="G13" s="93"/>
      <c r="H13" s="98"/>
      <c r="I13" s="97" t="s">
        <v>67</v>
      </c>
      <c r="J13" s="93"/>
      <c r="K13" s="96" t="s">
        <v>66</v>
      </c>
      <c r="L13" s="17"/>
      <c r="M13" s="10"/>
      <c r="N13" s="86"/>
      <c r="O13" s="95"/>
      <c r="P13" s="94"/>
    </row>
    <row r="14" spans="1:16" ht="24.75" customHeight="1" thickBot="1">
      <c r="A14" s="91" t="s">
        <v>65</v>
      </c>
      <c r="B14" s="90"/>
      <c r="C14" s="90"/>
      <c r="D14" s="90"/>
      <c r="E14" s="90"/>
      <c r="F14" s="93" t="s">
        <v>64</v>
      </c>
      <c r="G14" s="90"/>
      <c r="H14" s="92"/>
      <c r="I14" s="91" t="s">
        <v>63</v>
      </c>
      <c r="J14" s="90"/>
      <c r="K14" s="89">
        <v>95063900</v>
      </c>
      <c r="L14" s="88"/>
      <c r="M14" s="87"/>
      <c r="N14" s="86"/>
      <c r="O14" s="85"/>
      <c r="P14" s="84"/>
    </row>
    <row r="15" spans="1:16" ht="36.75" customHeight="1" thickBot="1">
      <c r="A15" s="82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0"/>
      <c r="P15" s="79"/>
    </row>
    <row r="16" spans="1:16" s="16" customFormat="1" ht="20.25" customHeight="1">
      <c r="A16" s="78" t="s">
        <v>62</v>
      </c>
      <c r="B16" s="77"/>
      <c r="C16" s="76"/>
      <c r="D16" s="75" t="s">
        <v>61</v>
      </c>
      <c r="E16" s="75" t="s">
        <v>60</v>
      </c>
      <c r="F16" s="74" t="s">
        <v>59</v>
      </c>
      <c r="G16" s="73"/>
      <c r="H16" s="73"/>
      <c r="I16" s="73"/>
      <c r="J16" s="72" t="s">
        <v>58</v>
      </c>
      <c r="K16" s="71" t="s">
        <v>57</v>
      </c>
      <c r="L16" s="70"/>
      <c r="M16" s="180" t="s">
        <v>109</v>
      </c>
      <c r="N16" s="179"/>
      <c r="O16" s="180" t="s">
        <v>108</v>
      </c>
      <c r="P16" s="179"/>
    </row>
    <row r="17" spans="1:16" s="16" customFormat="1" ht="20.25" customHeight="1">
      <c r="A17" s="67" t="s">
        <v>41</v>
      </c>
      <c r="B17" s="66" t="s">
        <v>38</v>
      </c>
      <c r="C17" s="66" t="s">
        <v>37</v>
      </c>
      <c r="D17" s="65"/>
      <c r="E17" s="65"/>
      <c r="F17" s="64" t="s">
        <v>54</v>
      </c>
      <c r="G17" s="63" t="s">
        <v>53</v>
      </c>
      <c r="H17" s="62" t="s">
        <v>52</v>
      </c>
      <c r="I17" s="62"/>
      <c r="J17" s="61"/>
      <c r="K17" s="60" t="s">
        <v>51</v>
      </c>
      <c r="L17" s="59" t="s">
        <v>50</v>
      </c>
      <c r="M17" s="178" t="s">
        <v>107</v>
      </c>
      <c r="N17" s="177" t="s">
        <v>106</v>
      </c>
      <c r="O17" s="178" t="s">
        <v>107</v>
      </c>
      <c r="P17" s="177" t="s">
        <v>106</v>
      </c>
    </row>
    <row r="18" spans="1:16" s="39" customFormat="1" ht="30" customHeight="1">
      <c r="A18" s="53" t="s">
        <v>32</v>
      </c>
      <c r="B18" s="49"/>
      <c r="C18" s="49"/>
      <c r="D18" s="51" t="s">
        <v>36</v>
      </c>
      <c r="E18" s="51" t="s">
        <v>30</v>
      </c>
      <c r="F18" s="52">
        <v>0</v>
      </c>
      <c r="G18" s="51" t="s">
        <v>35</v>
      </c>
      <c r="H18" s="50" t="s">
        <v>25</v>
      </c>
      <c r="I18" s="49" t="s">
        <v>35</v>
      </c>
      <c r="J18" s="48" t="s">
        <v>34</v>
      </c>
      <c r="K18" s="43">
        <v>10</v>
      </c>
      <c r="L18" s="43">
        <v>0</v>
      </c>
      <c r="M18" s="176">
        <v>4.04</v>
      </c>
      <c r="N18" s="176">
        <f>+M18*K18</f>
        <v>40.4</v>
      </c>
      <c r="O18" s="176">
        <v>9.67</v>
      </c>
      <c r="P18" s="176">
        <f>+O18*K18</f>
        <v>96.7</v>
      </c>
    </row>
    <row r="19" spans="1:16" s="39" customFormat="1" ht="30" customHeight="1" thickBot="1">
      <c r="A19" s="53" t="s">
        <v>32</v>
      </c>
      <c r="B19" s="49"/>
      <c r="C19" s="49"/>
      <c r="D19" s="51" t="s">
        <v>31</v>
      </c>
      <c r="E19" s="51" t="s">
        <v>30</v>
      </c>
      <c r="F19" s="52">
        <v>0</v>
      </c>
      <c r="G19" s="51" t="s">
        <v>29</v>
      </c>
      <c r="H19" s="50" t="s">
        <v>25</v>
      </c>
      <c r="I19" s="49" t="s">
        <v>29</v>
      </c>
      <c r="J19" s="48" t="s">
        <v>28</v>
      </c>
      <c r="K19" s="43">
        <v>10</v>
      </c>
      <c r="L19" s="43">
        <v>1</v>
      </c>
      <c r="M19" s="175">
        <v>4.2</v>
      </c>
      <c r="N19" s="175">
        <f>+M19*K19</f>
        <v>42</v>
      </c>
      <c r="O19" s="175">
        <v>10.5</v>
      </c>
      <c r="P19" s="175">
        <f>+O19*K19</f>
        <v>105</v>
      </c>
    </row>
    <row r="20" spans="1:16" s="166" customFormat="1" ht="37.5" customHeight="1" thickBot="1">
      <c r="A20" s="174" t="s">
        <v>105</v>
      </c>
      <c r="B20" s="173"/>
      <c r="C20" s="173"/>
      <c r="D20" s="173"/>
      <c r="E20" s="173"/>
      <c r="F20" s="173"/>
      <c r="G20" s="173"/>
      <c r="H20" s="173"/>
      <c r="I20" s="173"/>
      <c r="J20" s="173"/>
      <c r="K20" s="172">
        <f>SUM(K18:K19)</f>
        <v>20</v>
      </c>
      <c r="L20" s="172">
        <f>SUM(L18:L19)</f>
        <v>1</v>
      </c>
      <c r="M20" s="171"/>
      <c r="N20" s="171">
        <f>SUM(N18:N19)</f>
        <v>82.4</v>
      </c>
      <c r="O20" s="171"/>
      <c r="P20" s="171">
        <f>SUM(P18:P19)</f>
        <v>201.7</v>
      </c>
    </row>
    <row r="21" spans="1:16" s="166" customFormat="1" ht="25.5" customHeight="1">
      <c r="A21" s="170" t="s">
        <v>104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68"/>
      <c r="L21" s="167"/>
      <c r="M21" s="167"/>
      <c r="N21" s="160"/>
      <c r="O21" s="160"/>
      <c r="P21" s="160"/>
    </row>
    <row r="22" spans="1:16" s="166" customFormat="1" ht="25.5" customHeight="1">
      <c r="A22" s="163" t="s">
        <v>103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1"/>
      <c r="L22" s="161"/>
      <c r="M22" s="161"/>
      <c r="N22" s="160"/>
      <c r="O22" s="160"/>
      <c r="P22" s="160"/>
    </row>
    <row r="23" spans="1:16" s="157" customFormat="1" ht="25.5" customHeight="1">
      <c r="A23" s="163" t="s">
        <v>102</v>
      </c>
      <c r="B23" s="162"/>
      <c r="C23" s="162"/>
      <c r="D23" s="162"/>
      <c r="E23" s="162"/>
      <c r="F23" s="162"/>
      <c r="G23" s="162"/>
      <c r="H23" s="162"/>
      <c r="I23" s="162"/>
      <c r="J23" s="162"/>
      <c r="K23" s="161"/>
      <c r="L23" s="161"/>
      <c r="M23" s="161"/>
      <c r="N23" s="165"/>
      <c r="O23" s="160"/>
      <c r="P23" s="164"/>
    </row>
    <row r="24" spans="1:16" s="157" customFormat="1" ht="17.25" customHeight="1">
      <c r="A24" s="163" t="s">
        <v>101</v>
      </c>
      <c r="B24" s="162"/>
      <c r="C24" s="162"/>
      <c r="D24" s="162"/>
      <c r="E24" s="162"/>
      <c r="F24" s="162"/>
      <c r="G24" s="162"/>
      <c r="H24" s="162"/>
      <c r="I24" s="162"/>
      <c r="J24" s="162"/>
      <c r="K24" s="161"/>
      <c r="L24" s="161"/>
      <c r="M24" s="161"/>
      <c r="N24" s="160"/>
      <c r="O24" s="160"/>
      <c r="P24" s="160"/>
    </row>
    <row r="25" spans="1:16" s="157" customFormat="1" ht="10.5" customHeight="1">
      <c r="A25" s="163"/>
      <c r="B25" s="162"/>
      <c r="C25" s="162"/>
      <c r="D25" s="162"/>
      <c r="E25" s="162"/>
      <c r="F25" s="162"/>
      <c r="G25" s="162"/>
      <c r="H25" s="162"/>
      <c r="I25" s="162"/>
      <c r="J25" s="162"/>
      <c r="K25" s="161"/>
      <c r="L25" s="161"/>
      <c r="M25" s="161"/>
      <c r="N25" s="160"/>
      <c r="O25" s="160"/>
      <c r="P25" s="160"/>
    </row>
    <row r="26" spans="1:16" s="157" customFormat="1" ht="32.25" customHeight="1">
      <c r="A26" s="158"/>
      <c r="B26" s="159" t="s">
        <v>100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8"/>
      <c r="M26" s="158"/>
      <c r="N26" s="149"/>
      <c r="O26" s="149"/>
      <c r="P26" s="149"/>
    </row>
    <row r="27" spans="1:16" s="12" customFormat="1" ht="39" customHeight="1">
      <c r="A27" s="150"/>
      <c r="B27" s="150"/>
      <c r="C27" s="150"/>
      <c r="D27" s="150"/>
      <c r="E27" s="156"/>
      <c r="F27" s="156"/>
      <c r="G27" s="156"/>
      <c r="H27" s="156"/>
      <c r="I27" s="156"/>
      <c r="J27" s="156"/>
      <c r="K27" s="150"/>
      <c r="L27" s="150"/>
      <c r="M27" s="150"/>
      <c r="N27" s="149"/>
      <c r="O27" s="149"/>
      <c r="P27" s="149"/>
    </row>
    <row r="28" spans="1:16" s="148" customFormat="1" ht="32.25" customHeight="1">
      <c r="A28" s="150"/>
      <c r="B28" s="150"/>
      <c r="C28" s="150"/>
      <c r="D28" s="150"/>
      <c r="E28" s="156"/>
      <c r="F28" s="156"/>
      <c r="G28" s="156"/>
      <c r="H28" s="156"/>
      <c r="I28" s="156"/>
      <c r="J28" s="155">
        <f>$O$2</f>
        <v>46318</v>
      </c>
      <c r="K28" s="155"/>
      <c r="L28" s="150"/>
      <c r="M28" s="150"/>
      <c r="N28" s="149"/>
      <c r="O28" s="149"/>
      <c r="P28" s="149"/>
    </row>
    <row r="29" spans="1:16" s="148" customFormat="1" ht="32.25" customHeight="1">
      <c r="A29" s="150"/>
      <c r="B29" s="153" t="s">
        <v>99</v>
      </c>
      <c r="C29" s="153"/>
      <c r="D29" s="154"/>
      <c r="E29" s="152"/>
      <c r="F29" s="152"/>
      <c r="G29" s="153" t="s">
        <v>98</v>
      </c>
      <c r="H29" s="152"/>
      <c r="I29" s="152"/>
      <c r="J29" s="151" t="s">
        <v>97</v>
      </c>
      <c r="K29" s="151"/>
      <c r="L29" s="150"/>
      <c r="M29" s="150"/>
      <c r="N29" s="149"/>
      <c r="O29" s="149"/>
      <c r="P29" s="149"/>
    </row>
    <row r="30" spans="1:16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15"/>
      <c r="G30" s="8" t="s">
        <v>13</v>
      </c>
      <c r="H30" s="8"/>
      <c r="I30" s="4" t="s">
        <v>0</v>
      </c>
      <c r="J30" s="4"/>
      <c r="K30" s="4"/>
      <c r="L30" s="4"/>
      <c r="M30" s="4"/>
      <c r="N30" s="4"/>
      <c r="O30" s="4"/>
      <c r="P30" s="4"/>
    </row>
    <row r="31" spans="1:16" s="12" customFormat="1" ht="45" customHeight="1">
      <c r="A31" s="4"/>
      <c r="B31" s="14"/>
      <c r="C31" s="4"/>
      <c r="D31" s="4"/>
      <c r="E31" s="7"/>
      <c r="F31" s="15"/>
      <c r="G31" s="4"/>
      <c r="H31" s="14"/>
      <c r="I31" s="7"/>
      <c r="J31" s="4"/>
      <c r="K31" s="4"/>
      <c r="L31" s="4"/>
      <c r="M31" s="4"/>
      <c r="N31" s="4"/>
      <c r="O31" s="4"/>
      <c r="P31" s="4"/>
    </row>
    <row r="32" spans="1:16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4"/>
      <c r="G32" s="8" t="s">
        <v>11</v>
      </c>
      <c r="H32" s="8" t="s">
        <v>1</v>
      </c>
      <c r="I32" s="7" t="s">
        <v>0</v>
      </c>
      <c r="J32" s="4"/>
      <c r="K32" s="8" t="s">
        <v>10</v>
      </c>
      <c r="L32" s="8"/>
      <c r="M32" s="5" t="s">
        <v>6</v>
      </c>
      <c r="N32" s="5"/>
      <c r="O32" s="5"/>
      <c r="P32" s="5"/>
    </row>
    <row r="33" spans="1:16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4"/>
      <c r="G33" s="8" t="s">
        <v>8</v>
      </c>
      <c r="H33" s="8" t="s">
        <v>1</v>
      </c>
      <c r="I33" s="7" t="s">
        <v>0</v>
      </c>
      <c r="J33" s="4"/>
      <c r="K33" s="8" t="s">
        <v>7</v>
      </c>
      <c r="L33" s="8"/>
      <c r="M33" s="5" t="s">
        <v>6</v>
      </c>
      <c r="N33" s="5"/>
      <c r="O33" s="5"/>
      <c r="P33" s="5"/>
    </row>
    <row r="34" spans="1:16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4"/>
      <c r="G34" s="8" t="s">
        <v>3</v>
      </c>
      <c r="H34" s="8" t="s">
        <v>1</v>
      </c>
      <c r="I34" s="7" t="s">
        <v>0</v>
      </c>
      <c r="J34" s="9"/>
      <c r="K34" s="8"/>
      <c r="L34" s="8"/>
      <c r="M34" s="5"/>
      <c r="N34" s="5"/>
      <c r="O34" s="5"/>
      <c r="P34" s="5"/>
    </row>
    <row r="35" spans="1:16" s="3" customFormat="1" ht="45" customHeight="1">
      <c r="A35" s="8"/>
      <c r="B35" s="8"/>
      <c r="C35" s="4"/>
      <c r="D35" s="6"/>
      <c r="E35" s="6"/>
      <c r="F35" s="4"/>
      <c r="G35" s="8" t="s">
        <v>2</v>
      </c>
      <c r="H35" s="8" t="s">
        <v>1</v>
      </c>
      <c r="I35" s="7" t="s">
        <v>0</v>
      </c>
      <c r="J35" s="4"/>
      <c r="K35" s="8"/>
      <c r="L35" s="8"/>
      <c r="M35" s="5"/>
      <c r="N35" s="5"/>
      <c r="O35" s="5"/>
      <c r="P35" s="5"/>
    </row>
    <row r="36" spans="1:16" s="3" customFormat="1" ht="45" customHeight="1">
      <c r="A36" s="8"/>
      <c r="B36" s="8"/>
      <c r="C36" s="4"/>
      <c r="D36" s="6"/>
      <c r="E36" s="6"/>
      <c r="F36" s="4"/>
      <c r="G36" s="8"/>
      <c r="H36" s="8"/>
      <c r="I36" s="7"/>
      <c r="J36" s="4"/>
      <c r="K36" s="4"/>
      <c r="L36" s="4"/>
      <c r="M36" s="4"/>
      <c r="N36" s="4"/>
      <c r="O36" s="4"/>
      <c r="P36" s="4"/>
    </row>
    <row r="37" spans="1:16" s="3" customFormat="1" ht="29.25" customHeight="1">
      <c r="A37" s="4"/>
      <c r="B37" s="4"/>
      <c r="C37" s="4"/>
      <c r="D37" s="4"/>
      <c r="E37" s="4"/>
      <c r="F37" s="4"/>
      <c r="G37" s="6"/>
      <c r="H37" s="5"/>
      <c r="I37" s="5"/>
      <c r="J37" s="4"/>
      <c r="K37" s="4"/>
      <c r="L37" s="4"/>
      <c r="M37" s="4"/>
      <c r="N37" s="4"/>
      <c r="O37" s="4"/>
      <c r="P37" s="4"/>
    </row>
  </sheetData>
  <dataConsolidate/>
  <mergeCells count="40">
    <mergeCell ref="A7:H7"/>
    <mergeCell ref="I7:P7"/>
    <mergeCell ref="A10:H10"/>
    <mergeCell ref="I10:P10"/>
    <mergeCell ref="A16:B16"/>
    <mergeCell ref="D16:D17"/>
    <mergeCell ref="E16:E17"/>
    <mergeCell ref="E2:L2"/>
    <mergeCell ref="O2:P2"/>
    <mergeCell ref="E3:K3"/>
    <mergeCell ref="O3:P3"/>
    <mergeCell ref="A5:H5"/>
    <mergeCell ref="I5:P5"/>
    <mergeCell ref="J16:J17"/>
    <mergeCell ref="M16:N16"/>
    <mergeCell ref="O16:P16"/>
    <mergeCell ref="A30:B30"/>
    <mergeCell ref="G30:H30"/>
    <mergeCell ref="A20:J20"/>
    <mergeCell ref="J28:K28"/>
    <mergeCell ref="J29:K29"/>
    <mergeCell ref="G36:H36"/>
    <mergeCell ref="A32:B32"/>
    <mergeCell ref="G32:H32"/>
    <mergeCell ref="K32:L32"/>
    <mergeCell ref="M32:P32"/>
    <mergeCell ref="A33:B33"/>
    <mergeCell ref="G33:H33"/>
    <mergeCell ref="K33:L33"/>
    <mergeCell ref="M33:P33"/>
    <mergeCell ref="A34:B34"/>
    <mergeCell ref="G34:H34"/>
    <mergeCell ref="K34:L34"/>
    <mergeCell ref="M34:P34"/>
    <mergeCell ref="H37:I37"/>
    <mergeCell ref="A35:B35"/>
    <mergeCell ref="G35:H35"/>
    <mergeCell ref="K35:L35"/>
    <mergeCell ref="M35:P35"/>
    <mergeCell ref="A36:B36"/>
  </mergeCells>
  <dataValidations count="5">
    <dataValidation type="list" allowBlank="1" showInputMessage="1" showErrorMessage="1" sqref="B26:C26" xr:uid="{2D287254-9A1A-49A7-A581-D75CD1177376}">
      <formula1>"BUNDLE SIZE,PALLET SIZE"</formula1>
    </dataValidation>
    <dataValidation type="list" allowBlank="1" showInputMessage="1" showErrorMessage="1" sqref="B24:C25" xr:uid="{64E9FDD6-ACE3-4F06-9DBF-C2F68D565567}">
      <formula1>"BOX,BUNDLE CONSISTS OF,PALLET CONSISTS OF"</formula1>
    </dataValidation>
    <dataValidation type="list" allowBlank="1" showInputMessage="1" showErrorMessage="1" sqref="B23:C23" xr:uid="{7F900038-C34A-47B9-81D0-3978A45E3AB3}">
      <formula1>"BOX,BUNDLE,WOODEN PALLET,PLASTIC PALLET_big,PLASTIC PALLET_small"</formula1>
    </dataValidation>
    <dataValidation type="list" allowBlank="1" showInputMessage="1" showErrorMessage="1" sqref="F24:F25" xr:uid="{31BBEE3C-D148-465C-A737-AC50FDDC8AD9}">
      <formula1>"BOXES,BOXES           _50,BOXES           _100"</formula1>
    </dataValidation>
    <dataValidation type="list" allowBlank="1" showInputMessage="1" showErrorMessage="1" sqref="F12" xr:uid="{03ECFDE0-5F36-4438-A77B-8C18D621B50D}">
      <formula1>"FEDEX "</formula1>
    </dataValidation>
  </dataValidations>
  <printOptions horizontalCentered="1"/>
  <pageMargins left="0" right="0" top="0" bottom="0.74803149606299202" header="0.31496062992126" footer="0.31496062992126"/>
  <pageSetup paperSize="9" scale="35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23E3-5DFB-4947-A72D-ECB7173D763C}">
  <sheetPr>
    <tabColor theme="0"/>
    <pageSetUpPr fitToPage="1"/>
  </sheetPr>
  <dimension ref="A1:AF37"/>
  <sheetViews>
    <sheetView showGridLines="0" view="pageBreakPreview" topLeftCell="A14" zoomScale="70" zoomScaleNormal="70" zoomScaleSheetLayoutView="70" workbookViewId="0">
      <selection activeCell="A15" sqref="A15:P28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5" width="15.109375" style="1" customWidth="1"/>
    <col min="6" max="6" width="18.88671875" style="2" customWidth="1"/>
    <col min="7" max="7" width="19.6640625" style="2" customWidth="1"/>
    <col min="8" max="8" width="18.6640625" style="2" customWidth="1"/>
    <col min="9" max="9" width="24.5546875" style="2" customWidth="1"/>
    <col min="10" max="10" width="26.109375" style="2" customWidth="1"/>
    <col min="11" max="11" width="15.44140625" style="2" customWidth="1"/>
    <col min="12" max="14" width="12.44140625" style="2" customWidth="1"/>
    <col min="15" max="16" width="10.33203125" style="1" customWidth="1"/>
    <col min="17" max="17" width="14.6640625" style="1" customWidth="1"/>
    <col min="18" max="18" width="9.109375" style="1"/>
    <col min="19" max="19" width="21.6640625" style="1" bestFit="1" customWidth="1"/>
    <col min="20" max="21" width="21.6640625" style="1" customWidth="1"/>
    <col min="22" max="22" width="13.88671875" style="1" bestFit="1" customWidth="1"/>
    <col min="23" max="30" width="10.5546875" style="1" customWidth="1"/>
    <col min="31" max="16384" width="9.109375" style="1"/>
  </cols>
  <sheetData>
    <row r="1" spans="1:17" ht="27.75" customHeight="1" thickBot="1">
      <c r="B1" s="1" t="s">
        <v>26</v>
      </c>
    </row>
    <row r="2" spans="1:17" ht="34.5" customHeight="1" thickBot="1">
      <c r="A2" s="147"/>
      <c r="B2" s="141"/>
      <c r="C2" s="141"/>
      <c r="D2" s="146"/>
      <c r="E2" s="145" t="s">
        <v>96</v>
      </c>
      <c r="F2" s="145"/>
      <c r="G2" s="145"/>
      <c r="H2" s="145"/>
      <c r="I2" s="145"/>
      <c r="J2" s="145"/>
      <c r="K2" s="145"/>
      <c r="L2" s="145"/>
      <c r="M2" s="144"/>
      <c r="N2" s="144" t="s">
        <v>95</v>
      </c>
      <c r="O2" s="143">
        <v>46318</v>
      </c>
      <c r="P2" s="142"/>
      <c r="Q2" s="83"/>
    </row>
    <row r="3" spans="1:17" ht="60" customHeight="1" thickBot="1">
      <c r="A3" s="141"/>
      <c r="B3" s="141"/>
      <c r="C3" s="141"/>
      <c r="D3" s="141"/>
      <c r="E3" s="140" t="s">
        <v>94</v>
      </c>
      <c r="F3" s="140"/>
      <c r="G3" s="140"/>
      <c r="H3" s="140"/>
      <c r="I3" s="140"/>
      <c r="J3" s="140"/>
      <c r="K3" s="140"/>
      <c r="L3" s="138" t="s">
        <v>93</v>
      </c>
      <c r="M3" s="139">
        <v>46318</v>
      </c>
      <c r="N3" s="138" t="s">
        <v>92</v>
      </c>
      <c r="O3" s="137">
        <v>46325</v>
      </c>
      <c r="P3" s="136"/>
      <c r="Q3" s="83"/>
    </row>
    <row r="4" spans="1:17" ht="24.75" customHeight="1">
      <c r="A4" s="128" t="s">
        <v>91</v>
      </c>
      <c r="B4" s="130"/>
      <c r="C4" s="130"/>
      <c r="D4" s="130"/>
      <c r="E4" s="130"/>
      <c r="F4" s="130"/>
      <c r="G4" s="130"/>
      <c r="H4" s="129"/>
      <c r="I4" s="128" t="s">
        <v>90</v>
      </c>
      <c r="J4" s="127"/>
      <c r="K4" s="135"/>
      <c r="L4" s="125"/>
      <c r="M4" s="125"/>
      <c r="N4" s="124"/>
      <c r="O4" s="123"/>
      <c r="P4" s="122"/>
      <c r="Q4" s="83"/>
    </row>
    <row r="5" spans="1:17" ht="102" customHeight="1" thickBot="1">
      <c r="A5" s="132" t="s">
        <v>86</v>
      </c>
      <c r="B5" s="132"/>
      <c r="C5" s="132"/>
      <c r="D5" s="132"/>
      <c r="E5" s="132"/>
      <c r="F5" s="132"/>
      <c r="G5" s="132"/>
      <c r="H5" s="132"/>
      <c r="I5" s="132" t="s">
        <v>89</v>
      </c>
      <c r="J5" s="132"/>
      <c r="K5" s="132"/>
      <c r="L5" s="132"/>
      <c r="M5" s="132"/>
      <c r="N5" s="132"/>
      <c r="O5" s="132"/>
      <c r="P5" s="132"/>
    </row>
    <row r="6" spans="1:17" ht="24.75" customHeight="1">
      <c r="A6" s="128" t="s">
        <v>88</v>
      </c>
      <c r="B6" s="130"/>
      <c r="C6" s="130"/>
      <c r="D6" s="134"/>
      <c r="E6" s="130"/>
      <c r="F6" s="130"/>
      <c r="G6" s="130"/>
      <c r="H6" s="129"/>
      <c r="I6" s="128" t="s">
        <v>87</v>
      </c>
      <c r="J6" s="133"/>
      <c r="K6" s="126"/>
      <c r="L6" s="125"/>
      <c r="M6" s="125"/>
      <c r="N6" s="124"/>
      <c r="O6" s="123"/>
      <c r="P6" s="122"/>
      <c r="Q6" s="83"/>
    </row>
    <row r="7" spans="1:17" ht="111.75" customHeight="1" thickBot="1">
      <c r="A7" s="132" t="s">
        <v>86</v>
      </c>
      <c r="B7" s="132"/>
      <c r="C7" s="132"/>
      <c r="D7" s="132"/>
      <c r="E7" s="132"/>
      <c r="F7" s="132"/>
      <c r="G7" s="132"/>
      <c r="H7" s="132"/>
      <c r="I7" s="132" t="s">
        <v>85</v>
      </c>
      <c r="J7" s="132"/>
      <c r="K7" s="132"/>
      <c r="L7" s="132"/>
      <c r="M7" s="132"/>
      <c r="N7" s="132"/>
      <c r="O7" s="132"/>
      <c r="P7" s="132"/>
      <c r="Q7" s="131"/>
    </row>
    <row r="8" spans="1:17" ht="24.75" customHeight="1">
      <c r="A8" s="128" t="s">
        <v>84</v>
      </c>
      <c r="B8" s="130"/>
      <c r="C8" s="130"/>
      <c r="D8" s="130"/>
      <c r="E8" s="130"/>
      <c r="F8" s="130"/>
      <c r="G8" s="130"/>
      <c r="H8" s="129"/>
      <c r="I8" s="128" t="s">
        <v>83</v>
      </c>
      <c r="J8" s="127"/>
      <c r="K8" s="126"/>
      <c r="L8" s="125"/>
      <c r="M8" s="125"/>
      <c r="N8" s="124"/>
      <c r="O8" s="123"/>
      <c r="P8" s="122"/>
      <c r="Q8" s="83"/>
    </row>
    <row r="9" spans="1:17" ht="17.25" customHeight="1">
      <c r="A9" s="121" t="s">
        <v>82</v>
      </c>
      <c r="B9" s="120"/>
      <c r="C9" s="120"/>
      <c r="D9" s="120"/>
      <c r="E9" s="120"/>
      <c r="F9" s="120"/>
      <c r="G9" s="120"/>
      <c r="H9" s="119"/>
      <c r="I9" s="118" t="s">
        <v>81</v>
      </c>
      <c r="J9" s="117"/>
      <c r="K9" s="116"/>
      <c r="L9" s="115"/>
      <c r="M9" s="115"/>
      <c r="N9" s="114"/>
      <c r="O9" s="113"/>
      <c r="P9" s="112"/>
      <c r="Q9" s="83"/>
    </row>
    <row r="10" spans="1:17" ht="102" customHeight="1" thickBot="1">
      <c r="A10" s="111" t="s">
        <v>80</v>
      </c>
      <c r="B10" s="111"/>
      <c r="C10" s="111"/>
      <c r="D10" s="111"/>
      <c r="E10" s="111"/>
      <c r="F10" s="111"/>
      <c r="G10" s="111"/>
      <c r="H10" s="111"/>
      <c r="I10" s="110" t="s">
        <v>79</v>
      </c>
      <c r="J10" s="110"/>
      <c r="K10" s="110"/>
      <c r="L10" s="110"/>
      <c r="M10" s="110"/>
      <c r="N10" s="110"/>
      <c r="O10" s="110"/>
      <c r="P10" s="110"/>
    </row>
    <row r="11" spans="1:17" ht="24.75" customHeight="1">
      <c r="A11" s="107" t="s">
        <v>78</v>
      </c>
      <c r="B11" s="106"/>
      <c r="C11" s="106"/>
      <c r="D11" s="109"/>
      <c r="E11" s="109"/>
      <c r="F11" s="106" t="s">
        <v>77</v>
      </c>
      <c r="G11" s="109"/>
      <c r="H11" s="108"/>
      <c r="I11" s="107" t="s">
        <v>40</v>
      </c>
      <c r="J11" s="106"/>
      <c r="K11" s="101" t="s">
        <v>76</v>
      </c>
      <c r="L11" s="105"/>
      <c r="M11" s="104"/>
      <c r="N11" s="86"/>
      <c r="O11" s="103"/>
      <c r="P11" s="102"/>
      <c r="Q11" s="101" t="s">
        <v>75</v>
      </c>
    </row>
    <row r="12" spans="1:17" ht="24.75" customHeight="1">
      <c r="A12" s="97" t="s">
        <v>74</v>
      </c>
      <c r="B12" s="93"/>
      <c r="C12" s="93"/>
      <c r="D12" s="99"/>
      <c r="E12" s="99"/>
      <c r="F12" s="100" t="s">
        <v>73</v>
      </c>
      <c r="G12" s="93" t="s">
        <v>72</v>
      </c>
      <c r="H12" s="98"/>
      <c r="I12" s="97" t="s">
        <v>71</v>
      </c>
      <c r="J12" s="93"/>
      <c r="K12" s="96" t="s">
        <v>70</v>
      </c>
      <c r="L12" s="17"/>
      <c r="M12" s="10"/>
      <c r="N12" s="86"/>
      <c r="O12" s="95"/>
      <c r="P12" s="94"/>
      <c r="Q12" s="83"/>
    </row>
    <row r="13" spans="1:17" ht="24.75" customHeight="1">
      <c r="A13" s="97" t="s">
        <v>69</v>
      </c>
      <c r="B13" s="93"/>
      <c r="C13" s="93"/>
      <c r="D13" s="99"/>
      <c r="E13" s="99"/>
      <c r="F13" s="99" t="s">
        <v>68</v>
      </c>
      <c r="G13" s="93"/>
      <c r="H13" s="98"/>
      <c r="I13" s="97" t="s">
        <v>67</v>
      </c>
      <c r="J13" s="93"/>
      <c r="K13" s="96" t="s">
        <v>66</v>
      </c>
      <c r="L13" s="17"/>
      <c r="M13" s="10"/>
      <c r="N13" s="86"/>
      <c r="O13" s="95"/>
      <c r="P13" s="94"/>
      <c r="Q13" s="83"/>
    </row>
    <row r="14" spans="1:17" ht="24.75" customHeight="1" thickBot="1">
      <c r="A14" s="91" t="s">
        <v>65</v>
      </c>
      <c r="B14" s="90"/>
      <c r="C14" s="90"/>
      <c r="D14" s="90"/>
      <c r="E14" s="90"/>
      <c r="F14" s="93" t="s">
        <v>64</v>
      </c>
      <c r="G14" s="90"/>
      <c r="H14" s="92"/>
      <c r="I14" s="91" t="s">
        <v>63</v>
      </c>
      <c r="J14" s="90"/>
      <c r="K14" s="89">
        <v>95063900</v>
      </c>
      <c r="L14" s="88"/>
      <c r="M14" s="87"/>
      <c r="N14" s="86"/>
      <c r="O14" s="85"/>
      <c r="P14" s="84"/>
      <c r="Q14" s="83"/>
    </row>
    <row r="15" spans="1:17" ht="36.75" customHeight="1" thickBot="1">
      <c r="A15" s="181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  <c r="P15" s="184"/>
    </row>
    <row r="16" spans="1:17" s="16" customFormat="1" ht="20.25" customHeight="1">
      <c r="A16" s="78" t="s">
        <v>62</v>
      </c>
      <c r="B16" s="77"/>
      <c r="C16" s="76"/>
      <c r="D16" s="75" t="s">
        <v>61</v>
      </c>
      <c r="E16" s="75" t="s">
        <v>60</v>
      </c>
      <c r="F16" s="74" t="s">
        <v>59</v>
      </c>
      <c r="G16" s="73"/>
      <c r="H16" s="73"/>
      <c r="I16" s="73"/>
      <c r="J16" s="72" t="s">
        <v>58</v>
      </c>
      <c r="K16" s="71" t="s">
        <v>57</v>
      </c>
      <c r="L16" s="70"/>
      <c r="M16" s="69" t="s">
        <v>56</v>
      </c>
      <c r="N16" s="70"/>
      <c r="O16" s="69" t="s">
        <v>55</v>
      </c>
      <c r="P16" s="68"/>
    </row>
    <row r="17" spans="1:32" s="16" customFormat="1" ht="20.25" customHeight="1">
      <c r="A17" s="67" t="s">
        <v>41</v>
      </c>
      <c r="B17" s="185" t="s">
        <v>38</v>
      </c>
      <c r="C17" s="185" t="s">
        <v>37</v>
      </c>
      <c r="D17" s="65"/>
      <c r="E17" s="65"/>
      <c r="F17" s="186" t="s">
        <v>54</v>
      </c>
      <c r="G17" s="187" t="s">
        <v>53</v>
      </c>
      <c r="H17" s="188" t="s">
        <v>52</v>
      </c>
      <c r="I17" s="188"/>
      <c r="J17" s="61"/>
      <c r="K17" s="60" t="s">
        <v>51</v>
      </c>
      <c r="L17" s="59" t="s">
        <v>50</v>
      </c>
      <c r="M17" s="59" t="s">
        <v>49</v>
      </c>
      <c r="N17" s="59" t="s">
        <v>48</v>
      </c>
      <c r="O17" s="59" t="s">
        <v>49</v>
      </c>
      <c r="P17" s="58" t="s">
        <v>48</v>
      </c>
      <c r="S17" s="57" t="s">
        <v>47</v>
      </c>
      <c r="T17" s="55" t="s">
        <v>46</v>
      </c>
      <c r="U17" s="56" t="s">
        <v>45</v>
      </c>
      <c r="V17" s="16" t="s">
        <v>44</v>
      </c>
      <c r="W17" s="55" t="s">
        <v>43</v>
      </c>
      <c r="Y17" s="16" t="s">
        <v>42</v>
      </c>
      <c r="AA17" s="16" t="s">
        <v>41</v>
      </c>
      <c r="AB17" s="16" t="s">
        <v>40</v>
      </c>
      <c r="AD17" s="54" t="s">
        <v>39</v>
      </c>
      <c r="AE17" s="16" t="s">
        <v>38</v>
      </c>
      <c r="AF17" s="16" t="s">
        <v>37</v>
      </c>
    </row>
    <row r="18" spans="1:32" s="39" customFormat="1" ht="30" customHeight="1">
      <c r="A18" s="189" t="s">
        <v>32</v>
      </c>
      <c r="B18" s="190"/>
      <c r="C18" s="190"/>
      <c r="D18" s="191" t="s">
        <v>36</v>
      </c>
      <c r="E18" s="191" t="s">
        <v>30</v>
      </c>
      <c r="F18" s="192">
        <f>V18</f>
        <v>0</v>
      </c>
      <c r="G18" s="191" t="s">
        <v>35</v>
      </c>
      <c r="H18" s="193" t="str">
        <f>AD18</f>
        <v>GOLF SHAFT-MY</v>
      </c>
      <c r="I18" s="190" t="s">
        <v>35</v>
      </c>
      <c r="J18" s="194" t="str">
        <f>VLOOKUP($I18,[4]Release!$A:$J,10,0)</f>
        <v>12K DIAMANA PUTTER P105S</v>
      </c>
      <c r="K18" s="43">
        <v>10</v>
      </c>
      <c r="L18" s="43">
        <v>0</v>
      </c>
      <c r="M18" s="42">
        <f>ROUND($N18*2.205,1)</f>
        <v>2.6</v>
      </c>
      <c r="N18" s="42">
        <f>ROUND(VLOOKUP($I18,[4]Master!$A:$C,3,0)*$K18/1000,1)</f>
        <v>1.2</v>
      </c>
      <c r="O18" s="42">
        <f>ROUND($P18*2.205,1)</f>
        <v>2.6</v>
      </c>
      <c r="P18" s="41">
        <f>ROUND(($N18+$L18*0.8),1)</f>
        <v>1.2</v>
      </c>
      <c r="R18" s="39" t="s">
        <v>33</v>
      </c>
      <c r="S18" s="47">
        <v>4.04</v>
      </c>
      <c r="T18" s="46">
        <v>5.63</v>
      </c>
      <c r="U18" s="45">
        <v>9.67</v>
      </c>
      <c r="V18" s="39">
        <v>0</v>
      </c>
      <c r="W18" s="39">
        <v>0</v>
      </c>
      <c r="AA18" s="39" t="s">
        <v>26</v>
      </c>
      <c r="AB18" s="39">
        <v>0</v>
      </c>
      <c r="AD18" s="44" t="s">
        <v>25</v>
      </c>
      <c r="AE18" s="39">
        <v>0</v>
      </c>
      <c r="AF18" s="39">
        <v>0</v>
      </c>
    </row>
    <row r="19" spans="1:32" s="39" customFormat="1" ht="30" customHeight="1">
      <c r="A19" s="189" t="s">
        <v>32</v>
      </c>
      <c r="B19" s="190"/>
      <c r="C19" s="190"/>
      <c r="D19" s="191" t="s">
        <v>31</v>
      </c>
      <c r="E19" s="191" t="s">
        <v>30</v>
      </c>
      <c r="F19" s="192">
        <f>V19</f>
        <v>0</v>
      </c>
      <c r="G19" s="191" t="s">
        <v>29</v>
      </c>
      <c r="H19" s="193" t="str">
        <f>AD19</f>
        <v>GOLF SHAFT-MY</v>
      </c>
      <c r="I19" s="190" t="s">
        <v>29</v>
      </c>
      <c r="J19" s="194" t="str">
        <f>VLOOKUP($I19,[4]Release!$A:$J,10,0)</f>
        <v>12K DIAMANA PUTTER P120S</v>
      </c>
      <c r="K19" s="43">
        <v>10</v>
      </c>
      <c r="L19" s="43">
        <f>ROUNDUP($K19/50,0)</f>
        <v>1</v>
      </c>
      <c r="M19" s="42">
        <f>ROUND($N19*2.205,1)</f>
        <v>3.1</v>
      </c>
      <c r="N19" s="42">
        <f>ROUND(VLOOKUP($I19,[4]Master!$A:$C,3,0)*$K19/1000,1)</f>
        <v>1.4</v>
      </c>
      <c r="O19" s="42">
        <f>ROUND($P19*2.205,1)</f>
        <v>5.0999999999999996</v>
      </c>
      <c r="P19" s="41">
        <f>ROUND($N19+$L19*0.9,1)</f>
        <v>2.2999999999999998</v>
      </c>
      <c r="R19" s="39" t="s">
        <v>27</v>
      </c>
      <c r="S19" s="47">
        <v>4.2</v>
      </c>
      <c r="T19" s="46">
        <v>6.3</v>
      </c>
      <c r="U19" s="45">
        <v>10.5</v>
      </c>
      <c r="V19" s="39">
        <v>0</v>
      </c>
      <c r="W19" s="39">
        <v>0</v>
      </c>
      <c r="AA19" s="39" t="s">
        <v>26</v>
      </c>
      <c r="AB19" s="39">
        <v>0</v>
      </c>
      <c r="AD19" s="44" t="s">
        <v>25</v>
      </c>
      <c r="AE19" s="39">
        <v>0</v>
      </c>
      <c r="AF19" s="39">
        <v>0</v>
      </c>
    </row>
    <row r="20" spans="1:32" s="39" customFormat="1" ht="16.8">
      <c r="A20" s="195"/>
      <c r="B20" s="196"/>
      <c r="C20" s="196"/>
      <c r="D20" s="196"/>
      <c r="E20" s="196"/>
      <c r="F20" s="197"/>
      <c r="G20" s="196"/>
      <c r="H20" s="198"/>
      <c r="I20" s="199"/>
      <c r="J20" s="196"/>
      <c r="K20" s="43"/>
      <c r="L20" s="43"/>
      <c r="M20" s="42"/>
      <c r="N20" s="42"/>
      <c r="O20" s="42"/>
      <c r="P20" s="41"/>
      <c r="S20" s="40"/>
      <c r="T20" s="40"/>
      <c r="U20" s="40"/>
      <c r="AD20" s="1"/>
    </row>
    <row r="21" spans="1:32" s="39" customFormat="1" ht="16.8">
      <c r="A21" s="195"/>
      <c r="B21" s="196"/>
      <c r="C21" s="196"/>
      <c r="D21" s="196"/>
      <c r="E21" s="196"/>
      <c r="F21" s="197"/>
      <c r="G21" s="196"/>
      <c r="H21" s="198"/>
      <c r="I21" s="199"/>
      <c r="J21" s="196"/>
      <c r="K21" s="43"/>
      <c r="L21" s="43"/>
      <c r="M21" s="42"/>
      <c r="N21" s="42"/>
      <c r="O21" s="42"/>
      <c r="P21" s="41"/>
      <c r="S21" s="40"/>
      <c r="T21" s="40"/>
      <c r="U21" s="40"/>
    </row>
    <row r="22" spans="1:32" s="39" customFormat="1" ht="16.8">
      <c r="A22" s="195"/>
      <c r="B22" s="196"/>
      <c r="C22" s="196"/>
      <c r="D22" s="196"/>
      <c r="E22" s="196"/>
      <c r="F22" s="197"/>
      <c r="G22" s="196"/>
      <c r="H22" s="198"/>
      <c r="I22" s="199"/>
      <c r="J22" s="196" t="s">
        <v>24</v>
      </c>
      <c r="K22" s="43"/>
      <c r="L22" s="43"/>
      <c r="M22" s="42"/>
      <c r="N22" s="42"/>
      <c r="O22" s="42"/>
      <c r="P22" s="41"/>
      <c r="S22" s="40"/>
      <c r="T22" s="40"/>
      <c r="U22" s="40"/>
    </row>
    <row r="23" spans="1:32" s="39" customFormat="1" ht="18.75" customHeight="1">
      <c r="A23" s="200"/>
      <c r="B23" s="201"/>
      <c r="C23" s="201"/>
      <c r="D23" s="196"/>
      <c r="E23" s="196"/>
      <c r="F23" s="197"/>
      <c r="G23" s="196"/>
      <c r="H23" s="198"/>
      <c r="I23" s="199"/>
      <c r="J23" s="196" t="s">
        <v>23</v>
      </c>
      <c r="K23" s="43"/>
      <c r="L23" s="43"/>
      <c r="M23" s="42"/>
      <c r="N23" s="42"/>
      <c r="O23" s="42"/>
      <c r="P23" s="41"/>
      <c r="S23" s="40"/>
      <c r="T23" s="40"/>
      <c r="U23" s="40"/>
    </row>
    <row r="24" spans="1:32" s="19" customFormat="1" ht="23.25" customHeight="1">
      <c r="A24" s="202"/>
      <c r="B24" s="203"/>
      <c r="C24" s="203"/>
      <c r="D24" s="204"/>
      <c r="E24" s="204"/>
      <c r="F24" s="205"/>
      <c r="G24" s="205"/>
      <c r="H24" s="205"/>
      <c r="I24" s="205"/>
      <c r="J24" s="38" t="s">
        <v>22</v>
      </c>
      <c r="K24" s="37">
        <f>SUM(K18:K23)</f>
        <v>20</v>
      </c>
      <c r="L24" s="37">
        <f>SUM(L18:L23)</f>
        <v>1</v>
      </c>
      <c r="M24" s="36">
        <f t="shared" ref="M24:P24" si="0">SUM(M18:M23)</f>
        <v>5.7</v>
      </c>
      <c r="N24" s="36">
        <f t="shared" si="0"/>
        <v>2.5999999999999996</v>
      </c>
      <c r="O24" s="36">
        <f>SUM(O18:O23)</f>
        <v>7.6999999999999993</v>
      </c>
      <c r="P24" s="35">
        <f t="shared" si="0"/>
        <v>3.5</v>
      </c>
    </row>
    <row r="25" spans="1:32" s="19" customFormat="1" ht="23.25" customHeight="1">
      <c r="A25" s="202"/>
      <c r="B25" s="206"/>
      <c r="C25" s="206"/>
      <c r="D25" s="207"/>
      <c r="E25" s="208"/>
      <c r="F25" s="209"/>
      <c r="G25" s="207"/>
      <c r="H25" s="207"/>
      <c r="I25" s="207"/>
      <c r="J25" s="34"/>
      <c r="K25" s="33"/>
      <c r="L25" s="33"/>
      <c r="M25" s="32"/>
      <c r="N25" s="32"/>
      <c r="O25" s="32"/>
      <c r="P25" s="31"/>
    </row>
    <row r="26" spans="1:32" s="19" customFormat="1" ht="23.25" customHeight="1">
      <c r="A26" s="202">
        <v>1</v>
      </c>
      <c r="B26" s="206" t="s">
        <v>21</v>
      </c>
      <c r="C26" s="206"/>
      <c r="D26" s="209" t="s">
        <v>20</v>
      </c>
      <c r="E26" s="210"/>
      <c r="F26" s="211">
        <f>ROUNDUP(LEFT(D26,FIND(" ",D26,1)-1)*MID(D26,FIND("x",D26,1)+2,3)*MID(D26,FIND("x",D26,FIND("x",D26,1)+1)+2,3)/(10^6)*A26,3)</f>
        <v>1.7999999999999999E-2</v>
      </c>
      <c r="G26" s="211"/>
      <c r="H26" s="211"/>
      <c r="I26" s="210" t="s">
        <v>19</v>
      </c>
      <c r="J26" s="30"/>
      <c r="K26" s="29"/>
      <c r="L26" s="29"/>
      <c r="M26" s="28"/>
      <c r="N26" s="27"/>
      <c r="O26" s="26"/>
      <c r="P26" s="25"/>
    </row>
    <row r="27" spans="1:32" s="19" customFormat="1" ht="23.25" customHeight="1">
      <c r="A27" s="202"/>
      <c r="B27" s="206"/>
      <c r="C27" s="206"/>
      <c r="D27" s="209"/>
      <c r="E27" s="210"/>
      <c r="F27" s="211"/>
      <c r="G27" s="211"/>
      <c r="H27" s="211"/>
      <c r="I27" s="210"/>
      <c r="J27" s="30"/>
      <c r="K27" s="29"/>
      <c r="L27" s="29"/>
      <c r="M27" s="28" t="s">
        <v>18</v>
      </c>
      <c r="N27" s="27"/>
      <c r="O27" s="26">
        <f>P27*2.205</f>
        <v>0</v>
      </c>
      <c r="P27" s="25">
        <f>IF(B24="WOODEN PALLET",19,IF(B24="PLASTIC PALLET_big",8,IF(B24="PLASTIC PALLET_small",8,0)))*$A$24</f>
        <v>0</v>
      </c>
    </row>
    <row r="28" spans="1:32" s="19" customFormat="1" ht="23.25" customHeight="1" thickBot="1">
      <c r="A28" s="212" t="s">
        <v>17</v>
      </c>
      <c r="B28" s="213"/>
      <c r="C28" s="213"/>
      <c r="D28" s="214">
        <f>SUM(F26:F27)</f>
        <v>1.7999999999999999E-2</v>
      </c>
      <c r="E28" s="215" t="s">
        <v>16</v>
      </c>
      <c r="F28" s="216"/>
      <c r="G28" s="216"/>
      <c r="H28" s="216"/>
      <c r="I28" s="216"/>
      <c r="J28" s="24"/>
      <c r="K28" s="23"/>
      <c r="L28" s="23"/>
      <c r="M28" s="22" t="s">
        <v>15</v>
      </c>
      <c r="N28" s="22"/>
      <c r="O28" s="21">
        <f>O27+O24</f>
        <v>7.6999999999999993</v>
      </c>
      <c r="P28" s="20">
        <f>P27+P24</f>
        <v>3.5</v>
      </c>
    </row>
    <row r="29" spans="1:32" s="16" customFormat="1" ht="24" customHeight="1">
      <c r="A29" s="18"/>
      <c r="G29" s="18"/>
      <c r="J29" s="17"/>
      <c r="K29" s="17"/>
      <c r="L29" s="17"/>
      <c r="M29" s="17"/>
      <c r="N29" s="17"/>
      <c r="O29" s="17"/>
      <c r="P29" s="17"/>
    </row>
    <row r="30" spans="1:32" s="12" customFormat="1" ht="45" customHeight="1">
      <c r="A30" s="8" t="s">
        <v>14</v>
      </c>
      <c r="B30" s="8"/>
      <c r="C30" s="6" t="s">
        <v>4</v>
      </c>
      <c r="D30" s="6" t="s">
        <v>4</v>
      </c>
      <c r="E30" s="6" t="s">
        <v>4</v>
      </c>
      <c r="F30" s="15"/>
      <c r="G30" s="8" t="s">
        <v>13</v>
      </c>
      <c r="H30" s="8"/>
      <c r="I30" s="4" t="s">
        <v>0</v>
      </c>
      <c r="J30" s="4"/>
      <c r="K30" s="4"/>
      <c r="L30" s="4"/>
      <c r="M30" s="4"/>
      <c r="N30" s="4"/>
      <c r="O30" s="4"/>
      <c r="P30" s="4"/>
      <c r="Q30" s="13"/>
      <c r="S30" s="12">
        <v>567000</v>
      </c>
    </row>
    <row r="31" spans="1:32" s="12" customFormat="1" ht="45" customHeight="1">
      <c r="A31" s="4"/>
      <c r="B31" s="14"/>
      <c r="C31" s="4"/>
      <c r="D31" s="4"/>
      <c r="E31" s="7"/>
      <c r="F31" s="15"/>
      <c r="G31" s="4"/>
      <c r="H31" s="14"/>
      <c r="I31" s="7"/>
      <c r="J31" s="4"/>
      <c r="K31" s="4"/>
      <c r="L31" s="4"/>
      <c r="M31" s="4"/>
      <c r="N31" s="4"/>
      <c r="O31" s="4"/>
      <c r="P31" s="4"/>
      <c r="Q31" s="13"/>
      <c r="S31" s="12">
        <v>283.5</v>
      </c>
    </row>
    <row r="32" spans="1:32" s="3" customFormat="1" ht="45" customHeight="1">
      <c r="A32" s="8" t="s">
        <v>12</v>
      </c>
      <c r="B32" s="8"/>
      <c r="C32" s="6" t="s">
        <v>4</v>
      </c>
      <c r="D32" s="6" t="s">
        <v>4</v>
      </c>
      <c r="E32" s="6" t="s">
        <v>4</v>
      </c>
      <c r="F32" s="4"/>
      <c r="G32" s="8" t="s">
        <v>11</v>
      </c>
      <c r="H32" s="8" t="s">
        <v>1</v>
      </c>
      <c r="I32" s="7" t="s">
        <v>0</v>
      </c>
      <c r="J32" s="4"/>
      <c r="K32" s="8" t="s">
        <v>10</v>
      </c>
      <c r="L32" s="8"/>
      <c r="M32" s="5" t="s">
        <v>6</v>
      </c>
      <c r="N32" s="5"/>
      <c r="O32" s="5"/>
      <c r="P32" s="5"/>
      <c r="Q32" s="11"/>
      <c r="R32" s="6"/>
    </row>
    <row r="33" spans="1:17" s="3" customFormat="1" ht="45" customHeight="1">
      <c r="A33" s="8" t="s">
        <v>9</v>
      </c>
      <c r="B33" s="8"/>
      <c r="C33" s="6" t="s">
        <v>4</v>
      </c>
      <c r="D33" s="6" t="s">
        <v>4</v>
      </c>
      <c r="E33" s="6" t="s">
        <v>4</v>
      </c>
      <c r="F33" s="4"/>
      <c r="G33" s="8" t="s">
        <v>8</v>
      </c>
      <c r="H33" s="8" t="s">
        <v>1</v>
      </c>
      <c r="I33" s="7" t="s">
        <v>0</v>
      </c>
      <c r="J33" s="4"/>
      <c r="K33" s="8" t="s">
        <v>7</v>
      </c>
      <c r="L33" s="8"/>
      <c r="M33" s="5" t="s">
        <v>6</v>
      </c>
      <c r="N33" s="5"/>
      <c r="O33" s="5"/>
      <c r="P33" s="5"/>
      <c r="Q33" s="10"/>
    </row>
    <row r="34" spans="1:17" s="3" customFormat="1" ht="45" customHeight="1">
      <c r="A34" s="8" t="s">
        <v>5</v>
      </c>
      <c r="B34" s="8"/>
      <c r="C34" s="6" t="s">
        <v>4</v>
      </c>
      <c r="D34" s="6" t="s">
        <v>4</v>
      </c>
      <c r="E34" s="6" t="s">
        <v>4</v>
      </c>
      <c r="F34" s="4"/>
      <c r="G34" s="8" t="s">
        <v>3</v>
      </c>
      <c r="H34" s="8" t="s">
        <v>1</v>
      </c>
      <c r="I34" s="7" t="s">
        <v>0</v>
      </c>
      <c r="J34" s="9"/>
      <c r="K34" s="8"/>
      <c r="L34" s="8"/>
      <c r="M34" s="5"/>
      <c r="N34" s="5"/>
      <c r="O34" s="5"/>
      <c r="P34" s="5"/>
    </row>
    <row r="35" spans="1:17" s="3" customFormat="1" ht="45" customHeight="1">
      <c r="A35" s="8"/>
      <c r="B35" s="8"/>
      <c r="C35" s="4"/>
      <c r="D35" s="6"/>
      <c r="E35" s="6"/>
      <c r="F35" s="4"/>
      <c r="G35" s="8" t="s">
        <v>2</v>
      </c>
      <c r="H35" s="8" t="s">
        <v>1</v>
      </c>
      <c r="I35" s="7" t="s">
        <v>0</v>
      </c>
      <c r="J35" s="4"/>
      <c r="K35" s="8"/>
      <c r="L35" s="8"/>
      <c r="M35" s="5"/>
      <c r="N35" s="5"/>
      <c r="O35" s="5"/>
      <c r="P35" s="5"/>
    </row>
    <row r="36" spans="1:17" s="3" customFormat="1" ht="45" customHeight="1">
      <c r="A36" s="8"/>
      <c r="B36" s="8"/>
      <c r="C36" s="4"/>
      <c r="D36" s="6"/>
      <c r="E36" s="6"/>
      <c r="F36" s="4"/>
      <c r="G36" s="8"/>
      <c r="H36" s="8"/>
      <c r="I36" s="7"/>
      <c r="J36" s="4"/>
      <c r="K36" s="4"/>
      <c r="L36" s="4"/>
      <c r="M36" s="4"/>
      <c r="N36" s="4"/>
      <c r="O36" s="4"/>
      <c r="P36" s="4"/>
    </row>
    <row r="37" spans="1:17" s="3" customFormat="1" ht="29.25" customHeight="1">
      <c r="A37" s="4"/>
      <c r="B37" s="4"/>
      <c r="C37" s="4"/>
      <c r="D37" s="4"/>
      <c r="E37" s="4"/>
      <c r="F37" s="4"/>
      <c r="G37" s="6"/>
      <c r="H37" s="5"/>
      <c r="I37" s="5"/>
      <c r="J37" s="4"/>
      <c r="K37" s="4"/>
      <c r="L37" s="4"/>
      <c r="M37" s="4"/>
      <c r="N37" s="4"/>
      <c r="O37" s="4"/>
      <c r="P37" s="4"/>
    </row>
  </sheetData>
  <dataConsolidate/>
  <mergeCells count="42">
    <mergeCell ref="G36:H36"/>
    <mergeCell ref="A34:B34"/>
    <mergeCell ref="G34:H34"/>
    <mergeCell ref="K34:L34"/>
    <mergeCell ref="M34:P34"/>
    <mergeCell ref="H37:I37"/>
    <mergeCell ref="A35:B35"/>
    <mergeCell ref="G35:H35"/>
    <mergeCell ref="K35:L35"/>
    <mergeCell ref="M35:P35"/>
    <mergeCell ref="A36:B36"/>
    <mergeCell ref="M24:M25"/>
    <mergeCell ref="N24:N25"/>
    <mergeCell ref="O24:O25"/>
    <mergeCell ref="A33:B33"/>
    <mergeCell ref="G33:H33"/>
    <mergeCell ref="K33:L33"/>
    <mergeCell ref="M33:P33"/>
    <mergeCell ref="P24:P25"/>
    <mergeCell ref="A30:B30"/>
    <mergeCell ref="G30:H30"/>
    <mergeCell ref="A32:B32"/>
    <mergeCell ref="G32:H32"/>
    <mergeCell ref="K32:L32"/>
    <mergeCell ref="M32:P32"/>
    <mergeCell ref="J24:J25"/>
    <mergeCell ref="K24:K25"/>
    <mergeCell ref="L24:L25"/>
    <mergeCell ref="A7:H7"/>
    <mergeCell ref="I7:P7"/>
    <mergeCell ref="A10:H10"/>
    <mergeCell ref="I10:P10"/>
    <mergeCell ref="A16:B16"/>
    <mergeCell ref="D16:D17"/>
    <mergeCell ref="E16:E17"/>
    <mergeCell ref="J16:J17"/>
    <mergeCell ref="E2:L2"/>
    <mergeCell ref="O2:P2"/>
    <mergeCell ref="E3:K3"/>
    <mergeCell ref="O3:P3"/>
    <mergeCell ref="A5:H5"/>
    <mergeCell ref="I5:P5"/>
  </mergeCells>
  <dataValidations count="6">
    <dataValidation type="list" allowBlank="1" showInputMessage="1" showErrorMessage="1" sqref="B26:C26" xr:uid="{C168031A-052D-470B-8D54-32C38983570E}">
      <formula1>"BOX,BUNDLE SIZE,PALLET SIZE"</formula1>
    </dataValidation>
    <dataValidation type="list" allowBlank="1" showInputMessage="1" showErrorMessage="1" sqref="B27:C27" xr:uid="{20D97297-14AB-425C-B3F2-D1DF4738A8BB}">
      <formula1>"BUNDLE SIZE,PALLET SIZE"</formula1>
    </dataValidation>
    <dataValidation type="list" allowBlank="1" showInputMessage="1" showErrorMessage="1" sqref="B25:C25" xr:uid="{FC9B4B76-AEBE-4BBD-97E4-F810724F11F2}">
      <formula1>"BOX,BUNDLE CONSISTS OF,PALLET CONSISTS OF"</formula1>
    </dataValidation>
    <dataValidation type="list" allowBlank="1" showInputMessage="1" showErrorMessage="1" sqref="B24:C24" xr:uid="{DD5B6482-F1C5-419D-B3A8-FF4E3CD06B48}">
      <formula1>"BOX,BUNDLE,WOODEN PALLET,PLASTIC PALLET_big,PLASTIC PALLET_small"</formula1>
    </dataValidation>
    <dataValidation type="list" allowBlank="1" showInputMessage="1" showErrorMessage="1" sqref="F25" xr:uid="{BAD4BDDE-32B4-4118-92A8-DBA55DE1F3F9}">
      <formula1>"BOXES,BOXES           _50,BOXES           _100"</formula1>
    </dataValidation>
    <dataValidation type="list" allowBlank="1" showInputMessage="1" showErrorMessage="1" sqref="F12" xr:uid="{03ECFDE0-5F36-4438-A77B-8C18D621B50D}">
      <formula1>"FEDEX "</formula1>
    </dataValidation>
  </dataValidations>
  <printOptions horizontalCentered="1"/>
  <pageMargins left="0" right="0" top="0" bottom="0.74803149606299202" header="0.31496062992126" footer="0.31496062992126"/>
  <pageSetup paperSize="9" scale="40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IV G-26-1234 </vt:lpstr>
      <vt:lpstr>G-26-1234</vt:lpstr>
      <vt:lpstr>'G-26-1234'!Print_Area</vt:lpstr>
      <vt:lpstr>'IV G-26-1234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dcterms:created xsi:type="dcterms:W3CDTF">2026-10-22T09:14:47Z</dcterms:created>
  <dcterms:modified xsi:type="dcterms:W3CDTF">2026-10-22T09:19:25Z</dcterms:modified>
</cp:coreProperties>
</file>