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hcgr-my.sharepoint.com/personal/0633227_mchcgr_com/Documents/PHƯƠNG 2025/2026 - XUẤT -  LÀM CHỨNG TỪ BEE/THÁNG 10/23 OCT/"/>
    </mc:Choice>
  </mc:AlternateContent>
  <xr:revisionPtr revIDLastSave="1" documentId="8_{8267850E-C2CA-4D86-A735-89334C3F5F59}" xr6:coauthVersionLast="47" xr6:coauthVersionMax="47" xr10:uidLastSave="{DCC5CC90-6626-4CFB-BC0B-821618612C8D}"/>
  <bookViews>
    <workbookView xWindow="-108" yWindow="-108" windowWidth="23256" windowHeight="12456" xr2:uid="{FB9940CC-777E-40EF-856F-592B5FB5E330}"/>
  </bookViews>
  <sheets>
    <sheet name="IV G-26-1098 " sheetId="2" r:id="rId1"/>
    <sheet name="G-26-1098" sheetId="1" r:id="rId2"/>
  </sheets>
  <externalReferences>
    <externalReference r:id="rId3"/>
    <externalReference r:id="rId4"/>
    <externalReference r:id="rId5"/>
    <externalReference r:id="rId6"/>
  </externalReferences>
  <definedNames>
    <definedName name="_08_43098809">'[1]Open sales order lines'!#REF!</definedName>
    <definedName name="_101475637_4500609387">'[1]PL list'!#REF!</definedName>
    <definedName name="_xlnm.Print_Area" localSheetId="1">'G-26-1098'!$A$1:$P$36</definedName>
    <definedName name="_xlnm.Print_Area" localSheetId="0">'IV G-26-1098 '!$A$1:$P$36</definedName>
    <definedName name="SU028_IR_3">'[1]Open SO'!#REF!</definedName>
    <definedName name="SU028_WS_1A">'[1]Open SO'!#REF!</definedName>
    <definedName name="TEMPS" localSheetId="0">#REF!</definedName>
    <definedName name="TEMPS">#REF!</definedName>
    <definedName name="V" localSheetId="0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P26" i="1" l="1"/>
  <c r="F25" i="1"/>
  <c r="D27" i="1" s="1"/>
  <c r="K23" i="1"/>
  <c r="N18" i="1"/>
  <c r="L18" i="1"/>
  <c r="L23" i="1" s="1"/>
  <c r="J18" i="1"/>
  <c r="H18" i="1"/>
  <c r="F18" i="1"/>
  <c r="N18" i="2"/>
  <c r="P18" i="2"/>
  <c r="K19" i="2"/>
  <c r="L19" i="2"/>
  <c r="N19" i="2"/>
  <c r="P19" i="2"/>
  <c r="J27" i="2"/>
  <c r="O26" i="1" l="1"/>
  <c r="N23" i="1"/>
  <c r="P18" i="1"/>
  <c r="M18" i="1"/>
  <c r="M23" i="1" s="1"/>
  <c r="P23" i="1" l="1"/>
  <c r="P27" i="1" s="1"/>
  <c r="O18" i="1"/>
  <c r="O23" i="1" s="1"/>
  <c r="O27" i="1" s="1"/>
</calcChain>
</file>

<file path=xl/sharedStrings.xml><?xml version="1.0" encoding="utf-8"?>
<sst xmlns="http://schemas.openxmlformats.org/spreadsheetml/2006/main" count="234" uniqueCount="110">
  <si>
    <t xml:space="preserve"> _  _  _  _  _  _  _  _  _</t>
  </si>
  <si>
    <t xml:space="preserve"> _  _  _  _  _  _  _  _  _  _  _  _  _  _  _  _  _  _  _  _  _  _  _  _  _  _  _  _  _  _  _  _  _  _  _</t>
  </si>
  <si>
    <t>DATE:_  _  _  __  _  _  __  _  _  _</t>
  </si>
  <si>
    <t>DRIVER NAME: _  _  _  __  _  _  _</t>
  </si>
  <si>
    <t xml:space="preserve"> _  _  _  __  _  _  _  </t>
  </si>
  <si>
    <t>DATE:_  _  _  __  _  _  __  _  _  __  _  _  __  _  _  __  _  _  __  _  _</t>
  </si>
  <si>
    <t xml:space="preserve"> _  _  _  _  _  _  _  _  _  _  _  _  _  _  _  _  _  _  _  _  _  _  _  _  _  _  _  _  _  _  _</t>
  </si>
  <si>
    <t>DATE: _  _  _  _  _  _  _  _  _  _  _  _  _  _</t>
  </si>
  <si>
    <t>TRUCK NUMBER:  _  _  _  _</t>
  </si>
  <si>
    <t>NAME &amp; SIGNATURE:_  _  _  __  _  _  __  _  _  __  _  _  __  _  _</t>
  </si>
  <si>
    <t xml:space="preserve">SECURITY GATE: </t>
  </si>
  <si>
    <t>RECEIPT:  _  _  _  __  _  _  _</t>
  </si>
  <si>
    <t>CHECK:_  _  _  __  _  _  __  _  _  __  _  __  _  _  __  _  _  __  _  _  __  _  _</t>
  </si>
  <si>
    <t>PRODUCT MISSING:_  _  _  _  _</t>
  </si>
  <si>
    <t xml:space="preserve">PRODUCT ENOUGH: _  _  _  __  _  _  _ _  _  _  __  _  _  _  _ _  _  _  __  _  </t>
  </si>
  <si>
    <t>TOTAL WEIGHT</t>
  </si>
  <si>
    <t>CBM</t>
  </si>
  <si>
    <t>TOTAL DIMENSION</t>
  </si>
  <si>
    <t>PALLET WEIGHT</t>
  </si>
  <si>
    <t xml:space="preserve">BOXES </t>
  </si>
  <si>
    <t>120 x 15 x 10 CM</t>
  </si>
  <si>
    <t>BOX</t>
  </si>
  <si>
    <t>------TOTAL------</t>
  </si>
  <si>
    <t>************</t>
  </si>
  <si>
    <t>GOLF SHAFTS</t>
  </si>
  <si>
    <t>4600600248</t>
  </si>
  <si>
    <t>2000885418</t>
  </si>
  <si>
    <t>GOLF SHAFT-AU</t>
  </si>
  <si>
    <t>81</t>
  </si>
  <si>
    <t>2694291</t>
  </si>
  <si>
    <t>08-80065629</t>
  </si>
  <si>
    <t>2694291/SHAFT DRIVER/FAIRWAY TENSEI 1K RED RIP 55 R 46.0</t>
  </si>
  <si>
    <t>AU240-WR-1A</t>
  </si>
  <si>
    <t>08-021656</t>
  </si>
  <si>
    <t>3</t>
  </si>
  <si>
    <t>1707228</t>
  </si>
  <si>
    <t>SAP PO#</t>
  </si>
  <si>
    <t>SAP SO#</t>
  </si>
  <si>
    <t>Customs code 21A,20</t>
  </si>
  <si>
    <t xml:space="preserve">Terms of sale: </t>
  </si>
  <si>
    <t>Customer</t>
  </si>
  <si>
    <t>Customer Invoice</t>
  </si>
  <si>
    <t>MCAG PO#</t>
  </si>
  <si>
    <t>CUS PART</t>
  </si>
  <si>
    <t>Custom price/pce</t>
  </si>
  <si>
    <t>Prepreg</t>
  </si>
  <si>
    <t>Price/Pcs</t>
  </si>
  <si>
    <t>KGS</t>
  </si>
  <si>
    <t>LBS</t>
  </si>
  <si>
    <t>BOXES</t>
  </si>
  <si>
    <t>PCS</t>
  </si>
  <si>
    <t>Aldila part</t>
  </si>
  <si>
    <t>MCC part</t>
  </si>
  <si>
    <t>Customer part</t>
  </si>
  <si>
    <t xml:space="preserve">GROSS WEIGHT </t>
  </si>
  <si>
    <t>NET WEIGHT</t>
  </si>
  <si>
    <t>QUANTITY</t>
  </si>
  <si>
    <t>Descriptions of goods</t>
  </si>
  <si>
    <t>Part No.</t>
  </si>
  <si>
    <t>SO No.</t>
  </si>
  <si>
    <t>Line #</t>
  </si>
  <si>
    <t>PO No.</t>
  </si>
  <si>
    <t>HTSUS code:</t>
  </si>
  <si>
    <t>TCS</t>
  </si>
  <si>
    <t>Container Stuffing Location:</t>
  </si>
  <si>
    <t>Vietnam</t>
  </si>
  <si>
    <t>Country of Origin:</t>
  </si>
  <si>
    <t>AIR</t>
  </si>
  <si>
    <t>Ship via:</t>
  </si>
  <si>
    <t>USD</t>
  </si>
  <si>
    <t>Currency:</t>
  </si>
  <si>
    <t>-</t>
  </si>
  <si>
    <t>NIPPON</t>
  </si>
  <si>
    <t>Forwarder/Consolidator:</t>
  </si>
  <si>
    <t>FCA-&gt;FOB</t>
  </si>
  <si>
    <t>FOB Ho Chi Minh City</t>
  </si>
  <si>
    <t>VDD-AIR AU</t>
  </si>
  <si>
    <t>Mode of Delivery:</t>
  </si>
  <si>
    <t>Beneficiary Account:  F15-796-524700
Bank name               : Mizuho Bank, Ltd.. Ho Chi Minh City Branch.
Bank address          : 18th Floor, Sun Wah Tower, 115 Nguyen Hue Street, Sai Gon Ward, Ho Chi Minh City, Vietnam
SWIFT code              : MHCBVNVXHCM</t>
  </si>
  <si>
    <t>C/O NIPPON EXPRESS CO.,LTD.YOKOHAMA BRANCH
E Building, 2-14-1, Simonoge, Takatsu-ku,Kawasaki-City, Kanagawa
213-0006, Japan
Attn: Mr. Daisuke Sasaki
Phone : +81 44-833-4837</t>
  </si>
  <si>
    <t>Beneficiary name  : ALDILA COMPOSITE PRODUCTS COMPANY LTD.</t>
  </si>
  <si>
    <t>Acushnet Japan Inc.</t>
  </si>
  <si>
    <t>Marks &amp; Number</t>
  </si>
  <si>
    <t xml:space="preserve">Ship to Name &amp; Address </t>
  </si>
  <si>
    <t>ACUSHNET JAPAN  INC.
HANEDA INNOVATION CITY, Zone B, 6th Floor, 1-1-4 Haneda Airport, Ota-ku,
Tokyo 144-0041, Japan</t>
  </si>
  <si>
    <t>ALDILA COMPOSITE PRODUCTS CO., LTD.
No. 30 VSIP, Street 8, Vietnam Singapore Industrial Park
An Phu Ward, Ho Chi Minh City, Vietnam
Tel: +84-274-376-7797
Fax: +84-274-376-7796</t>
  </si>
  <si>
    <t>Importer</t>
  </si>
  <si>
    <t>Seller Name &amp; Address</t>
  </si>
  <si>
    <t>MITSUBISHI CHEMICAL CORPORATION
1-1, Marunouchi 1-chome, Chiyoda- ku, Tokyo 100-8251, Japan 
TEL: 03-6748-7515</t>
  </si>
  <si>
    <t xml:space="preserve">Buyer Name &amp; Address   </t>
  </si>
  <si>
    <t xml:space="preserve">Manufacturer Name &amp; Address  </t>
  </si>
  <si>
    <t>ETA</t>
  </si>
  <si>
    <t>ETD</t>
  </si>
  <si>
    <t>G-26-1098</t>
  </si>
  <si>
    <t>Ship Date</t>
  </si>
  <si>
    <t xml:space="preserve"> PACKING LIST  NO.</t>
  </si>
  <si>
    <t>DATE</t>
  </si>
  <si>
    <t>FINANCE MANAGER</t>
  </si>
  <si>
    <t>NGUYEN THI THUY TRANG</t>
  </si>
  <si>
    <t>I declare that the information in this invoice is true and correct.</t>
  </si>
  <si>
    <t>they are consigned to manufacturer by parent company.</t>
  </si>
  <si>
    <t xml:space="preserve">(2) FOB Price includes raw materials that are provided to manufacturer to be consumed in manufacturing process and manufacturer does not take title to such raw materials as </t>
  </si>
  <si>
    <t>(1) Processing Fee is the value of the goods manufactured based upon the contract with manufacturer and should be used as the Declared Value.</t>
  </si>
  <si>
    <t xml:space="preserve">*** Noted: </t>
  </si>
  <si>
    <t>TOTAL</t>
  </si>
  <si>
    <t>Extension</t>
  </si>
  <si>
    <t>Unit</t>
  </si>
  <si>
    <t>(2) Custom amount (US$)</t>
  </si>
  <si>
    <t>(1) Processing Fee (US$)</t>
  </si>
  <si>
    <t>INVOICE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</si>
</sst>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_ "/>
    <numFmt numFmtId="168" formatCode="[$-409]d\-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sz val="13"/>
      <name val="Arial"/>
      <family val="2"/>
    </font>
    <font>
      <b/>
      <sz val="13"/>
      <color rgb="FF0000FF"/>
      <name val="Arial"/>
      <family val="2"/>
    </font>
    <font>
      <b/>
      <sz val="13"/>
      <name val="Arial"/>
      <family val="2"/>
    </font>
    <font>
      <sz val="13"/>
      <color rgb="FF0000FF"/>
      <name val="Arial"/>
      <family val="2"/>
    </font>
    <font>
      <sz val="13"/>
      <color rgb="FFFF0000"/>
      <name val="Arial"/>
      <family val="2"/>
    </font>
    <font>
      <b/>
      <sz val="13"/>
      <color rgb="FF6600CC"/>
      <name val="Arial"/>
      <family val="2"/>
    </font>
    <font>
      <sz val="13"/>
      <color rgb="FF0000CC"/>
      <name val="Arial"/>
      <family val="2"/>
    </font>
    <font>
      <b/>
      <sz val="13"/>
      <color rgb="FF0000CC"/>
      <name val="Arial"/>
      <family val="2"/>
    </font>
    <font>
      <b/>
      <sz val="13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b/>
      <sz val="10"/>
      <name val="Arial"/>
      <family val="2"/>
    </font>
    <font>
      <b/>
      <sz val="10"/>
      <color rgb="FF0000CC"/>
      <name val="Arial"/>
      <family val="2"/>
    </font>
    <font>
      <sz val="14"/>
      <color rgb="FF0000CC"/>
      <name val="Arial"/>
      <family val="2"/>
    </font>
    <font>
      <b/>
      <sz val="12"/>
      <color rgb="FFFF0000"/>
      <name val="Arial"/>
      <family val="2"/>
    </font>
    <font>
      <b/>
      <sz val="46"/>
      <name val="Arial"/>
      <family val="2"/>
    </font>
    <font>
      <b/>
      <sz val="12"/>
      <color rgb="FF0000FF"/>
      <name val="Arial"/>
      <family val="2"/>
    </font>
    <font>
      <b/>
      <sz val="17"/>
      <name val="Arial"/>
      <family val="2"/>
    </font>
    <font>
      <sz val="13"/>
      <color theme="1"/>
      <name val="Arial"/>
      <family val="2"/>
    </font>
    <font>
      <sz val="12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  <xf numFmtId="164" fontId="2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168" fontId="1" fillId="0" borderId="0"/>
    <xf numFmtId="168" fontId="1" fillId="0" borderId="0"/>
    <xf numFmtId="168" fontId="32" fillId="0" borderId="0"/>
    <xf numFmtId="168" fontId="1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</cellStyleXfs>
  <cellXfs count="215">
    <xf numFmtId="0" fontId="0" fillId="0" borderId="0" xfId="0"/>
    <xf numFmtId="0" fontId="2" fillId="0" borderId="0" xfId="2" applyAlignment="1">
      <alignment horizontal="left" vertical="top" wrapText="1"/>
    </xf>
    <xf numFmtId="0" fontId="2" fillId="0" borderId="0" xfId="2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2" quotePrefix="1" applyFont="1" applyAlignment="1">
      <alignment horizontal="left"/>
    </xf>
    <xf numFmtId="0" fontId="4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165" fontId="9" fillId="0" borderId="1" xfId="4" applyNumberFormat="1" applyFont="1" applyFill="1" applyBorder="1" applyAlignment="1">
      <alignment vertical="center"/>
    </xf>
    <xf numFmtId="165" fontId="9" fillId="0" borderId="2" xfId="4" applyNumberFormat="1" applyFont="1" applyFill="1" applyBorder="1" applyAlignment="1">
      <alignment vertical="center"/>
    </xf>
    <xf numFmtId="165" fontId="10" fillId="0" borderId="2" xfId="4" applyNumberFormat="1" applyFont="1" applyFill="1" applyBorder="1" applyAlignment="1">
      <alignment horizontal="left" vertical="center"/>
    </xf>
    <xf numFmtId="166" fontId="9" fillId="0" borderId="2" xfId="4" applyNumberFormat="1" applyFont="1" applyFill="1" applyBorder="1" applyAlignment="1">
      <alignment vertical="center"/>
    </xf>
    <xf numFmtId="0" fontId="10" fillId="0" borderId="2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vertical="center"/>
    </xf>
    <xf numFmtId="165" fontId="10" fillId="0" borderId="6" xfId="4" applyNumberFormat="1" applyFont="1" applyFill="1" applyBorder="1" applyAlignment="1">
      <alignment vertical="center"/>
    </xf>
    <xf numFmtId="165" fontId="10" fillId="0" borderId="7" xfId="4" applyNumberFormat="1" applyFont="1" applyFill="1" applyBorder="1" applyAlignment="1">
      <alignment vertical="center"/>
    </xf>
    <xf numFmtId="165" fontId="10" fillId="0" borderId="8" xfId="4" applyNumberFormat="1" applyFont="1" applyFill="1" applyBorder="1" applyAlignment="1">
      <alignment vertical="center"/>
    </xf>
    <xf numFmtId="166" fontId="9" fillId="0" borderId="6" xfId="4" applyNumberFormat="1" applyFont="1" applyFill="1" applyBorder="1" applyAlignment="1">
      <alignment vertical="center"/>
    </xf>
    <xf numFmtId="0" fontId="10" fillId="0" borderId="6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horizontal="center" vertical="center"/>
    </xf>
    <xf numFmtId="165" fontId="10" fillId="0" borderId="6" xfId="4" applyNumberFormat="1" applyFont="1" applyFill="1" applyBorder="1" applyAlignment="1">
      <alignment horizontal="center" vertical="center"/>
    </xf>
    <xf numFmtId="166" fontId="10" fillId="0" borderId="6" xfId="4" applyNumberFormat="1" applyFont="1" applyFill="1" applyBorder="1" applyAlignment="1">
      <alignment horizontal="center" vertical="center"/>
    </xf>
    <xf numFmtId="0" fontId="10" fillId="0" borderId="6" xfId="3" quotePrefix="1" applyFont="1" applyBorder="1" applyAlignment="1">
      <alignment horizontal="center" vertical="center"/>
    </xf>
    <xf numFmtId="165" fontId="10" fillId="0" borderId="10" xfId="4" applyNumberFormat="1" applyFont="1" applyFill="1" applyBorder="1" applyAlignment="1">
      <alignment horizontal="center" vertical="center"/>
    </xf>
    <xf numFmtId="165" fontId="10" fillId="0" borderId="11" xfId="4" applyNumberFormat="1" applyFont="1" applyFill="1" applyBorder="1" applyAlignment="1">
      <alignment horizontal="center" vertical="center"/>
    </xf>
    <xf numFmtId="166" fontId="10" fillId="0" borderId="11" xfId="4" applyNumberFormat="1" applyFont="1" applyFill="1" applyBorder="1" applyAlignment="1">
      <alignment horizontal="center" vertical="center"/>
    </xf>
    <xf numFmtId="0" fontId="10" fillId="0" borderId="11" xfId="3" quotePrefix="1" applyFont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65" fontId="8" fillId="0" borderId="5" xfId="4" applyNumberFormat="1" applyFont="1" applyBorder="1" applyAlignment="1">
      <alignment horizontal="center" vertical="center" wrapText="1"/>
    </xf>
    <xf numFmtId="165" fontId="8" fillId="0" borderId="6" xfId="4" applyNumberFormat="1" applyFont="1" applyBorder="1" applyAlignment="1">
      <alignment horizontal="center" vertical="center" wrapText="1"/>
    </xf>
    <xf numFmtId="166" fontId="8" fillId="0" borderId="6" xfId="4" applyNumberFormat="1" applyFont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2" fontId="13" fillId="0" borderId="0" xfId="3" applyNumberFormat="1" applyFont="1" applyAlignment="1">
      <alignment horizontal="center" vertical="center"/>
    </xf>
    <xf numFmtId="2" fontId="14" fillId="0" borderId="0" xfId="2" applyNumberFormat="1" applyFont="1" applyAlignment="1">
      <alignment horizontal="center" vertical="center" wrapText="1"/>
    </xf>
    <xf numFmtId="2" fontId="12" fillId="0" borderId="0" xfId="2" applyNumberFormat="1" applyFont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49" fontId="8" fillId="0" borderId="8" xfId="2" applyNumberFormat="1" applyFont="1" applyBorder="1" applyAlignment="1">
      <alignment vertical="center" wrapText="1"/>
    </xf>
    <xf numFmtId="0" fontId="8" fillId="0" borderId="0" xfId="2" applyFont="1" applyAlignment="1">
      <alignment vertical="center" wrapText="1"/>
    </xf>
    <xf numFmtId="49" fontId="8" fillId="0" borderId="6" xfId="2" applyNumberFormat="1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49" fontId="8" fillId="0" borderId="15" xfId="2" applyNumberFormat="1" applyFont="1" applyBorder="1" applyAlignment="1">
      <alignment vertical="center" wrapText="1"/>
    </xf>
    <xf numFmtId="0" fontId="8" fillId="3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7" fontId="8" fillId="4" borderId="16" xfId="3" applyNumberFormat="1" applyFont="1" applyFill="1" applyBorder="1" applyAlignment="1">
      <alignment horizontal="center" vertical="center"/>
    </xf>
    <xf numFmtId="167" fontId="8" fillId="4" borderId="17" xfId="3" applyNumberFormat="1" applyFont="1" applyFill="1" applyBorder="1" applyAlignment="1">
      <alignment horizontal="center" vertical="center"/>
    </xf>
    <xf numFmtId="167" fontId="8" fillId="4" borderId="18" xfId="3" applyNumberFormat="1" applyFont="1" applyFill="1" applyBorder="1" applyAlignment="1">
      <alignment horizontal="center" vertical="center"/>
    </xf>
    <xf numFmtId="0" fontId="8" fillId="5" borderId="13" xfId="3" applyFont="1" applyFill="1" applyBorder="1" applyAlignment="1">
      <alignment horizontal="center" vertical="center"/>
    </xf>
    <xf numFmtId="0" fontId="8" fillId="6" borderId="19" xfId="2" applyFont="1" applyFill="1" applyBorder="1" applyAlignment="1">
      <alignment horizontal="centerContinuous" vertical="center"/>
    </xf>
    <xf numFmtId="0" fontId="8" fillId="6" borderId="17" xfId="2" applyFont="1" applyFill="1" applyBorder="1" applyAlignment="1">
      <alignment horizontal="center" vertical="center"/>
    </xf>
    <xf numFmtId="0" fontId="8" fillId="6" borderId="18" xfId="2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0" fontId="8" fillId="7" borderId="20" xfId="2" applyFont="1" applyFill="1" applyBorder="1" applyAlignment="1">
      <alignment horizontal="center" vertical="center"/>
    </xf>
    <xf numFmtId="0" fontId="8" fillId="7" borderId="21" xfId="3" applyFont="1" applyFill="1" applyBorder="1" applyAlignment="1">
      <alignment horizontal="left" vertical="center"/>
    </xf>
    <xf numFmtId="167" fontId="8" fillId="4" borderId="22" xfId="3" applyNumberFormat="1" applyFont="1" applyFill="1" applyBorder="1" applyAlignment="1">
      <alignment horizontal="centerContinuous" vertical="center"/>
    </xf>
    <xf numFmtId="167" fontId="8" fillId="4" borderId="23" xfId="3" applyNumberFormat="1" applyFont="1" applyFill="1" applyBorder="1" applyAlignment="1">
      <alignment horizontal="centerContinuous" vertical="center"/>
    </xf>
    <xf numFmtId="167" fontId="8" fillId="4" borderId="24" xfId="3" applyNumberFormat="1" applyFont="1" applyFill="1" applyBorder="1" applyAlignment="1">
      <alignment horizontal="centerContinuous" vertical="center"/>
    </xf>
    <xf numFmtId="167" fontId="8" fillId="4" borderId="25" xfId="3" applyNumberFormat="1" applyFont="1" applyFill="1" applyBorder="1" applyAlignment="1">
      <alignment horizontal="centerContinuous" vertical="center"/>
    </xf>
    <xf numFmtId="0" fontId="8" fillId="5" borderId="26" xfId="3" applyFont="1" applyFill="1" applyBorder="1" applyAlignment="1">
      <alignment horizontal="center" vertical="center"/>
    </xf>
    <xf numFmtId="0" fontId="8" fillId="6" borderId="27" xfId="3" applyFont="1" applyFill="1" applyBorder="1" applyAlignment="1">
      <alignment horizontal="centerContinuous" vertical="center"/>
    </xf>
    <xf numFmtId="0" fontId="8" fillId="6" borderId="28" xfId="3" applyFont="1" applyFill="1" applyBorder="1" applyAlignment="1">
      <alignment horizontal="centerContinuous" vertical="center"/>
    </xf>
    <xf numFmtId="0" fontId="8" fillId="7" borderId="26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9" xfId="3" applyFont="1" applyFill="1" applyBorder="1" applyAlignment="1">
      <alignment horizontal="center" vertical="center"/>
    </xf>
    <xf numFmtId="0" fontId="2" fillId="0" borderId="30" xfId="2" applyBorder="1" applyAlignment="1">
      <alignment horizontal="left" vertical="top" wrapText="1"/>
    </xf>
    <xf numFmtId="0" fontId="2" fillId="0" borderId="31" xfId="2" applyBorder="1" applyAlignment="1">
      <alignment horizontal="left" vertical="top" wrapText="1"/>
    </xf>
    <xf numFmtId="0" fontId="17" fillId="0" borderId="31" xfId="2" applyFont="1" applyBorder="1" applyAlignment="1">
      <alignment vertical="center" wrapText="1"/>
    </xf>
    <xf numFmtId="0" fontId="17" fillId="0" borderId="32" xfId="2" applyFont="1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6" fillId="0" borderId="33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2" fillId="0" borderId="0" xfId="2" applyAlignment="1">
      <alignment horizontal="left" vertical="top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/>
    </xf>
    <xf numFmtId="0" fontId="19" fillId="0" borderId="3" xfId="2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6" fillId="0" borderId="22" xfId="2" applyFont="1" applyBorder="1" applyAlignment="1">
      <alignment horizontal="left" vertical="center"/>
    </xf>
    <xf numFmtId="0" fontId="6" fillId="0" borderId="25" xfId="2" applyFont="1" applyBorder="1" applyAlignment="1">
      <alignment horizontal="left" vertical="center"/>
    </xf>
    <xf numFmtId="0" fontId="5" fillId="0" borderId="25" xfId="2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18" fillId="0" borderId="25" xfId="2" applyFont="1" applyBorder="1" applyAlignment="1">
      <alignment horizontal="left" vertical="center"/>
    </xf>
    <xf numFmtId="0" fontId="18" fillId="0" borderId="29" xfId="2" applyFont="1" applyBorder="1" applyAlignment="1">
      <alignment horizontal="left" vertical="center"/>
    </xf>
    <xf numFmtId="0" fontId="19" fillId="0" borderId="25" xfId="2" applyFont="1" applyBorder="1" applyAlignment="1">
      <alignment horizontal="center" vertical="center"/>
    </xf>
    <xf numFmtId="0" fontId="21" fillId="0" borderId="25" xfId="2" applyFont="1" applyBorder="1" applyAlignment="1">
      <alignment horizontal="left" vertical="center"/>
    </xf>
    <xf numFmtId="0" fontId="8" fillId="0" borderId="35" xfId="5" applyFont="1" applyBorder="1" applyAlignment="1">
      <alignment horizontal="left" vertical="top" wrapText="1"/>
    </xf>
    <xf numFmtId="0" fontId="8" fillId="0" borderId="35" xfId="2" applyFont="1" applyBorder="1" applyAlignment="1">
      <alignment horizontal="left" vertical="top" wrapText="1"/>
    </xf>
    <xf numFmtId="14" fontId="2" fillId="0" borderId="34" xfId="5" applyNumberFormat="1" applyBorder="1" applyAlignment="1">
      <alignment horizontal="center" vertical="center" wrapText="1"/>
    </xf>
    <xf numFmtId="14" fontId="2" fillId="0" borderId="0" xfId="5" applyNumberFormat="1" applyAlignment="1">
      <alignment horizontal="center" vertical="center" wrapText="1"/>
    </xf>
    <xf numFmtId="15" fontId="2" fillId="0" borderId="0" xfId="5" applyNumberFormat="1" applyAlignment="1">
      <alignment horizontal="center" vertical="center" wrapText="1"/>
    </xf>
    <xf numFmtId="0" fontId="2" fillId="0" borderId="0" xfId="5" applyAlignment="1">
      <alignment horizontal="center" vertical="center" wrapText="1"/>
    </xf>
    <xf numFmtId="0" fontId="2" fillId="0" borderId="0" xfId="5" applyAlignment="1">
      <alignment horizontal="left" vertical="top" wrapText="1"/>
    </xf>
    <xf numFmtId="0" fontId="22" fillId="0" borderId="0" xfId="5" applyFont="1" applyAlignment="1">
      <alignment horizontal="left" vertical="center"/>
    </xf>
    <xf numFmtId="0" fontId="23" fillId="0" borderId="9" xfId="5" applyFont="1" applyBorder="1" applyAlignment="1">
      <alignment horizontal="left" vertical="top"/>
    </xf>
    <xf numFmtId="0" fontId="19" fillId="0" borderId="0" xfId="2" applyFont="1" applyAlignment="1">
      <alignment horizontal="center" vertical="top" wrapText="1"/>
    </xf>
    <xf numFmtId="0" fontId="18" fillId="0" borderId="0" xfId="2" applyFont="1" applyAlignment="1">
      <alignment horizontal="left" vertical="top" wrapText="1"/>
    </xf>
    <xf numFmtId="0" fontId="11" fillId="0" borderId="9" xfId="2" applyFont="1" applyBorder="1" applyAlignment="1">
      <alignment horizontal="left"/>
    </xf>
    <xf numFmtId="14" fontId="24" fillId="7" borderId="22" xfId="2" applyNumberFormat="1" applyFont="1" applyFill="1" applyBorder="1" applyAlignment="1">
      <alignment horizontal="center" vertical="center" wrapText="1"/>
    </xf>
    <xf numFmtId="14" fontId="24" fillId="7" borderId="25" xfId="2" applyNumberFormat="1" applyFont="1" applyFill="1" applyBorder="1" applyAlignment="1">
      <alignment horizontal="center" vertical="center" wrapText="1"/>
    </xf>
    <xf numFmtId="15" fontId="24" fillId="7" borderId="25" xfId="2" applyNumberFormat="1" applyFont="1" applyFill="1" applyBorder="1" applyAlignment="1">
      <alignment horizontal="center" vertical="center" wrapText="1"/>
    </xf>
    <xf numFmtId="0" fontId="24" fillId="7" borderId="25" xfId="2" applyFont="1" applyFill="1" applyBorder="1" applyAlignment="1">
      <alignment horizontal="center" vertical="center" wrapText="1"/>
    </xf>
    <xf numFmtId="0" fontId="2" fillId="7" borderId="0" xfId="2" applyFill="1" applyAlignment="1">
      <alignment horizontal="left" vertical="top" wrapText="1"/>
    </xf>
    <xf numFmtId="0" fontId="18" fillId="7" borderId="0" xfId="2" applyFont="1" applyFill="1" applyAlignment="1">
      <alignment horizontal="left" vertical="center"/>
    </xf>
    <xf numFmtId="0" fontId="18" fillId="7" borderId="29" xfId="2" applyFont="1" applyFill="1" applyBorder="1" applyAlignment="1">
      <alignment horizontal="left" vertical="top"/>
    </xf>
    <xf numFmtId="0" fontId="19" fillId="7" borderId="25" xfId="2" applyFont="1" applyFill="1" applyBorder="1" applyAlignment="1">
      <alignment horizontal="center" vertical="top" wrapText="1"/>
    </xf>
    <xf numFmtId="0" fontId="18" fillId="7" borderId="25" xfId="2" applyFont="1" applyFill="1" applyBorder="1" applyAlignment="1">
      <alignment horizontal="left" vertical="top" wrapText="1"/>
    </xf>
    <xf numFmtId="0" fontId="25" fillId="0" borderId="0" xfId="2" applyFont="1" applyAlignment="1">
      <alignment horizontal="left" vertical="top" wrapText="1"/>
    </xf>
    <xf numFmtId="0" fontId="18" fillId="7" borderId="0" xfId="2" applyFont="1" applyFill="1" applyAlignment="1">
      <alignment horizontal="left" vertical="top"/>
    </xf>
    <xf numFmtId="0" fontId="26" fillId="7" borderId="25" xfId="2" applyFont="1" applyFill="1" applyBorder="1" applyAlignment="1">
      <alignment horizontal="left" vertical="top" wrapText="1"/>
    </xf>
    <xf numFmtId="0" fontId="25" fillId="7" borderId="0" xfId="2" applyFont="1" applyFill="1" applyAlignment="1">
      <alignment horizontal="left" vertical="top" wrapText="1"/>
    </xf>
    <xf numFmtId="168" fontId="27" fillId="0" borderId="30" xfId="2" applyNumberFormat="1" applyFont="1" applyBorder="1" applyAlignment="1">
      <alignment horizontal="center" vertical="center" wrapText="1"/>
    </xf>
    <xf numFmtId="168" fontId="27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 wrapText="1"/>
    </xf>
    <xf numFmtId="168" fontId="27" fillId="0" borderId="31" xfId="2" applyNumberFormat="1" applyFont="1" applyBorder="1" applyAlignment="1">
      <alignment vertical="center" wrapText="1"/>
    </xf>
    <xf numFmtId="0" fontId="28" fillId="0" borderId="31" xfId="2" applyFont="1" applyBorder="1" applyAlignment="1">
      <alignment horizontal="center" vertical="center" wrapText="1"/>
    </xf>
    <xf numFmtId="0" fontId="18" fillId="0" borderId="31" xfId="2" applyFont="1" applyBorder="1" applyAlignment="1">
      <alignment vertical="center" wrapText="1"/>
    </xf>
    <xf numFmtId="0" fontId="2" fillId="0" borderId="30" xfId="2" applyBorder="1" applyAlignment="1"/>
    <xf numFmtId="168" fontId="29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/>
    </xf>
    <xf numFmtId="0" fontId="30" fillId="0" borderId="31" xfId="2" applyFont="1" applyBorder="1" applyAlignment="1">
      <alignment horizontal="center" vertical="center" wrapText="1"/>
    </xf>
    <xf numFmtId="0" fontId="24" fillId="0" borderId="31" xfId="2" applyFont="1" applyBorder="1" applyAlignment="1">
      <alignment vertical="center" wrapText="1"/>
    </xf>
    <xf numFmtId="0" fontId="18" fillId="0" borderId="32" xfId="2" applyFont="1" applyBorder="1" applyAlignment="1">
      <alignment vertical="center" wrapText="1"/>
    </xf>
    <xf numFmtId="0" fontId="3" fillId="0" borderId="0" xfId="6" applyFont="1" applyAlignment="1">
      <alignment horizontal="left" vertical="center"/>
    </xf>
    <xf numFmtId="168" fontId="1" fillId="0" borderId="0" xfId="7"/>
    <xf numFmtId="168" fontId="31" fillId="0" borderId="0" xfId="8" applyFont="1" applyAlignment="1">
      <alignment horizontal="left" vertical="top" wrapText="1"/>
    </xf>
    <xf numFmtId="168" fontId="10" fillId="0" borderId="12" xfId="9" applyFont="1" applyBorder="1" applyAlignment="1">
      <alignment horizontal="center" vertical="center"/>
    </xf>
    <xf numFmtId="168" fontId="31" fillId="0" borderId="12" xfId="8" applyFont="1" applyBorder="1" applyAlignment="1">
      <alignment horizontal="center" vertical="center" wrapText="1"/>
    </xf>
    <xf numFmtId="168" fontId="10" fillId="0" borderId="12" xfId="9" applyFont="1" applyBorder="1" applyAlignment="1">
      <alignment vertical="center"/>
    </xf>
    <xf numFmtId="168" fontId="31" fillId="0" borderId="12" xfId="8" applyFont="1" applyBorder="1" applyAlignment="1">
      <alignment horizontal="left" vertical="top" wrapText="1"/>
    </xf>
    <xf numFmtId="168" fontId="8" fillId="0" borderId="36" xfId="9" applyFont="1" applyBorder="1" applyAlignment="1">
      <alignment horizontal="center" vertical="center"/>
    </xf>
    <xf numFmtId="168" fontId="31" fillId="0" borderId="0" xfId="8" applyFont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168" fontId="8" fillId="0" borderId="0" xfId="9" applyFont="1" applyAlignment="1">
      <alignment vertical="center"/>
    </xf>
    <xf numFmtId="168" fontId="10" fillId="0" borderId="0" xfId="10" quotePrefix="1" applyFont="1" applyAlignment="1">
      <alignment vertical="center"/>
    </xf>
    <xf numFmtId="168" fontId="1" fillId="0" borderId="0" xfId="7" applyAlignment="1">
      <alignment horizontal="right"/>
    </xf>
    <xf numFmtId="168" fontId="8" fillId="0" borderId="0" xfId="7" applyFont="1" applyAlignment="1">
      <alignment horizontal="right" vertical="center"/>
    </xf>
    <xf numFmtId="168" fontId="8" fillId="0" borderId="0" xfId="7" applyFont="1" applyAlignment="1">
      <alignment vertical="center"/>
    </xf>
    <xf numFmtId="168" fontId="8" fillId="0" borderId="0" xfId="7" applyFont="1"/>
    <xf numFmtId="43" fontId="1" fillId="0" borderId="0" xfId="11" applyFont="1" applyAlignment="1">
      <alignment horizontal="right"/>
    </xf>
    <xf numFmtId="43" fontId="1" fillId="0" borderId="0" xfId="1" applyAlignment="1">
      <alignment horizontal="right"/>
    </xf>
    <xf numFmtId="0" fontId="8" fillId="0" borderId="0" xfId="6" applyFont="1" applyAlignment="1">
      <alignment horizontal="center" vertical="center" wrapText="1"/>
    </xf>
    <xf numFmtId="166" fontId="8" fillId="0" borderId="0" xfId="7" applyNumberFormat="1" applyFont="1" applyAlignment="1">
      <alignment horizontal="right" vertical="center" wrapText="1"/>
    </xf>
    <xf numFmtId="168" fontId="8" fillId="0" borderId="0" xfId="7" applyFont="1" applyAlignment="1">
      <alignment horizontal="right" vertical="center" wrapText="1"/>
    </xf>
    <xf numFmtId="168" fontId="8" fillId="0" borderId="0" xfId="7" applyFont="1" applyAlignment="1">
      <alignment horizontal="center" vertical="center" wrapText="1"/>
    </xf>
    <xf numFmtId="168" fontId="8" fillId="0" borderId="0" xfId="7" applyFont="1" applyAlignment="1">
      <alignment horizontal="left" vertical="center"/>
    </xf>
    <xf numFmtId="43" fontId="10" fillId="0" borderId="37" xfId="1" applyFont="1" applyBorder="1" applyAlignment="1">
      <alignment vertical="center" wrapText="1"/>
    </xf>
    <xf numFmtId="166" fontId="10" fillId="0" borderId="37" xfId="12" applyNumberFormat="1" applyFont="1" applyBorder="1" applyAlignment="1">
      <alignment vertical="center" wrapText="1"/>
    </xf>
    <xf numFmtId="49" fontId="10" fillId="0" borderId="31" xfId="12" applyNumberFormat="1" applyFont="1" applyBorder="1" applyAlignment="1">
      <alignment horizontal="center" vertical="center" wrapText="1"/>
    </xf>
    <xf numFmtId="49" fontId="10" fillId="0" borderId="32" xfId="12" applyNumberFormat="1" applyFont="1" applyBorder="1" applyAlignment="1">
      <alignment horizontal="center" vertical="center" wrapText="1"/>
    </xf>
    <xf numFmtId="43" fontId="8" fillId="0" borderId="11" xfId="11" applyFont="1" applyFill="1" applyBorder="1" applyAlignment="1">
      <alignment horizontal="right" vertical="center" wrapText="1"/>
    </xf>
    <xf numFmtId="43" fontId="8" fillId="4" borderId="17" xfId="11" applyFont="1" applyFill="1" applyBorder="1" applyAlignment="1">
      <alignment horizontal="center" vertical="center"/>
    </xf>
    <xf numFmtId="167" fontId="8" fillId="4" borderId="17" xfId="13" applyNumberFormat="1" applyFont="1" applyFill="1" applyBorder="1" applyAlignment="1">
      <alignment horizontal="center" vertical="center"/>
    </xf>
    <xf numFmtId="167" fontId="8" fillId="4" borderId="38" xfId="13" applyNumberFormat="1" applyFont="1" applyFill="1" applyBorder="1" applyAlignment="1">
      <alignment horizontal="center" vertical="center"/>
    </xf>
    <xf numFmtId="167" fontId="8" fillId="4" borderId="28" xfId="13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8" fillId="7" borderId="2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Continuous" vertical="center"/>
    </xf>
    <xf numFmtId="49" fontId="8" fillId="0" borderId="15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2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</cellXfs>
  <cellStyles count="14">
    <cellStyle name="Comma" xfId="1" builtinId="3"/>
    <cellStyle name="Comma 12 3 2" xfId="11" xr:uid="{FE1A06A9-5CDD-41C8-9FE4-0F50F15FAABD}"/>
    <cellStyle name="Comma 2" xfId="4" xr:uid="{D24C45AD-74CE-4BAF-ADBD-105355C6FCE3}"/>
    <cellStyle name="Normal" xfId="0" builtinId="0"/>
    <cellStyle name="Normal 161 2 4 10 2" xfId="6" xr:uid="{548F8167-EBEC-481B-9093-2595CDA70973}"/>
    <cellStyle name="Normal 2" xfId="2" xr:uid="{03579B59-0B84-4911-AE54-66E603CA571C}"/>
    <cellStyle name="Normal 2 10 2 2" xfId="5" xr:uid="{65A0C14C-2A9C-4157-9D81-CA9BD1439777}"/>
    <cellStyle name="Normal 2 10_Packaged data" xfId="12" xr:uid="{E0E0FE04-8693-4DC6-A884-B57611A21C0D}"/>
    <cellStyle name="Normal 2 139 2" xfId="7" xr:uid="{371ABBD5-8758-4BB3-A319-5CD0D7C271E2}"/>
    <cellStyle name="Normal 222 4 2" xfId="8" xr:uid="{ED336D46-BFC1-429A-8131-35C3DDDD5942}"/>
    <cellStyle name="Normal 6 2 5 2 2" xfId="10" xr:uid="{260CB935-1090-473C-BE04-8ECFF2080CA0}"/>
    <cellStyle name="一般_Book2" xfId="3" xr:uid="{D47F3472-F39D-4C5E-B841-1E3B7C3D37F7}"/>
    <cellStyle name="一般_Book2 2" xfId="13" xr:uid="{84AB01EA-36E7-4F7B-933D-4AA8314E57DD}"/>
    <cellStyle name="常规_INV 03, 2004" xfId="9" xr:uid="{B219860A-3AAD-4BBD-89AA-2354FB01A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925276</xdr:colOff>
      <xdr:row>25</xdr:row>
      <xdr:rowOff>204105</xdr:rowOff>
    </xdr:from>
    <xdr:to>
      <xdr:col>8</xdr:col>
      <xdr:colOff>1283145</xdr:colOff>
      <xdr:row>26</xdr:row>
      <xdr:rowOff>258534</xdr:rowOff>
    </xdr:to>
    <xdr:sp macro="[4]!PalletSize" textlink="">
      <xdr:nvSpPr>
        <xdr:cNvPr id="2" name="Rectangle 1">
          <a:extLst>
            <a:ext uri="{FF2B5EF4-FFF2-40B4-BE49-F238E27FC236}">
              <a16:creationId xmlns:a16="http://schemas.microsoft.com/office/drawing/2014/main" id="{80C43B60-A950-4756-A267-9F6710655B1A}"/>
            </a:ext>
          </a:extLst>
        </xdr:cNvPr>
        <xdr:cNvSpPr/>
      </xdr:nvSpPr>
      <xdr:spPr>
        <a:xfrm>
          <a:off x="10419796" y="11253105"/>
          <a:ext cx="357869" cy="3439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803558_mchcgr_com/Documents/InventoryClerk-Dong/VN%20Packingslip/GOLF_Packing%20list%202026.xlsm" TargetMode="External"/><Relationship Id="rId2" Type="http://schemas.openxmlformats.org/officeDocument/2006/relationships/externalLinkPath" Target="https://mchcgr-my.sharepoint.com/personal/0803558_mchcgr_com/Documents/InventoryClerk-Dong/VN%20Packingslip/GOLF_Packing%20list%202026.xlsm" TargetMode="External"/><Relationship Id="rId1" Type="http://schemas.openxmlformats.org/officeDocument/2006/relationships/externalLinkPath" Target="/personal/0803558_mchcgr_com/Documents/InventoryClerk-Dong/VN%20Packingslip/GOLF_Packing%20list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PL.xlsm" TargetMode="External"/><Relationship Id="rId1" Type="http://schemas.openxmlformats.org/officeDocument/2006/relationships/externalLinkPath" Target="P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3%20OCT/IV.xlsm" TargetMode="External"/><Relationship Id="rId1" Type="http://schemas.openxmlformats.org/officeDocument/2006/relationships/externalLinkPath" Target="IV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OLF_Packing%20list%202026.xlsm" TargetMode="External"/><Relationship Id="rId2" Type="http://schemas.openxmlformats.org/officeDocument/2006/relationships/externalLinkPath" Target="https://mchcgr-my.sharepoint.com/personal/0633227_mchcgr_com/Documents/PH&#431;&#416;NG%202025/GOLF_Packing%20list%202026.xlsm" TargetMode="External"/><Relationship Id="rId1" Type="http://schemas.openxmlformats.org/officeDocument/2006/relationships/externalLinkPath" Target="/personal/0633227_mchcgr_com/Documents/PH&#431;&#416;NG%202025/GOLF_Packing%20list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34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79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  <sheetName val="GOLF_Packing list 2026"/>
      <sheetName val="GS-26-1190"/>
      <sheetName val="G-26-1053"/>
      <sheetName val="G-26-1065"/>
      <sheetName val="G-26-1054"/>
      <sheetName val="G-26-1038"/>
      <sheetName val="GS-26-1199"/>
      <sheetName val="GS-26-1201"/>
      <sheetName val="GS-26-1202"/>
      <sheetName val="G-26-1057"/>
      <sheetName val="G-26-1192"/>
      <sheetName val="G-26-1055"/>
      <sheetName val="G-26-1022"/>
      <sheetName val="G-26-1056"/>
      <sheetName val="G-26-1059"/>
      <sheetName val="G-26-1060"/>
      <sheetName val="G-26-0953"/>
      <sheetName val="G-26-1063"/>
      <sheetName val="G-26-1064"/>
      <sheetName val="G-26-1094"/>
      <sheetName val="GS-26-1208"/>
      <sheetName val="GS-26-1210"/>
      <sheetName val="G-26-1066"/>
      <sheetName val="G-26-1067"/>
      <sheetName val="G-26-1068"/>
      <sheetName val="G-26-1088"/>
      <sheetName val="G-26-1089"/>
      <sheetName val="G-26-1069"/>
      <sheetName val="G-26-1039"/>
      <sheetName val="G-26-1087"/>
      <sheetName val="G-26-1073"/>
      <sheetName val="G-26-1051"/>
      <sheetName val="G-26-1040"/>
      <sheetName val="G-26-1071"/>
      <sheetName val="GS-26-1152"/>
      <sheetName val="G-26-1020"/>
      <sheetName val="G-26-1012"/>
      <sheetName val="G-26-1023"/>
      <sheetName val="G-26-1021"/>
      <sheetName val="G-26-1085"/>
      <sheetName val="G-26-0978"/>
      <sheetName val="GS-26-1154"/>
      <sheetName val="G-26-1028"/>
      <sheetName val="G-26-1025"/>
      <sheetName val="G-26-1027"/>
      <sheetName val="GS-26-1118"/>
      <sheetName val="G-26-1030"/>
      <sheetName val="G-26-1128"/>
      <sheetName val="G-26-1029"/>
      <sheetName val="G-26-1157"/>
      <sheetName val="G-26-1123"/>
      <sheetName val="G-26-1032"/>
      <sheetName val="G-26-1013"/>
      <sheetName val="G-26-1035"/>
      <sheetName val="G-26-1047"/>
      <sheetName val="G-26-1036"/>
      <sheetName val="G-26-1037"/>
      <sheetName val="G-26-1145"/>
      <sheetName val="G-26-0661"/>
      <sheetName val="G-26-0660"/>
      <sheetName val="G-26-0654"/>
      <sheetName val="GS-26-0695"/>
      <sheetName val="GS-26-0710"/>
      <sheetName val="GS-26-0758"/>
      <sheetName val="GS-26-0759"/>
      <sheetName val="G-26-0663"/>
      <sheetName val="G-26-0665"/>
      <sheetName val="G-26-0618"/>
      <sheetName val="G-26-0662"/>
      <sheetName val="G-26-0664"/>
      <sheetName val="G-26-0667"/>
      <sheetName val="G-26-0630"/>
      <sheetName val="G-26-0668"/>
      <sheetName val="G-26-0629"/>
      <sheetName val="G-26-0631"/>
      <sheetName val="G-26-0717"/>
      <sheetName val="G-26-0718"/>
      <sheetName val="G-26-0719"/>
      <sheetName val="G-26-0720"/>
      <sheetName val="G-26-0633"/>
      <sheetName val="G-26-0673"/>
      <sheetName val="G-26-0757"/>
      <sheetName val="G-26-0634"/>
      <sheetName val="G-26-0635"/>
      <sheetName val="G-26-0670"/>
      <sheetName val="G-26-0671"/>
      <sheetName val="G-26-0676"/>
      <sheetName val="G-26-0677"/>
      <sheetName val="G-26-0637"/>
      <sheetName val="G-26-0646"/>
      <sheetName val="G-26-0712"/>
      <sheetName val="G-26-0669"/>
      <sheetName val="G-26-0636"/>
      <sheetName val="G-26-0638"/>
      <sheetName val="G-26-0753"/>
      <sheetName val="G-26-0653"/>
      <sheetName val="G-26-0672"/>
      <sheetName val="G-26-0686"/>
      <sheetName val="G-26-0674"/>
      <sheetName val="G-26-0678"/>
      <sheetName val="G-26-0679"/>
      <sheetName val="G-26-0696"/>
      <sheetName val="G-26-0697"/>
      <sheetName val="G-26-0698"/>
      <sheetName val="G-26-0699"/>
      <sheetName val="G-26-0700"/>
      <sheetName val="G-26-0680"/>
      <sheetName val="G-26-0701"/>
      <sheetName val="G-26-0702"/>
      <sheetName val="G-26-0666"/>
      <sheetName val="G-26-0681"/>
      <sheetName val="G-26-0703"/>
      <sheetName val="G-26-0704"/>
      <sheetName val="G-26-0705"/>
      <sheetName val="G-26-0706"/>
      <sheetName val="G-26-0693"/>
      <sheetName val="G-26-0694"/>
      <sheetName val="G-26-0707"/>
      <sheetName val="G-26-0689"/>
      <sheetName val="G-26-0682"/>
      <sheetName val="G-26-0683"/>
      <sheetName val="G-26-0708"/>
      <sheetName val="G-26-0709"/>
      <sheetName val="G-26-0684"/>
      <sheetName val="G-26-0685"/>
      <sheetName val="G-26-0754"/>
      <sheetName val="G-26-0688"/>
      <sheetName val="G-26-0581"/>
      <sheetName val="G-26-0723"/>
      <sheetName val="G-26-0724"/>
      <sheetName val="G-26-0725"/>
      <sheetName val="G-26-0726"/>
      <sheetName val="G-26-0727"/>
      <sheetName val="G-26-0728"/>
      <sheetName val="G-26-0731"/>
      <sheetName val="G-26-0730"/>
      <sheetName val="G-26-0732"/>
      <sheetName val="G-26-0733"/>
      <sheetName val="G-26-0734"/>
      <sheetName val="G-26-0735"/>
      <sheetName val="G-26-0573"/>
      <sheetName val="G-26-0736"/>
      <sheetName val="G-26-0737"/>
      <sheetName val="G-26-0738"/>
      <sheetName val="G-26-0739"/>
      <sheetName val="G-26-0756"/>
      <sheetName val="G-26-0740"/>
      <sheetName val="G-26-0711"/>
      <sheetName val="G-26-0741"/>
      <sheetName val="G-26-0580"/>
      <sheetName val="G-26-0755"/>
      <sheetName val="G-26-0742"/>
      <sheetName val="G-26-0721"/>
      <sheetName val="G-26-0743"/>
      <sheetName val="G-26-0744"/>
      <sheetName val="G-26-0745"/>
      <sheetName val="G-26-0746"/>
      <sheetName val="G-26-0747"/>
      <sheetName val="G-26-0748"/>
      <sheetName val="G-26-0749"/>
      <sheetName val="G-26-0750"/>
      <sheetName val="G-26-0751"/>
      <sheetName val="G-26-0752"/>
      <sheetName val="G-26-0692"/>
      <sheetName val="G-26-0729"/>
      <sheetName val="G-26-0675"/>
      <sheetName val="G-26-0655"/>
      <sheetName val="DC-26-005"/>
      <sheetName val="GS-26-0012"/>
      <sheetName val="G-26-1074"/>
      <sheetName val="G-26-1061"/>
      <sheetName val="G-26-1132"/>
      <sheetName val="GS-26-1116"/>
      <sheetName val="GS-26-1117"/>
      <sheetName val="G-26-1019"/>
      <sheetName val="G-26-0986"/>
      <sheetName val="G-26-0993"/>
      <sheetName val="G-26-0979"/>
      <sheetName val="G-26-0995"/>
      <sheetName val="G-26-1048"/>
      <sheetName val="G-26-0996"/>
      <sheetName val="G-26-0977"/>
      <sheetName val="GS-26-1119"/>
      <sheetName val="GS-26-1120"/>
      <sheetName val="GS-26-1121"/>
      <sheetName val="G-26-1045"/>
      <sheetName val="G-26-1049"/>
      <sheetName val="G-26-1024"/>
      <sheetName val="G-26-1026"/>
      <sheetName val="G-26-1044"/>
      <sheetName val="G-26-0997"/>
      <sheetName val="G-26-1046"/>
      <sheetName val="G-26-1031"/>
      <sheetName val="G-26-0998"/>
      <sheetName val="G-26-0981"/>
      <sheetName val="G-26-0999"/>
      <sheetName val="G-26-0989"/>
      <sheetName val="G-26-0990"/>
      <sheetName val="G-26-1000"/>
      <sheetName val="G-26-0992"/>
      <sheetName val="G-26-1082"/>
      <sheetName val="GS-26-1126"/>
      <sheetName val="GS-26-1127"/>
      <sheetName val="GS-26-1129"/>
      <sheetName val="G-26-1001"/>
      <sheetName val="G-26-0961"/>
      <sheetName val="G-26-1002"/>
      <sheetName val="G-26-1004"/>
      <sheetName val="G-26-1005"/>
      <sheetName val="G-26-1006"/>
      <sheetName val="G-26-0964"/>
      <sheetName val="G-26-1008"/>
      <sheetName val="G-26-1009"/>
      <sheetName val="G-26-1010"/>
      <sheetName val="G-26-1011"/>
      <sheetName val="GS-26-0994"/>
      <sheetName val="G-26-0955"/>
      <sheetName val="G-26-0958"/>
      <sheetName val="G-26-0962"/>
      <sheetName val="G-26-0905"/>
      <sheetName val="G-26-0907"/>
      <sheetName val="G-26-0908"/>
      <sheetName val="G-26-0910"/>
      <sheetName val="G-26-0872"/>
      <sheetName val="G-26-0911"/>
      <sheetName val="G-26-0906"/>
      <sheetName val="G-26-0928"/>
      <sheetName val="GS-26-1018"/>
      <sheetName val="G-26-0987"/>
      <sheetName val="G-26-1014"/>
      <sheetName val="G-26-0926"/>
      <sheetName val="G-26-0927"/>
      <sheetName val="G-26-0959"/>
      <sheetName val="G-26-0963"/>
      <sheetName val="G-26-1042"/>
      <sheetName val="G-26-1016"/>
      <sheetName val="G-26-0929"/>
      <sheetName val="G-26-0930"/>
      <sheetName val="G-26-0931"/>
      <sheetName val="G-26-0932"/>
      <sheetName val="G-26-0934"/>
      <sheetName val="G-26-0980"/>
      <sheetName val="G-26-0935"/>
      <sheetName val="G-26-0936"/>
      <sheetName val="G-26-0937"/>
      <sheetName val="G-26-0938"/>
      <sheetName val="G-26-0956"/>
      <sheetName val="G-26-0913"/>
      <sheetName val="G-26-0914"/>
      <sheetName val="G-26-0922"/>
      <sheetName val="G-26-0939"/>
      <sheetName val="G-26-0916"/>
      <sheetName val="G-26-0918"/>
      <sheetName val="G-26-0919"/>
      <sheetName val="G-26-0940"/>
      <sheetName val="G-26-0941"/>
      <sheetName val="G-26-0912"/>
      <sheetName val="G-26-0920"/>
      <sheetName val="G-26-0921"/>
      <sheetName val="G-26-0960"/>
      <sheetName val="G-26-0915"/>
      <sheetName val="G-26-0965"/>
      <sheetName val="G-26-0944"/>
      <sheetName val="G-26-0952"/>
      <sheetName val="G-26-0945"/>
      <sheetName val="G-26-0966"/>
      <sheetName val="G-26-0943"/>
      <sheetName val="G-26-0967"/>
      <sheetName val="G-26-0985"/>
      <sheetName val="G-26-0968"/>
      <sheetName val="G-26-0969"/>
      <sheetName val="G-26-0970"/>
      <sheetName val="G-26-0971"/>
      <sheetName val="G-26-0988"/>
      <sheetName val="G-26-0946"/>
      <sheetName val="G-26-0947"/>
      <sheetName val="G-26-0972"/>
      <sheetName val="G-26-0973"/>
      <sheetName val="G-26-0835"/>
      <sheetName val="G-26-0974"/>
      <sheetName val="G-26-1041"/>
      <sheetName val="G-26-0975"/>
      <sheetName val="G-26-0948"/>
      <sheetName val="G-26-0949"/>
      <sheetName val="G-26-0976"/>
      <sheetName val="G-26-1003"/>
      <sheetName val="G-26-1033"/>
      <sheetName val="G-26-09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>
        <row r="1">
          <cell r="B1"/>
        </row>
      </sheetData>
      <sheetData sheetId="138">
        <row r="1">
          <cell r="K1" t="str">
            <v>,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">
          <cell r="F1"/>
        </row>
      </sheetData>
      <sheetData sheetId="150">
        <row r="1">
          <cell r="A1" t="str">
            <v>Item</v>
          </cell>
        </row>
      </sheetData>
      <sheetData sheetId="151"/>
      <sheetData sheetId="152"/>
      <sheetData sheetId="153">
        <row r="1">
          <cell r="A1" t="str">
            <v>Aldila Part #</v>
          </cell>
        </row>
      </sheetData>
      <sheetData sheetId="154"/>
      <sheetData sheetId="155">
        <row r="1">
          <cell r="D1" t="str">
            <v>Ship To (Adjusted)-Mode of Delivery-Forwarder</v>
          </cell>
        </row>
      </sheetData>
      <sheetData sheetId="156"/>
      <sheetData sheetId="157"/>
      <sheetData sheetId="158"/>
      <sheetData sheetId="159">
        <row r="1">
          <cell r="A1" t="str">
            <v>Item Number</v>
          </cell>
        </row>
      </sheetData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095"/>
      <sheetName val="G-26-1096"/>
      <sheetName val="G-26-1079"/>
      <sheetName val="G-26-1099"/>
      <sheetName val="G-26-1077"/>
      <sheetName val="G-26-1078"/>
      <sheetName val="G-26-1104"/>
      <sheetName val="G-26-1070"/>
      <sheetName val="G-26-1194"/>
      <sheetName val="G-26-12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099"/>
      <sheetName val="G-26-1194"/>
      <sheetName val="G-26-1234"/>
      <sheetName val="G-26-1095"/>
      <sheetName val="G-26-1096"/>
      <sheetName val="G-26-1079"/>
      <sheetName val="G-26-1077"/>
      <sheetName val="G-26-1078"/>
      <sheetName val="G-26-1104"/>
      <sheetName val="G-26-10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5"/>
      <sheetName val="G-26-1096"/>
      <sheetName val="G-26-1079"/>
      <sheetName val="G-26-1234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070"/>
      <sheetName val="G-26-1194"/>
      <sheetName val="G-26-1131"/>
      <sheetName val="G-26-1105"/>
      <sheetName val="G-26-1193"/>
      <sheetName val="G-26-1106"/>
      <sheetName val="G-26-1108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79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</sheetNames>
    <definedNames>
      <definedName name="PalletSiz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>
        <row r="1">
          <cell r="C1">
            <v>43287.693053587966</v>
          </cell>
        </row>
        <row r="2">
          <cell r="A2" t="str">
            <v>Item number</v>
          </cell>
          <cell r="B2" t="str">
            <v>Item Sort</v>
          </cell>
          <cell r="C2" t="str">
            <v>Search name</v>
          </cell>
          <cell r="D2" t="str">
            <v>Product dimension group</v>
          </cell>
          <cell r="E2" t="str">
            <v>Mandrel</v>
          </cell>
          <cell r="F2" t="str">
            <v>BOM unit</v>
          </cell>
          <cell r="G2" t="str">
            <v>Production type</v>
          </cell>
          <cell r="H2" t="str">
            <v>Product subtype</v>
          </cell>
          <cell r="I2" t="str">
            <v>Product type</v>
          </cell>
          <cell r="J2" t="str">
            <v>Product name</v>
          </cell>
        </row>
        <row r="3">
          <cell r="A3" t="str">
            <v>AU176-IA-4A</v>
          </cell>
          <cell r="B3" t="str">
            <v>FG-G</v>
          </cell>
          <cell r="C3" t="str">
            <v>SH IR TENS RED AM2 A</v>
          </cell>
          <cell r="D3" t="str">
            <v>SH IR TENS RED AM2 A</v>
          </cell>
          <cell r="E3" t="str">
            <v>Item</v>
          </cell>
          <cell r="F3" t="str">
            <v>Product</v>
          </cell>
          <cell r="H3" t="str">
            <v>BOM</v>
          </cell>
          <cell r="J3" t="str">
            <v>2776314 SH IR TENS RED AM2 A 39.5 #4</v>
          </cell>
        </row>
        <row r="4">
          <cell r="A4" t="str">
            <v>AU176-IA-5A</v>
          </cell>
          <cell r="B4" t="str">
            <v>FG-G</v>
          </cell>
          <cell r="C4" t="str">
            <v>SH IR TENS RED AM2 A</v>
          </cell>
          <cell r="D4" t="str">
            <v>SH IR TENS RED AM2 A</v>
          </cell>
          <cell r="E4" t="str">
            <v>Item</v>
          </cell>
          <cell r="F4" t="str">
            <v>Product</v>
          </cell>
          <cell r="H4" t="str">
            <v>BOM</v>
          </cell>
          <cell r="J4" t="str">
            <v>2776315 SH IR TENS RED AM2 A 39.0 #5</v>
          </cell>
        </row>
        <row r="5">
          <cell r="A5" t="str">
            <v>AU176-IA-6A</v>
          </cell>
          <cell r="B5" t="str">
            <v>FG-G</v>
          </cell>
          <cell r="C5" t="str">
            <v>SH IR TENS RED AM2 A</v>
          </cell>
          <cell r="D5" t="str">
            <v>SH IR TENS RED AM2 A</v>
          </cell>
          <cell r="E5" t="str">
            <v>Item</v>
          </cell>
          <cell r="F5" t="str">
            <v>Product</v>
          </cell>
          <cell r="H5" t="str">
            <v>BOM</v>
          </cell>
          <cell r="J5" t="str">
            <v>2776316 SH IR TENS RED AM2 A 38.5 #6</v>
          </cell>
        </row>
        <row r="6">
          <cell r="A6" t="str">
            <v>AU176-IA-7A</v>
          </cell>
          <cell r="B6" t="str">
            <v>FG-G</v>
          </cell>
          <cell r="C6" t="str">
            <v>SH IR TENS RED AM2 A</v>
          </cell>
          <cell r="D6" t="str">
            <v>SH IR TENS RED AM2 A</v>
          </cell>
          <cell r="E6" t="str">
            <v>Item</v>
          </cell>
          <cell r="F6" t="str">
            <v>Product</v>
          </cell>
          <cell r="H6" t="str">
            <v>BOM</v>
          </cell>
          <cell r="J6" t="str">
            <v>2776317 SH IR TENS RED AM2 A 38.0 #7</v>
          </cell>
        </row>
        <row r="7">
          <cell r="A7" t="str">
            <v>AU176-IA-8A</v>
          </cell>
          <cell r="B7" t="str">
            <v>FG-G</v>
          </cell>
          <cell r="C7" t="str">
            <v>SH IR TENS RED AM2 A</v>
          </cell>
          <cell r="D7" t="str">
            <v>SH IR TENS RED AM2 A</v>
          </cell>
          <cell r="E7" t="str">
            <v>Item</v>
          </cell>
          <cell r="F7" t="str">
            <v>Product</v>
          </cell>
          <cell r="H7" t="str">
            <v>BOM</v>
          </cell>
          <cell r="J7" t="str">
            <v>2776318 SH IR TENS RED AM2 A 37.5 #8</v>
          </cell>
        </row>
        <row r="8">
          <cell r="A8" t="str">
            <v>AU176-IA-9A</v>
          </cell>
          <cell r="B8" t="str">
            <v>FG-G</v>
          </cell>
          <cell r="C8" t="str">
            <v>SH IR TENS RED AM2 A</v>
          </cell>
          <cell r="D8" t="str">
            <v>SH IR TENS RED AM2 A</v>
          </cell>
          <cell r="E8" t="str">
            <v>Item</v>
          </cell>
          <cell r="F8" t="str">
            <v>Product</v>
          </cell>
          <cell r="H8" t="str">
            <v>BOM</v>
          </cell>
          <cell r="J8" t="str">
            <v>2776319 SH IR TENS RED AM2 A 37.0 #9</v>
          </cell>
        </row>
        <row r="9">
          <cell r="A9" t="str">
            <v>AU176-IA-AA</v>
          </cell>
          <cell r="B9" t="str">
            <v>FG-G</v>
          </cell>
          <cell r="C9" t="str">
            <v>SH IR TENS RED AM2 A</v>
          </cell>
          <cell r="D9" t="str">
            <v>SH IR TENS RED AM2 A</v>
          </cell>
          <cell r="E9" t="str">
            <v>Item</v>
          </cell>
          <cell r="F9" t="str">
            <v>Product</v>
          </cell>
          <cell r="H9" t="str">
            <v>BOM</v>
          </cell>
          <cell r="J9" t="str">
            <v>2776321 SH IR TENS RED AM2 A 36.5 #W</v>
          </cell>
        </row>
        <row r="10">
          <cell r="A10" t="str">
            <v>AU176-IA-PA</v>
          </cell>
          <cell r="B10" t="str">
            <v>FG-G</v>
          </cell>
          <cell r="C10" t="str">
            <v>SH IR TENS RED AM2 A</v>
          </cell>
          <cell r="D10" t="str">
            <v>SH IR TENS RED AM2 A</v>
          </cell>
          <cell r="E10" t="str">
            <v>Item</v>
          </cell>
          <cell r="F10" t="str">
            <v>Product</v>
          </cell>
          <cell r="H10" t="str">
            <v>BOM</v>
          </cell>
          <cell r="J10" t="str">
            <v>2776320 SH IR TENS RED AM2 A 36.75 #PW</v>
          </cell>
        </row>
        <row r="11">
          <cell r="A11" t="str">
            <v>AU176-IL-4A</v>
          </cell>
          <cell r="B11" t="str">
            <v>FG-G</v>
          </cell>
          <cell r="C11" t="str">
            <v>SH IR TENS RED AM2 L</v>
          </cell>
          <cell r="D11" t="str">
            <v>SH IR TENS RED AM2 L</v>
          </cell>
          <cell r="E11" t="str">
            <v>Item</v>
          </cell>
          <cell r="F11" t="str">
            <v>Product</v>
          </cell>
          <cell r="H11" t="str">
            <v>BOM</v>
          </cell>
          <cell r="J11" t="str">
            <v>2776214 SH IR TENS RED AM2 L 39.5 #4</v>
          </cell>
        </row>
        <row r="12">
          <cell r="A12" t="str">
            <v>AU176-IL-5A</v>
          </cell>
          <cell r="B12" t="str">
            <v>FG-G</v>
          </cell>
          <cell r="C12" t="str">
            <v>SH IR TENS RED AM2 L</v>
          </cell>
          <cell r="D12" t="str">
            <v>SH IR TENS RED AM2 L</v>
          </cell>
          <cell r="E12" t="str">
            <v>Item</v>
          </cell>
          <cell r="F12" t="str">
            <v>Product</v>
          </cell>
          <cell r="H12" t="str">
            <v>BOM</v>
          </cell>
          <cell r="J12" t="str">
            <v>2776215 SH IR TENS RED AM2 L 39.0 #5</v>
          </cell>
        </row>
        <row r="13">
          <cell r="A13" t="str">
            <v>AU176-IL-6A</v>
          </cell>
          <cell r="B13" t="str">
            <v>FG-G</v>
          </cell>
          <cell r="C13" t="str">
            <v>SH IR TENS RED AM2 L</v>
          </cell>
          <cell r="D13" t="str">
            <v>SH IR TENS RED AM2 L</v>
          </cell>
          <cell r="E13" t="str">
            <v>Item</v>
          </cell>
          <cell r="F13" t="str">
            <v>Product</v>
          </cell>
          <cell r="H13" t="str">
            <v>BOM</v>
          </cell>
          <cell r="J13" t="str">
            <v>2776216 SH IR TENS RED AM2 L 38.5 #6</v>
          </cell>
        </row>
        <row r="14">
          <cell r="A14" t="str">
            <v>AU176-IL-7A</v>
          </cell>
          <cell r="B14" t="str">
            <v>FG-G</v>
          </cell>
          <cell r="C14" t="str">
            <v>SH IR TENS RED AM2 L</v>
          </cell>
          <cell r="D14" t="str">
            <v>SH IR TENS RED AM2 L</v>
          </cell>
          <cell r="E14" t="str">
            <v>Item</v>
          </cell>
          <cell r="F14" t="str">
            <v>Product</v>
          </cell>
          <cell r="H14" t="str">
            <v>BOM</v>
          </cell>
          <cell r="J14" t="str">
            <v>2776217 SH IR TENS RED AM2 L 38.0 #7</v>
          </cell>
        </row>
        <row r="15">
          <cell r="A15" t="str">
            <v>AU176-IL-8A</v>
          </cell>
          <cell r="B15" t="str">
            <v>FG-G</v>
          </cell>
          <cell r="C15" t="str">
            <v>SH IR TENS RED AM2 L</v>
          </cell>
          <cell r="D15" t="str">
            <v>SH IR TENS RED AM2 L</v>
          </cell>
          <cell r="E15" t="str">
            <v>Item</v>
          </cell>
          <cell r="F15" t="str">
            <v>Product</v>
          </cell>
          <cell r="H15" t="str">
            <v>BOM</v>
          </cell>
          <cell r="J15" t="str">
            <v>2776218 SH IR TENS RED AM2 L 37.5 #8</v>
          </cell>
        </row>
        <row r="16">
          <cell r="A16" t="str">
            <v>AU176-IL-9A</v>
          </cell>
          <cell r="B16" t="str">
            <v>FG-G</v>
          </cell>
          <cell r="C16" t="str">
            <v>SH IR TENS RED AM2 L</v>
          </cell>
          <cell r="D16" t="str">
            <v>SH IR TENS RED AM2 L</v>
          </cell>
          <cell r="E16" t="str">
            <v>Item</v>
          </cell>
          <cell r="F16" t="str">
            <v>Product</v>
          </cell>
          <cell r="H16" t="str">
            <v>BOM</v>
          </cell>
          <cell r="J16" t="str">
            <v>2776219 SH IR TENS RED AM2 L 37.0 #9</v>
          </cell>
        </row>
        <row r="17">
          <cell r="A17" t="str">
            <v>AU176-IL-AA</v>
          </cell>
          <cell r="B17" t="str">
            <v>FG-G</v>
          </cell>
          <cell r="C17" t="str">
            <v>SH IR TENS RED AM2 L</v>
          </cell>
          <cell r="D17" t="str">
            <v>SH IR TENS RED AM2 L</v>
          </cell>
          <cell r="E17" t="str">
            <v>Item</v>
          </cell>
          <cell r="F17" t="str">
            <v>Product</v>
          </cell>
          <cell r="H17" t="str">
            <v>BOM</v>
          </cell>
          <cell r="J17" t="str">
            <v>2776221 SH IR TENS RED AM2 L 36.5 #W</v>
          </cell>
        </row>
        <row r="18">
          <cell r="A18" t="str">
            <v>AU176-IL-PA</v>
          </cell>
          <cell r="B18" t="str">
            <v>FG-G</v>
          </cell>
          <cell r="C18" t="str">
            <v>SH IR TENS RED AM2 L</v>
          </cell>
          <cell r="D18" t="str">
            <v>SH IR TENS RED AM2 L</v>
          </cell>
          <cell r="E18" t="str">
            <v>Item</v>
          </cell>
          <cell r="F18" t="str">
            <v>Product</v>
          </cell>
          <cell r="H18" t="str">
            <v>BOM</v>
          </cell>
          <cell r="J18" t="str">
            <v>2776220 SH IR TENS RED AM2 L 36.75 #PW</v>
          </cell>
        </row>
        <row r="19">
          <cell r="A19" t="str">
            <v>AU176-IR-3A</v>
          </cell>
          <cell r="B19" t="str">
            <v>FG-G</v>
          </cell>
          <cell r="C19" t="str">
            <v>SH IR TENS RED AM2 R</v>
          </cell>
          <cell r="D19" t="str">
            <v>SH IR TENS RED AM2 R</v>
          </cell>
          <cell r="E19" t="str">
            <v>Item</v>
          </cell>
          <cell r="F19" t="str">
            <v>Product</v>
          </cell>
          <cell r="H19" t="str">
            <v>BOM</v>
          </cell>
          <cell r="J19" t="str">
            <v>2776023 SH IR TENS RED AM2 R 40.0 #3</v>
          </cell>
        </row>
        <row r="20">
          <cell r="A20" t="str">
            <v>AU176-IR-4A</v>
          </cell>
          <cell r="B20" t="str">
            <v>FG-G</v>
          </cell>
          <cell r="C20" t="str">
            <v>SH IR TENS RED AM2 R</v>
          </cell>
          <cell r="D20" t="str">
            <v>SH IR TENS RED AM2 R</v>
          </cell>
          <cell r="E20" t="str">
            <v>Item</v>
          </cell>
          <cell r="F20" t="str">
            <v>Product</v>
          </cell>
          <cell r="H20" t="str">
            <v>BOM</v>
          </cell>
          <cell r="J20" t="str">
            <v>2776024 SH IR TENS RED AM2 R 39.5 #4</v>
          </cell>
        </row>
        <row r="21">
          <cell r="A21" t="str">
            <v>AU176-IR-5A</v>
          </cell>
          <cell r="B21" t="str">
            <v>FG-G</v>
          </cell>
          <cell r="C21" t="str">
            <v>SH IR TENS RED AM2 R</v>
          </cell>
          <cell r="D21" t="str">
            <v>SH IR TENS RED AM2 R</v>
          </cell>
          <cell r="E21" t="str">
            <v>Item</v>
          </cell>
          <cell r="F21" t="str">
            <v>Product</v>
          </cell>
          <cell r="H21" t="str">
            <v>BOM</v>
          </cell>
          <cell r="J21" t="str">
            <v>2776025 SH IR TENS RED AM2 R 39.0 #5</v>
          </cell>
        </row>
        <row r="22">
          <cell r="A22" t="str">
            <v>AU176-IR-6A</v>
          </cell>
          <cell r="B22" t="str">
            <v>FG-G</v>
          </cell>
          <cell r="C22" t="str">
            <v>SH IR TENS RED AM2 R</v>
          </cell>
          <cell r="D22" t="str">
            <v>SH IR TENS RED AM2 R</v>
          </cell>
          <cell r="E22" t="str">
            <v>Item</v>
          </cell>
          <cell r="F22" t="str">
            <v>Product</v>
          </cell>
          <cell r="H22" t="str">
            <v>BOM</v>
          </cell>
          <cell r="J22" t="str">
            <v>2776026 SH IR TENS RED AM2 R 38.5 #6</v>
          </cell>
        </row>
        <row r="23">
          <cell r="A23" t="str">
            <v>AU176-IR-7A</v>
          </cell>
          <cell r="B23" t="str">
            <v>FG-G</v>
          </cell>
          <cell r="C23" t="str">
            <v>SH IR TENS RED AM2 R</v>
          </cell>
          <cell r="D23" t="str">
            <v>SH IR TENS RED AM2 R</v>
          </cell>
          <cell r="E23" t="str">
            <v>Item</v>
          </cell>
          <cell r="F23" t="str">
            <v>Product</v>
          </cell>
          <cell r="H23" t="str">
            <v>BOM</v>
          </cell>
          <cell r="J23" t="str">
            <v>2776027 SH IR TENS RED AM2 R 38.0 #7</v>
          </cell>
        </row>
        <row r="24">
          <cell r="A24" t="str">
            <v>AU176-IR-8A</v>
          </cell>
          <cell r="B24" t="str">
            <v>FG-G</v>
          </cell>
          <cell r="C24" t="str">
            <v>SH IR TENS RED AM2 R</v>
          </cell>
          <cell r="D24" t="str">
            <v>SH IR TENS RED AM2 R</v>
          </cell>
          <cell r="E24" t="str">
            <v>Item</v>
          </cell>
          <cell r="F24" t="str">
            <v>Product</v>
          </cell>
          <cell r="H24" t="str">
            <v>BOM</v>
          </cell>
          <cell r="J24" t="str">
            <v>2776028 SH IR TENS RED AM2 R 37.5 #8</v>
          </cell>
        </row>
        <row r="25">
          <cell r="A25" t="str">
            <v>AU176-IR-9A</v>
          </cell>
          <cell r="B25" t="str">
            <v>FG-G</v>
          </cell>
          <cell r="C25" t="str">
            <v>SH IR TENS RED AM2 R</v>
          </cell>
          <cell r="D25" t="str">
            <v>SH IR TENS RED AM2 R</v>
          </cell>
          <cell r="E25" t="str">
            <v>Item</v>
          </cell>
          <cell r="F25" t="str">
            <v>Product</v>
          </cell>
          <cell r="H25" t="str">
            <v>BOM</v>
          </cell>
          <cell r="J25" t="str">
            <v>2776029SH IR TENS RED AM2 R 37.0 #9</v>
          </cell>
        </row>
        <row r="26">
          <cell r="A26" t="str">
            <v>AU176-IR-AA</v>
          </cell>
          <cell r="B26" t="str">
            <v>FG-G</v>
          </cell>
          <cell r="C26" t="str">
            <v>SH IR TENS RED AM2 R</v>
          </cell>
          <cell r="D26" t="str">
            <v>SH IR TENS RED AM2 R</v>
          </cell>
          <cell r="E26" t="str">
            <v>Item</v>
          </cell>
          <cell r="F26" t="str">
            <v>Product</v>
          </cell>
          <cell r="H26" t="str">
            <v>BOM</v>
          </cell>
          <cell r="J26" t="str">
            <v>2776031 SH IR TENS RED AM2 R 36.5 #W</v>
          </cell>
        </row>
        <row r="27">
          <cell r="A27" t="str">
            <v>AU176-IR-PA</v>
          </cell>
          <cell r="B27" t="str">
            <v>FG-G</v>
          </cell>
          <cell r="C27" t="str">
            <v>SH IR TENS RED AM2 R</v>
          </cell>
          <cell r="D27" t="str">
            <v>SH IR TENS RED AM2 R</v>
          </cell>
          <cell r="E27" t="str">
            <v>Item</v>
          </cell>
          <cell r="F27" t="str">
            <v>Product</v>
          </cell>
          <cell r="H27" t="str">
            <v>BOM</v>
          </cell>
          <cell r="J27" t="str">
            <v>2776030 SH IR TENS RED AM2 R 36.75 #PW</v>
          </cell>
        </row>
        <row r="28">
          <cell r="A28" t="str">
            <v>AU176-IS-3A</v>
          </cell>
          <cell r="B28" t="str">
            <v>FG-G</v>
          </cell>
          <cell r="C28" t="str">
            <v>SH IR TENS RED AM2 S</v>
          </cell>
          <cell r="D28" t="str">
            <v>SH IR TENS RED AM2 S</v>
          </cell>
          <cell r="E28" t="str">
            <v>Item</v>
          </cell>
          <cell r="F28" t="str">
            <v>Product</v>
          </cell>
          <cell r="H28" t="str">
            <v>BOM</v>
          </cell>
          <cell r="J28" t="str">
            <v>2776123 SH IR TENS RED AM2 S 40.0 #3</v>
          </cell>
        </row>
        <row r="29">
          <cell r="A29" t="str">
            <v>AU176-IS-4A</v>
          </cell>
          <cell r="B29" t="str">
            <v>FG-G</v>
          </cell>
          <cell r="C29" t="str">
            <v>SH IR TENS RED AM2 S</v>
          </cell>
          <cell r="D29" t="str">
            <v>SH IR TENS RED AM2 S</v>
          </cell>
          <cell r="E29" t="str">
            <v>Item</v>
          </cell>
          <cell r="F29" t="str">
            <v>Product</v>
          </cell>
          <cell r="H29" t="str">
            <v>BOM</v>
          </cell>
          <cell r="J29" t="str">
            <v>2776124 SH IR TENS RED AM2 S 39.5 #4</v>
          </cell>
        </row>
        <row r="30">
          <cell r="A30" t="str">
            <v>AU176-IS-5A</v>
          </cell>
          <cell r="B30" t="str">
            <v>FG-G</v>
          </cell>
          <cell r="C30" t="str">
            <v>SH IR TENS RED AM2 S</v>
          </cell>
          <cell r="D30" t="str">
            <v>SH IR TENS RED AM2 S</v>
          </cell>
          <cell r="E30" t="str">
            <v>Item</v>
          </cell>
          <cell r="F30" t="str">
            <v>Product</v>
          </cell>
          <cell r="H30" t="str">
            <v>BOM</v>
          </cell>
          <cell r="J30" t="str">
            <v>2776125 SH IR TENS RED AM2 S 39.0 #5</v>
          </cell>
        </row>
        <row r="31">
          <cell r="A31" t="str">
            <v>AU176-IS-6A</v>
          </cell>
          <cell r="B31" t="str">
            <v>FG-G</v>
          </cell>
          <cell r="C31" t="str">
            <v>SH IR TENS RED AM2 S</v>
          </cell>
          <cell r="D31" t="str">
            <v>SH IR TENS RED AM2 S</v>
          </cell>
          <cell r="E31" t="str">
            <v>Item</v>
          </cell>
          <cell r="F31" t="str">
            <v>Product</v>
          </cell>
          <cell r="H31" t="str">
            <v>BOM</v>
          </cell>
          <cell r="J31" t="str">
            <v>2776126 SH IR TENS RED AM2 S 38.5 #6</v>
          </cell>
        </row>
        <row r="32">
          <cell r="A32" t="str">
            <v>AU176-IS-7A</v>
          </cell>
          <cell r="B32" t="str">
            <v>FG-G</v>
          </cell>
          <cell r="C32" t="str">
            <v>SH IR TENS RED AM2 S</v>
          </cell>
          <cell r="D32" t="str">
            <v>SH IR TENS RED AM2 S</v>
          </cell>
          <cell r="E32" t="str">
            <v>Item</v>
          </cell>
          <cell r="F32" t="str">
            <v>Product</v>
          </cell>
          <cell r="H32" t="str">
            <v>BOM</v>
          </cell>
          <cell r="J32" t="str">
            <v>2776127 SH IR TENS RED AM2 S 38.0 #7</v>
          </cell>
        </row>
        <row r="33">
          <cell r="A33" t="str">
            <v>AU176-IS-8A</v>
          </cell>
          <cell r="B33" t="str">
            <v>FG-G</v>
          </cell>
          <cell r="C33" t="str">
            <v>SH IR TENS RED AM2 S</v>
          </cell>
          <cell r="D33" t="str">
            <v>SH IR TENS RED AM2 S</v>
          </cell>
          <cell r="E33" t="str">
            <v>Item</v>
          </cell>
          <cell r="F33" t="str">
            <v>Product</v>
          </cell>
          <cell r="H33" t="str">
            <v>BOM</v>
          </cell>
          <cell r="J33" t="str">
            <v>2776128 SH IR TENS RED AM2 S 37.5 #8</v>
          </cell>
        </row>
        <row r="34">
          <cell r="A34" t="str">
            <v>AU176-IS-9A</v>
          </cell>
          <cell r="B34" t="str">
            <v>FG-G</v>
          </cell>
          <cell r="C34" t="str">
            <v>SH IR TENS RED AM2 S</v>
          </cell>
          <cell r="D34" t="str">
            <v>SH IR TENS RED AM2 S</v>
          </cell>
          <cell r="E34" t="str">
            <v>Item</v>
          </cell>
          <cell r="F34" t="str">
            <v>Product</v>
          </cell>
          <cell r="H34" t="str">
            <v>BOM</v>
          </cell>
          <cell r="J34" t="str">
            <v>2776129 SH IR TENS RED AM2 S 37.0 #9</v>
          </cell>
        </row>
        <row r="35">
          <cell r="A35" t="str">
            <v>AU176-IS-AA</v>
          </cell>
          <cell r="B35" t="str">
            <v>FG-G</v>
          </cell>
          <cell r="C35" t="str">
            <v>SH IR TENS RED AM2 S</v>
          </cell>
          <cell r="D35" t="str">
            <v>SH IR TENS RED AM2 S</v>
          </cell>
          <cell r="E35" t="str">
            <v>Item</v>
          </cell>
          <cell r="F35" t="str">
            <v>Product</v>
          </cell>
          <cell r="H35" t="str">
            <v>BOM</v>
          </cell>
          <cell r="J35" t="str">
            <v>2776131 SH IR TENS RED AM2 S 36.5 #W</v>
          </cell>
        </row>
        <row r="36">
          <cell r="A36" t="str">
            <v>AU176-IS-PA</v>
          </cell>
          <cell r="B36" t="str">
            <v>FG-G</v>
          </cell>
          <cell r="C36" t="str">
            <v>SH IR TENS RED AM2 S</v>
          </cell>
          <cell r="D36" t="str">
            <v>SH IR TENS RED AM2 S</v>
          </cell>
          <cell r="E36" t="str">
            <v>Item</v>
          </cell>
          <cell r="F36" t="str">
            <v>Product</v>
          </cell>
          <cell r="H36" t="str">
            <v>BOM</v>
          </cell>
          <cell r="J36" t="str">
            <v>2776130 SH IR TENS RED AM2 S 36.75 #PW</v>
          </cell>
        </row>
        <row r="37">
          <cell r="A37" t="str">
            <v>AX065-WR-1AA</v>
          </cell>
          <cell r="B37" t="str">
            <v>FG-G</v>
          </cell>
          <cell r="C37" t="str">
            <v>SHM-Synergy Driver R</v>
          </cell>
          <cell r="D37" t="str">
            <v>SHM-Synergy Driver R</v>
          </cell>
          <cell r="E37" t="str">
            <v>Item</v>
          </cell>
          <cell r="F37" t="str">
            <v>Product</v>
          </cell>
          <cell r="H37" t="str">
            <v>BOM</v>
          </cell>
          <cell r="J37" t="str">
            <v>Synergy Blue Wood 50 R-flex</v>
          </cell>
        </row>
        <row r="38">
          <cell r="A38" t="str">
            <v>AX065-WS-1AA</v>
          </cell>
          <cell r="B38" t="str">
            <v>FG-G</v>
          </cell>
          <cell r="C38" t="str">
            <v>SHM-Synergy Driver S</v>
          </cell>
          <cell r="D38" t="str">
            <v>SHM-Synergy Driver S</v>
          </cell>
          <cell r="E38" t="str">
            <v>Item</v>
          </cell>
          <cell r="F38" t="str">
            <v>Product</v>
          </cell>
          <cell r="H38" t="str">
            <v>BOM</v>
          </cell>
          <cell r="J38" t="str">
            <v>Synergy Blue Wood 50 S-flex</v>
          </cell>
        </row>
        <row r="39">
          <cell r="A39" t="str">
            <v>AX066-WR-1AA</v>
          </cell>
          <cell r="B39" t="str">
            <v>FG-G</v>
          </cell>
          <cell r="C39" t="str">
            <v>Synergy wood 60 R-fl</v>
          </cell>
          <cell r="D39" t="str">
            <v>Synergy wood 60 R-fl</v>
          </cell>
          <cell r="E39" t="str">
            <v>Item</v>
          </cell>
          <cell r="F39" t="str">
            <v>Product</v>
          </cell>
          <cell r="H39" t="str">
            <v>BOM</v>
          </cell>
          <cell r="J39" t="str">
            <v>Synergy Blue Wood 60 R-flex</v>
          </cell>
        </row>
        <row r="40">
          <cell r="A40" t="str">
            <v>AX066-WS-1AA</v>
          </cell>
          <cell r="B40" t="str">
            <v>FG-G</v>
          </cell>
          <cell r="C40" t="str">
            <v>SHM-Synergy Driver S</v>
          </cell>
          <cell r="D40" t="str">
            <v>SHM-Synergy Driver S</v>
          </cell>
          <cell r="E40" t="str">
            <v>Item</v>
          </cell>
          <cell r="F40" t="str">
            <v>Product</v>
          </cell>
          <cell r="H40" t="str">
            <v>BOM</v>
          </cell>
          <cell r="J40" t="str">
            <v>Synergy Blue Wood 60 S-flex</v>
          </cell>
        </row>
        <row r="41">
          <cell r="A41" t="str">
            <v>AX066-WX-1AA</v>
          </cell>
          <cell r="B41" t="str">
            <v>FG-G</v>
          </cell>
          <cell r="C41" t="str">
            <v>SHM-Synergy Driver X</v>
          </cell>
          <cell r="D41" t="str">
            <v>SHM-Synergy Driver X</v>
          </cell>
          <cell r="E41" t="str">
            <v>Item</v>
          </cell>
          <cell r="F41" t="str">
            <v>Product</v>
          </cell>
          <cell r="H41" t="str">
            <v>BOM</v>
          </cell>
          <cell r="J41" t="str">
            <v>Synergy Blue Wood 60 X-flex</v>
          </cell>
        </row>
        <row r="42">
          <cell r="A42" t="str">
            <v>AX068-IR-1CB</v>
          </cell>
          <cell r="B42" t="str">
            <v>FG-G</v>
          </cell>
          <cell r="C42" t="str">
            <v>Synergy Hybrid/OS R</v>
          </cell>
          <cell r="D42" t="str">
            <v>Synergy Hybrid/OS R</v>
          </cell>
          <cell r="E42" t="str">
            <v>Item</v>
          </cell>
          <cell r="F42" t="str">
            <v>Product</v>
          </cell>
          <cell r="H42" t="str">
            <v>BOM</v>
          </cell>
          <cell r="J42" t="e">
            <v>#N/A</v>
          </cell>
        </row>
        <row r="43">
          <cell r="A43" t="str">
            <v>AX068-IS-1CB</v>
          </cell>
          <cell r="B43" t="str">
            <v>FG-G</v>
          </cell>
          <cell r="C43" t="str">
            <v>Synergy Hybrid/OS S</v>
          </cell>
          <cell r="D43" t="str">
            <v>Synergy Hybrid/OS S</v>
          </cell>
          <cell r="E43" t="str">
            <v>Item</v>
          </cell>
          <cell r="F43" t="str">
            <v>Product</v>
          </cell>
          <cell r="H43" t="str">
            <v>BOM</v>
          </cell>
          <cell r="J43" t="e">
            <v>#N/A</v>
          </cell>
        </row>
        <row r="44">
          <cell r="A44" t="str">
            <v>AX096-WTX1AB</v>
          </cell>
          <cell r="B44" t="str">
            <v>FG-G</v>
          </cell>
          <cell r="C44" t="str">
            <v>THE NEXT GENERATION</v>
          </cell>
          <cell r="D44" t="str">
            <v>THE NEXT GENERATION</v>
          </cell>
          <cell r="E44" t="str">
            <v>Item</v>
          </cell>
          <cell r="F44" t="str">
            <v>Product</v>
          </cell>
          <cell r="H44" t="str">
            <v>BOM</v>
          </cell>
          <cell r="J44" t="str">
            <v>ROGUE SILVER 130 MSI 60 TX-FLEX</v>
          </cell>
        </row>
        <row r="45">
          <cell r="A45" t="str">
            <v>AX124-IR-2PA</v>
          </cell>
          <cell r="B45" t="str">
            <v>FG-G</v>
          </cell>
          <cell r="C45" t="str">
            <v>SHAFT, IRON/HYBRID,</v>
          </cell>
          <cell r="D45" t="str">
            <v>SHAFT, IRON/HYBRID,</v>
          </cell>
          <cell r="E45" t="str">
            <v>Item</v>
          </cell>
          <cell r="F45" t="str">
            <v>Product</v>
          </cell>
          <cell r="H45" t="str">
            <v>BOM</v>
          </cell>
          <cell r="J45" t="str">
            <v>35030-02/SHAFT, IRON/HYBRID, ALTA DISTANZA, SR FLEX #2</v>
          </cell>
        </row>
        <row r="46">
          <cell r="A46" t="str">
            <v>AX124-IR-3PA</v>
          </cell>
          <cell r="B46" t="str">
            <v>FG-G</v>
          </cell>
          <cell r="C46" t="str">
            <v>SHAFT, IRON/HYBRID,</v>
          </cell>
          <cell r="D46" t="str">
            <v>SHAFT, IRON/HYBRID,</v>
          </cell>
          <cell r="E46" t="str">
            <v>Item</v>
          </cell>
          <cell r="F46" t="str">
            <v>Product</v>
          </cell>
          <cell r="H46" t="str">
            <v>BOM</v>
          </cell>
          <cell r="J46" t="str">
            <v>35030-03/SHAFT, IRON/HYBRID, ALTA DISTANZA, SR FLEX #3</v>
          </cell>
        </row>
        <row r="47">
          <cell r="A47" t="str">
            <v>AX124-IR-4PA</v>
          </cell>
          <cell r="B47" t="str">
            <v>FG-G</v>
          </cell>
          <cell r="C47" t="str">
            <v>SHAFT, IRON/HYBRID,</v>
          </cell>
          <cell r="D47" t="str">
            <v>SHAFT, IRON/HYBRID,</v>
          </cell>
          <cell r="E47" t="str">
            <v>Item</v>
          </cell>
          <cell r="F47" t="str">
            <v>Product</v>
          </cell>
          <cell r="H47" t="str">
            <v>BOM</v>
          </cell>
          <cell r="J47" t="str">
            <v>35030-04/SHAFT, IRON/HYBRID, ALTA DISTANZA, SR FLEX #4</v>
          </cell>
        </row>
        <row r="48">
          <cell r="A48" t="str">
            <v>AX124-IR-5PA</v>
          </cell>
          <cell r="B48" t="str">
            <v>FG-G</v>
          </cell>
          <cell r="C48" t="str">
            <v>SHAFT, IRON/HYBRID,</v>
          </cell>
          <cell r="D48" t="str">
            <v>SHAFT, IRON/HYBRID,</v>
          </cell>
          <cell r="E48" t="str">
            <v>Item</v>
          </cell>
          <cell r="F48" t="str">
            <v>Product</v>
          </cell>
          <cell r="H48" t="str">
            <v>BOM</v>
          </cell>
          <cell r="J48" t="e">
            <v>#N/A</v>
          </cell>
        </row>
        <row r="49">
          <cell r="A49" t="str">
            <v>AX124-IR-6PA</v>
          </cell>
          <cell r="B49" t="str">
            <v>FG-G</v>
          </cell>
          <cell r="C49" t="str">
            <v>SHAFT, IRON/HYBRID,</v>
          </cell>
          <cell r="D49" t="str">
            <v>SHAFT, IRON/HYBRID,</v>
          </cell>
          <cell r="E49" t="str">
            <v>Item</v>
          </cell>
          <cell r="F49" t="str">
            <v>Product</v>
          </cell>
          <cell r="H49" t="str">
            <v>BOM</v>
          </cell>
          <cell r="J49" t="str">
            <v>35030-06/SHAFT, IRON/HYBRID, ALTA DISTANZA, SR FLEX #6</v>
          </cell>
        </row>
        <row r="50">
          <cell r="A50" t="str">
            <v>AX124-IR-7PA</v>
          </cell>
          <cell r="B50" t="str">
            <v>FG-G</v>
          </cell>
          <cell r="C50" t="str">
            <v>SHAFT, IRON/HYBRID,</v>
          </cell>
          <cell r="D50" t="str">
            <v>SHAFT, IRON/HYBRID,</v>
          </cell>
          <cell r="E50" t="str">
            <v>Item</v>
          </cell>
          <cell r="F50" t="str">
            <v>Product</v>
          </cell>
          <cell r="H50" t="str">
            <v>BOM</v>
          </cell>
          <cell r="J50" t="str">
            <v>35030-07/SHAFT, IRON/HYBRID, ALTA DISTANZA, SR FLEX #7</v>
          </cell>
        </row>
        <row r="51">
          <cell r="A51" t="str">
            <v>AX124-IR-8PA</v>
          </cell>
          <cell r="B51" t="str">
            <v>FG-G</v>
          </cell>
          <cell r="C51" t="str">
            <v>SHAFT, IRON/HYBRID,</v>
          </cell>
          <cell r="D51" t="str">
            <v>SHAFT, IRON/HYBRID,</v>
          </cell>
          <cell r="E51" t="str">
            <v>Item</v>
          </cell>
          <cell r="F51" t="str">
            <v>Product</v>
          </cell>
          <cell r="H51" t="str">
            <v>BOM</v>
          </cell>
          <cell r="J51" t="str">
            <v>35030-08/SHAFT, IRON/HYBRID, ALTA DISTANZA, SR FLEX #8</v>
          </cell>
        </row>
        <row r="52">
          <cell r="A52" t="str">
            <v>AX124-IR-9PA</v>
          </cell>
          <cell r="B52" t="str">
            <v>FG-G</v>
          </cell>
          <cell r="C52" t="str">
            <v>SHAFT, IRON/HYBRID,</v>
          </cell>
          <cell r="D52" t="str">
            <v>SHAFT, IRON/HYBRID,</v>
          </cell>
          <cell r="E52" t="str">
            <v>Item</v>
          </cell>
          <cell r="F52" t="str">
            <v>Product</v>
          </cell>
          <cell r="H52" t="str">
            <v>BOM</v>
          </cell>
          <cell r="J52" t="str">
            <v>35030-09/SHAFT, IRON/HYBRID, ALTA DISTANZA, SR FLEX #9</v>
          </cell>
        </row>
        <row r="53">
          <cell r="A53" t="str">
            <v>AX124-IR-PPA</v>
          </cell>
          <cell r="B53" t="str">
            <v>FG-G</v>
          </cell>
          <cell r="C53" t="str">
            <v>SHAFT, IRON/HYBRID,</v>
          </cell>
          <cell r="D53" t="str">
            <v>SHAFT, IRON/HYBRID,</v>
          </cell>
          <cell r="E53" t="str">
            <v>Item</v>
          </cell>
          <cell r="F53" t="str">
            <v>Product</v>
          </cell>
          <cell r="H53" t="str">
            <v>BOM</v>
          </cell>
          <cell r="J53" t="str">
            <v>35030-10/SHAFT, IRON/HYBRID, ALTA DISTANZA, SR FLEX #P</v>
          </cell>
        </row>
        <row r="54">
          <cell r="A54" t="str">
            <v>AX125-WA-3CA</v>
          </cell>
          <cell r="B54" t="str">
            <v>FG-G</v>
          </cell>
          <cell r="C54" t="str">
            <v>3501U1/SF WD ROGUE F</v>
          </cell>
          <cell r="D54" t="str">
            <v>3501U1/SF WD ROGUE F</v>
          </cell>
          <cell r="E54" t="str">
            <v>Item</v>
          </cell>
          <cell r="F54" t="str">
            <v>Product</v>
          </cell>
          <cell r="H54" t="str">
            <v>BOM</v>
          </cell>
          <cell r="J54" t="str">
            <v>3501U1/SF WD ROGUE FW 20 GR LGT</v>
          </cell>
        </row>
        <row r="55">
          <cell r="A55" t="str">
            <v>AX137-IS-3AA</v>
          </cell>
          <cell r="B55" t="str">
            <v>FG-G</v>
          </cell>
          <cell r="C55" t="str">
            <v>ROGUE® Black Hybrid  Gen2 90 TS-flex</v>
          </cell>
          <cell r="D55" t="str">
            <v>ROGUE® Black Hybrid</v>
          </cell>
          <cell r="E55" t="str">
            <v>Item</v>
          </cell>
          <cell r="F55" t="str">
            <v>Product</v>
          </cell>
          <cell r="H55" t="str">
            <v>BOM</v>
          </cell>
          <cell r="J55" t="e">
            <v>#N/A</v>
          </cell>
        </row>
        <row r="56">
          <cell r="A56" t="str">
            <v>AX138-ITX3AA</v>
          </cell>
          <cell r="B56" t="str">
            <v>FG-G</v>
          </cell>
          <cell r="C56" t="str">
            <v>ROGUE® Black Hybrid  Gen2 100 TX-flex</v>
          </cell>
          <cell r="D56" t="str">
            <v>ROGUE® Black Hybrid</v>
          </cell>
          <cell r="E56" t="str">
            <v>Item</v>
          </cell>
          <cell r="F56" t="str">
            <v>Product</v>
          </cell>
          <cell r="H56" t="str">
            <v>BOM</v>
          </cell>
          <cell r="J56" t="e">
            <v>#N/A</v>
          </cell>
        </row>
        <row r="57">
          <cell r="A57" t="str">
            <v>MX681-IS-2B</v>
          </cell>
          <cell r="B57" t="str">
            <v>FG-G</v>
          </cell>
          <cell r="C57" t="str">
            <v>MMT™ Utility Iron 105 S-flex (0.355 taper)</v>
          </cell>
          <cell r="D57" t="str">
            <v>MMT™ Utility Iron 10</v>
          </cell>
          <cell r="E57" t="str">
            <v>Item</v>
          </cell>
          <cell r="F57" t="str">
            <v>Product</v>
          </cell>
          <cell r="H57" t="str">
            <v>BOM</v>
          </cell>
          <cell r="J57" t="str">
            <v>MMT™ Utility Iron 105 S-flex (0.355 taper)</v>
          </cell>
        </row>
        <row r="58">
          <cell r="A58" t="str">
            <v>MX681-IS-4A</v>
          </cell>
          <cell r="B58" t="str">
            <v>FG-G</v>
          </cell>
          <cell r="C58" t="str">
            <v>MMT™ Taper Iron 105 S-flex (0.355 taper) 38.5"</v>
          </cell>
          <cell r="D58" t="str">
            <v>MMT™ Tour Iron 105 (</v>
          </cell>
          <cell r="E58" t="str">
            <v>Item</v>
          </cell>
          <cell r="F58" t="str">
            <v>Product</v>
          </cell>
          <cell r="H58" t="str">
            <v>BOM</v>
          </cell>
          <cell r="J58" t="str">
            <v>MMT™ Taper Iron 105 S-flex (0.355 taper) 38.5"</v>
          </cell>
        </row>
        <row r="59">
          <cell r="A59" t="str">
            <v>MX681-IS-5A</v>
          </cell>
          <cell r="B59" t="str">
            <v>FG-G</v>
          </cell>
          <cell r="C59" t="str">
            <v>MMT™ Taper Iron 105 S-flex (0.355 taper) 38"</v>
          </cell>
          <cell r="D59" t="str">
            <v>MMT™ Tour Iron 105 (</v>
          </cell>
          <cell r="E59" t="str">
            <v>Item</v>
          </cell>
          <cell r="F59" t="str">
            <v>Product</v>
          </cell>
          <cell r="H59" t="str">
            <v>BOM</v>
          </cell>
          <cell r="J59" t="str">
            <v>MMT™ Taper Iron 105 S-flex (0.355 taper) 38"</v>
          </cell>
        </row>
        <row r="60">
          <cell r="A60" t="str">
            <v>MX681-IS-6A</v>
          </cell>
          <cell r="B60" t="str">
            <v>FG-G</v>
          </cell>
          <cell r="C60" t="str">
            <v>MMT™ Taper Iron 105 S-flex (0.355 taper) 37.5"</v>
          </cell>
          <cell r="D60" t="str">
            <v>MMT™ Tour Iron 105 (</v>
          </cell>
          <cell r="E60" t="str">
            <v>Item</v>
          </cell>
          <cell r="F60" t="str">
            <v>Product</v>
          </cell>
          <cell r="H60" t="str">
            <v>BOM</v>
          </cell>
          <cell r="J60" t="str">
            <v>MMT™ Taper Iron 105 S-flex (0.355 taper) 37.5"</v>
          </cell>
        </row>
        <row r="61">
          <cell r="A61" t="str">
            <v>MX681-IS-7A</v>
          </cell>
          <cell r="B61" t="str">
            <v>FG-G</v>
          </cell>
          <cell r="C61" t="str">
            <v>MMT™ Taper Iron 105 S-flex (0.355 taper) 37"</v>
          </cell>
          <cell r="D61" t="str">
            <v>MMT™ Tour Iron 105 (</v>
          </cell>
          <cell r="E61" t="str">
            <v>Item</v>
          </cell>
          <cell r="F61" t="str">
            <v>Product</v>
          </cell>
          <cell r="H61" t="str">
            <v>BOM</v>
          </cell>
          <cell r="J61" t="str">
            <v>MMT™ Taper Iron 105 S-flex (0.355 taper) 37"</v>
          </cell>
        </row>
        <row r="62">
          <cell r="A62" t="str">
            <v>MX681-IS-8A</v>
          </cell>
          <cell r="B62" t="str">
            <v>FG-G</v>
          </cell>
          <cell r="C62" t="str">
            <v>MMT™ Taper Iron 105 S-flex (0.355 taper) 36.5"</v>
          </cell>
          <cell r="D62" t="str">
            <v>MMT™ Tour Iron 105 (</v>
          </cell>
          <cell r="E62" t="str">
            <v>Item</v>
          </cell>
          <cell r="F62" t="str">
            <v>Product</v>
          </cell>
          <cell r="H62" t="str">
            <v>BOM</v>
          </cell>
          <cell r="J62" t="str">
            <v>MMT™ Taper Iron 105 S-flex (0.355 taper) 36.5"</v>
          </cell>
        </row>
        <row r="63">
          <cell r="A63" t="str">
            <v>MX681-IS-9A</v>
          </cell>
          <cell r="B63" t="str">
            <v>FG-G</v>
          </cell>
          <cell r="C63" t="str">
            <v>MMT™ Taper Iron 105 S-flex (0.355 taper) 36"</v>
          </cell>
          <cell r="D63" t="str">
            <v>MMT™ Tour Iron 105 (</v>
          </cell>
          <cell r="E63" t="str">
            <v>Item</v>
          </cell>
          <cell r="F63" t="str">
            <v>Product</v>
          </cell>
          <cell r="H63" t="str">
            <v>BOM</v>
          </cell>
          <cell r="J63" t="str">
            <v>MMT™ Taper Iron 105 S-flex (0.355 taper) 36"</v>
          </cell>
        </row>
        <row r="64">
          <cell r="A64" t="str">
            <v>MX681-IS-PA</v>
          </cell>
          <cell r="B64" t="str">
            <v>FG-G</v>
          </cell>
          <cell r="C64" t="str">
            <v>MMT™ Taper Iron 105 S-flex (0.355 taper) 35.5"</v>
          </cell>
          <cell r="D64" t="str">
            <v>MMT™ Tour Iron 105 (</v>
          </cell>
          <cell r="E64" t="str">
            <v>Item</v>
          </cell>
          <cell r="F64" t="str">
            <v>Product</v>
          </cell>
          <cell r="H64" t="str">
            <v>BOM</v>
          </cell>
          <cell r="J64" t="str">
            <v>MMT™ Taper Iron 105 S-flex (0.355 taper) 35.5"</v>
          </cell>
        </row>
        <row r="65">
          <cell r="A65" t="str">
            <v>MX681-IS-SB</v>
          </cell>
          <cell r="B65" t="str">
            <v>FG-G</v>
          </cell>
          <cell r="C65" t="str">
            <v>MMT™ Scoring Wedge 105 S-flex (0.355 taper)</v>
          </cell>
          <cell r="D65" t="str">
            <v>MMT™ Scoring Wedge 1</v>
          </cell>
          <cell r="E65" t="str">
            <v>Item</v>
          </cell>
          <cell r="F65" t="str">
            <v>Product</v>
          </cell>
          <cell r="H65" t="str">
            <v>BOM</v>
          </cell>
          <cell r="J65" t="str">
            <v>MMT™ Scoring Wedge 105 S-flex (0.355 taper)</v>
          </cell>
        </row>
        <row r="66">
          <cell r="A66" t="str">
            <v>MX681-ITX2B</v>
          </cell>
          <cell r="B66" t="str">
            <v>FG-G</v>
          </cell>
          <cell r="C66" t="str">
            <v>MMT™ Utility Iron 105 TX-flex (0.355 taper)</v>
          </cell>
          <cell r="D66" t="str">
            <v>MMT™ Utility Iron 10</v>
          </cell>
          <cell r="E66" t="str">
            <v>Item</v>
          </cell>
          <cell r="F66" t="str">
            <v>Product</v>
          </cell>
          <cell r="H66" t="str">
            <v>BOM</v>
          </cell>
          <cell r="J66" t="str">
            <v>MMT™ Utility Iron 105 TX-flex (0.355 taper)</v>
          </cell>
        </row>
        <row r="67">
          <cell r="A67" t="str">
            <v>MX681-ITX4A</v>
          </cell>
          <cell r="B67" t="str">
            <v>FG-G</v>
          </cell>
          <cell r="C67" t="str">
            <v>MMT™ Taper Iron 105 TX-flex (0.355 taper) 38.5"</v>
          </cell>
          <cell r="D67" t="str">
            <v>MMT™ Tour Iron 105 (</v>
          </cell>
          <cell r="E67" t="str">
            <v>Item</v>
          </cell>
          <cell r="F67" t="str">
            <v>Product</v>
          </cell>
          <cell r="H67" t="str">
            <v>BOM</v>
          </cell>
          <cell r="J67" t="str">
            <v>MMT™ Taper Iron 105 TX-flex (0.355 taper) 38.5"</v>
          </cell>
        </row>
        <row r="68">
          <cell r="A68" t="str">
            <v>MX681-ITX5A</v>
          </cell>
          <cell r="B68" t="str">
            <v>FG-G</v>
          </cell>
          <cell r="C68" t="str">
            <v>MMT™ Taper Iron 105 TX-flex (0.355 taper) 38"</v>
          </cell>
          <cell r="D68" t="str">
            <v>MMT™ Tour Iron 105 (</v>
          </cell>
          <cell r="E68" t="str">
            <v>Item</v>
          </cell>
          <cell r="F68" t="str">
            <v>Product</v>
          </cell>
          <cell r="H68" t="str">
            <v>BOM</v>
          </cell>
          <cell r="J68" t="str">
            <v>MMT™ Taper Iron 105 TX-flex (0.355 taper) 38"</v>
          </cell>
        </row>
        <row r="69">
          <cell r="A69" t="str">
            <v>MX681-ITX6A</v>
          </cell>
          <cell r="B69" t="str">
            <v>FG-G</v>
          </cell>
          <cell r="C69" t="str">
            <v>MMT™ Taper Iron 105 TX-flex (0.355 taper) 37.5"</v>
          </cell>
          <cell r="D69" t="str">
            <v>MMT™ Tour Iron 105 (</v>
          </cell>
          <cell r="E69" t="str">
            <v>Item</v>
          </cell>
          <cell r="F69" t="str">
            <v>Product</v>
          </cell>
          <cell r="H69" t="str">
            <v>BOM</v>
          </cell>
          <cell r="J69" t="str">
            <v>MMT™ Taper Iron 105 TX-flex (0.355 taper) 37.5"</v>
          </cell>
        </row>
        <row r="70">
          <cell r="A70" t="str">
            <v>MX681-ITX7A</v>
          </cell>
          <cell r="B70" t="str">
            <v>FG-G</v>
          </cell>
          <cell r="C70" t="str">
            <v>MMT™ Taper Iron 105 TX-flex (0.355 taper) 37"</v>
          </cell>
          <cell r="D70" t="str">
            <v>MMT™ Tour Iron 105 (</v>
          </cell>
          <cell r="E70" t="str">
            <v>Item</v>
          </cell>
          <cell r="F70" t="str">
            <v>Product</v>
          </cell>
          <cell r="H70" t="str">
            <v>BOM</v>
          </cell>
          <cell r="J70" t="str">
            <v>MMT™ Taper Iron 105 TX-flex (0.355 taper) 37"</v>
          </cell>
        </row>
        <row r="71">
          <cell r="A71" t="str">
            <v>MX681-ITX8A</v>
          </cell>
          <cell r="B71" t="str">
            <v>FG-G</v>
          </cell>
          <cell r="C71" t="str">
            <v>MMT™ Taper Iron 105 TX-flex (0.355 taper) 36.5"</v>
          </cell>
          <cell r="D71" t="str">
            <v>MMT™ Tour Iron 105 (</v>
          </cell>
          <cell r="E71" t="str">
            <v>Item</v>
          </cell>
          <cell r="F71" t="str">
            <v>Product</v>
          </cell>
          <cell r="H71" t="str">
            <v>BOM</v>
          </cell>
          <cell r="J71" t="str">
            <v>MMT™ Taper Iron 105 TX-flex (0.355 taper) 36.5"</v>
          </cell>
        </row>
        <row r="72">
          <cell r="A72" t="str">
            <v>MX681-ITX9A</v>
          </cell>
          <cell r="B72" t="str">
            <v>FG-G</v>
          </cell>
          <cell r="C72" t="str">
            <v>MMT™ Taper Iron 105 TX-flex (0.355 taper) 36"</v>
          </cell>
          <cell r="D72" t="str">
            <v>MMT™ Tour Iron 105 (</v>
          </cell>
          <cell r="E72" t="str">
            <v>Item</v>
          </cell>
          <cell r="F72" t="str">
            <v>Product</v>
          </cell>
          <cell r="H72" t="str">
            <v>BOM</v>
          </cell>
          <cell r="J72" t="str">
            <v>MMT™ Taper Iron 105 TX-flex (0.355 taper) 36"</v>
          </cell>
        </row>
        <row r="73">
          <cell r="A73" t="str">
            <v>MX681-ITXPA</v>
          </cell>
          <cell r="B73" t="str">
            <v>FG-G</v>
          </cell>
          <cell r="C73" t="str">
            <v>MMT™ Taper Iron 105 TX-flex (0.355 taper) 35.5"</v>
          </cell>
          <cell r="D73" t="str">
            <v>MMT™ Tour Iron 105 (</v>
          </cell>
          <cell r="E73" t="str">
            <v>Item</v>
          </cell>
          <cell r="F73" t="str">
            <v>Product</v>
          </cell>
          <cell r="H73" t="str">
            <v>BOM</v>
          </cell>
          <cell r="J73" t="str">
            <v>MMT™ Taper Iron 105 TX-flex (0.355 taper) 35.5"</v>
          </cell>
        </row>
        <row r="74">
          <cell r="A74" t="str">
            <v>MX681-ITXSB</v>
          </cell>
          <cell r="B74" t="str">
            <v>FG-G</v>
          </cell>
          <cell r="C74" t="str">
            <v>MMT™ Scoring Wedge 105 TX-flex (0.355 taper)</v>
          </cell>
          <cell r="D74" t="str">
            <v>MMT™ Scoring Wedge 1</v>
          </cell>
          <cell r="E74" t="str">
            <v>Item</v>
          </cell>
          <cell r="F74" t="str">
            <v>Product</v>
          </cell>
          <cell r="H74" t="str">
            <v>BOM</v>
          </cell>
          <cell r="J74" t="str">
            <v>MMT™ Scoring Wedge 105 TX-flex (0.355 taper)</v>
          </cell>
        </row>
        <row r="75">
          <cell r="A75" t="str">
            <v>MX697-IL-1A</v>
          </cell>
          <cell r="B75" t="str">
            <v>FG-G</v>
          </cell>
          <cell r="C75" t="str">
            <v>MMT™ Iron 40 L-flex (Parallel)</v>
          </cell>
          <cell r="D75" t="str">
            <v>MMT Iron 40 L-flex (</v>
          </cell>
          <cell r="E75" t="str">
            <v>Item</v>
          </cell>
          <cell r="F75" t="str">
            <v>Product</v>
          </cell>
          <cell r="H75" t="str">
            <v>BOM</v>
          </cell>
          <cell r="J75" t="str">
            <v>MMT™ Iron 40 L-flex (Parallel)</v>
          </cell>
        </row>
        <row r="76">
          <cell r="A76" t="str">
            <v>MX699-IR-1A</v>
          </cell>
          <cell r="B76" t="str">
            <v>FG-G</v>
          </cell>
          <cell r="C76" t="str">
            <v>MMT™ Iron 60 R-flex (Parallel)</v>
          </cell>
          <cell r="D76" t="str">
            <v>MMT Iron 60 R-flex (</v>
          </cell>
          <cell r="E76" t="str">
            <v>Item</v>
          </cell>
          <cell r="F76" t="str">
            <v>Product</v>
          </cell>
          <cell r="H76" t="str">
            <v>BOM</v>
          </cell>
          <cell r="J76" t="str">
            <v>MMT™ Iron 60 R-flex (Parallel)</v>
          </cell>
        </row>
        <row r="77">
          <cell r="A77" t="str">
            <v>MX721-ITX2B</v>
          </cell>
          <cell r="B77" t="str">
            <v>FG-G</v>
          </cell>
          <cell r="C77" t="str">
            <v>MMT™ Utility Iron 125 TX-flex (0.355 taper)</v>
          </cell>
          <cell r="D77" t="str">
            <v>MMT™ Utility Iron 12</v>
          </cell>
          <cell r="E77" t="str">
            <v>Item</v>
          </cell>
          <cell r="F77" t="str">
            <v>Product</v>
          </cell>
          <cell r="H77" t="str">
            <v>BOM</v>
          </cell>
          <cell r="J77" t="str">
            <v>MMT™ Utility Iron 125 TX-flex (0.355 taper)</v>
          </cell>
        </row>
        <row r="78">
          <cell r="A78" t="str">
            <v>MX721-ITX8A</v>
          </cell>
          <cell r="B78" t="str">
            <v>FG-G</v>
          </cell>
          <cell r="C78" t="str">
            <v>MMT™ Taper Iron 125 TX-flex (0.355 taper) 36.5"</v>
          </cell>
          <cell r="D78" t="str">
            <v>MMT™ Tour Iron 125 (</v>
          </cell>
          <cell r="E78" t="str">
            <v>Item</v>
          </cell>
          <cell r="F78" t="str">
            <v>Product</v>
          </cell>
          <cell r="H78" t="str">
            <v>BOM</v>
          </cell>
          <cell r="J78" t="str">
            <v>MMT™ Taper Iron 125 TX-flex (0.355 taper) 36.5"</v>
          </cell>
        </row>
        <row r="79">
          <cell r="A79" t="str">
            <v>MX721-ITXSB</v>
          </cell>
          <cell r="B79" t="str">
            <v>FG-G</v>
          </cell>
          <cell r="C79" t="str">
            <v>MMT™ Scoring Wedge 125 TX-flex (0.355 taper)</v>
          </cell>
          <cell r="D79" t="str">
            <v>MMT™ Scoring Wedge 1</v>
          </cell>
          <cell r="E79" t="str">
            <v>Item</v>
          </cell>
          <cell r="F79" t="str">
            <v>Product</v>
          </cell>
          <cell r="H79" t="str">
            <v>BOM</v>
          </cell>
          <cell r="J79" t="str">
            <v>MMT™ Scoring Wedge 125 TX-flex (0.355 taper)</v>
          </cell>
        </row>
        <row r="80">
          <cell r="A80" t="str">
            <v>MX726-IR-4A</v>
          </cell>
          <cell r="B80" t="str">
            <v>FG-G</v>
          </cell>
          <cell r="C80" t="str">
            <v>MMT™ Taper Iron 85 R-flex (0.355 taper)</v>
          </cell>
          <cell r="D80" t="str">
            <v>MMT™ Tour Iron 85 (0</v>
          </cell>
          <cell r="E80" t="str">
            <v>Item</v>
          </cell>
          <cell r="F80" t="str">
            <v>Product</v>
          </cell>
          <cell r="H80" t="str">
            <v>BOM</v>
          </cell>
          <cell r="J80" t="str">
            <v>MMT™ Taper Iron 85 R-flex (0.355 taper)</v>
          </cell>
        </row>
        <row r="81">
          <cell r="A81" t="str">
            <v>MX726-IR-5A</v>
          </cell>
          <cell r="B81" t="str">
            <v>FG-G</v>
          </cell>
          <cell r="C81" t="str">
            <v>MMT™ Taper Iron 85 R-flex (0.355 taper)</v>
          </cell>
          <cell r="D81" t="str">
            <v>MMT™ Tour Iron 85 (0</v>
          </cell>
          <cell r="E81" t="str">
            <v>Item</v>
          </cell>
          <cell r="F81" t="str">
            <v>Product</v>
          </cell>
          <cell r="H81" t="str">
            <v>BOM</v>
          </cell>
          <cell r="J81" t="str">
            <v>MMT™ Taper Iron 85 R-flex (0.355 taper)</v>
          </cell>
        </row>
        <row r="82">
          <cell r="A82" t="str">
            <v>MX726-IR-6A</v>
          </cell>
          <cell r="B82" t="str">
            <v>FG-G</v>
          </cell>
          <cell r="C82" t="str">
            <v>MMT™ Taper Iron 85 R-flex (0.355 taper)</v>
          </cell>
          <cell r="D82" t="str">
            <v>MMT™ Tour Iron 85 (0</v>
          </cell>
          <cell r="E82" t="str">
            <v>Item</v>
          </cell>
          <cell r="F82" t="str">
            <v>Product</v>
          </cell>
          <cell r="H82" t="str">
            <v>BOM</v>
          </cell>
          <cell r="J82" t="str">
            <v>MMT™ Taper Iron 85 R-flex (0.355 taper)</v>
          </cell>
        </row>
        <row r="83">
          <cell r="A83" t="str">
            <v>MX726-IR-7A</v>
          </cell>
          <cell r="B83" t="str">
            <v>FG-G</v>
          </cell>
          <cell r="C83" t="str">
            <v>MMT™ Taper Iron 85 R-flex (0.355 taper)</v>
          </cell>
          <cell r="D83" t="str">
            <v>MMT™ Tour Iron 85 (0</v>
          </cell>
          <cell r="E83" t="str">
            <v>Item</v>
          </cell>
          <cell r="F83" t="str">
            <v>Product</v>
          </cell>
          <cell r="H83" t="str">
            <v>BOM</v>
          </cell>
          <cell r="J83" t="str">
            <v>MMT™ Taper Iron 85 R-flex (0.355 taper)</v>
          </cell>
        </row>
        <row r="84">
          <cell r="A84" t="str">
            <v>MX726-IR-8A</v>
          </cell>
          <cell r="B84" t="str">
            <v>FG-G</v>
          </cell>
          <cell r="C84" t="str">
            <v>MMT™ Taper Iron 85 R-flex (0.355 taper)</v>
          </cell>
          <cell r="D84" t="str">
            <v>MMT™ Tour Iron 85 (0</v>
          </cell>
          <cell r="E84" t="str">
            <v>Item</v>
          </cell>
          <cell r="F84" t="str">
            <v>Product</v>
          </cell>
          <cell r="H84" t="str">
            <v>BOM</v>
          </cell>
          <cell r="J84" t="str">
            <v>MMT™ Taper Iron 85 R-flex (0.355 taper)</v>
          </cell>
        </row>
        <row r="85">
          <cell r="A85" t="str">
            <v>MX726-IR-9A</v>
          </cell>
          <cell r="B85" t="str">
            <v>FG-G</v>
          </cell>
          <cell r="C85" t="str">
            <v>MMT™ Taper Iron 85 R-flex (0.355 taper)</v>
          </cell>
          <cell r="D85" t="str">
            <v>MMT™ Tour Iron 85 (0</v>
          </cell>
          <cell r="E85" t="str">
            <v>Item</v>
          </cell>
          <cell r="F85" t="str">
            <v>Product</v>
          </cell>
          <cell r="H85" t="str">
            <v>BOM</v>
          </cell>
          <cell r="J85" t="str">
            <v>MMT™ Taper Iron 85 R-flex (0.355 taper)</v>
          </cell>
        </row>
        <row r="86">
          <cell r="A86" t="str">
            <v>MX726-IR-PA</v>
          </cell>
          <cell r="B86" t="str">
            <v>FG-G</v>
          </cell>
          <cell r="C86" t="str">
            <v>MMT™ Taper Iron 85 R-flex (0.355 taper)</v>
          </cell>
          <cell r="D86" t="str">
            <v>MMT™ Tour Iron 85 (0</v>
          </cell>
          <cell r="E86" t="str">
            <v>Item</v>
          </cell>
          <cell r="F86" t="str">
            <v>Product</v>
          </cell>
          <cell r="H86" t="str">
            <v>BOM</v>
          </cell>
          <cell r="J86" t="str">
            <v>MMT™ Taper Iron 85 R-flex (0.355 taper)</v>
          </cell>
        </row>
        <row r="87">
          <cell r="A87" t="str">
            <v>MX726-IS-5A</v>
          </cell>
          <cell r="B87" t="str">
            <v>FG-G</v>
          </cell>
          <cell r="C87" t="str">
            <v>MMT™ Taper Iron 85 S-flex (0.355 taper)</v>
          </cell>
          <cell r="D87" t="str">
            <v>MMT™ Tour Iron 85 (0</v>
          </cell>
          <cell r="E87" t="str">
            <v>Item</v>
          </cell>
          <cell r="F87" t="str">
            <v>Product</v>
          </cell>
          <cell r="H87" t="str">
            <v>BOM</v>
          </cell>
          <cell r="J87" t="str">
            <v>MMT™ Taper Iron 85 S-flex (0.355 taper)</v>
          </cell>
        </row>
        <row r="88">
          <cell r="A88" t="str">
            <v>MX726-IS-6A</v>
          </cell>
          <cell r="B88" t="str">
            <v>FG-G</v>
          </cell>
          <cell r="C88" t="str">
            <v>MMT™ Taper Iron 85 S-flex (0.355 taper)</v>
          </cell>
          <cell r="D88" t="str">
            <v>MMT™ Tour Iron 85 (0</v>
          </cell>
          <cell r="E88" t="str">
            <v>Item</v>
          </cell>
          <cell r="F88" t="str">
            <v>Product</v>
          </cell>
          <cell r="H88" t="str">
            <v>BOM</v>
          </cell>
          <cell r="J88" t="str">
            <v>MMT™ Taper Iron 85 S-flex (0.355 taper)</v>
          </cell>
        </row>
        <row r="89">
          <cell r="A89" t="str">
            <v>MX726-IS-7A</v>
          </cell>
          <cell r="B89" t="str">
            <v>FG-G</v>
          </cell>
          <cell r="C89" t="str">
            <v>MMT™ Taper Iron 85 S-flex (0.355 taper)</v>
          </cell>
          <cell r="D89" t="str">
            <v>MMT™ Tour Iron 85 (0</v>
          </cell>
          <cell r="E89" t="str">
            <v>Item</v>
          </cell>
          <cell r="F89" t="str">
            <v>Product</v>
          </cell>
          <cell r="H89" t="str">
            <v>BOM</v>
          </cell>
          <cell r="J89" t="str">
            <v>MMT™ Taper Iron 85 S-flex (0.355 taper)</v>
          </cell>
        </row>
        <row r="90">
          <cell r="A90" t="str">
            <v>MX726-IS-8A</v>
          </cell>
          <cell r="B90" t="str">
            <v>FG-G</v>
          </cell>
          <cell r="C90" t="str">
            <v>MMT™ Taper Iron 85 S-flex (0.355 taper)</v>
          </cell>
          <cell r="D90" t="str">
            <v>MMT™ Tour Iron 85 (0</v>
          </cell>
          <cell r="E90" t="str">
            <v>Item</v>
          </cell>
          <cell r="F90" t="str">
            <v>Product</v>
          </cell>
          <cell r="H90" t="str">
            <v>BOM</v>
          </cell>
          <cell r="J90" t="str">
            <v>MMT™ Taper Iron 85 S-flex (0.355 taper)</v>
          </cell>
        </row>
        <row r="91">
          <cell r="A91" t="str">
            <v>MX726-IS-9A</v>
          </cell>
          <cell r="B91" t="str">
            <v>FG-G</v>
          </cell>
          <cell r="C91" t="str">
            <v>MMT™ Taper Iron 85 S-flex (0.355 taper)</v>
          </cell>
          <cell r="D91" t="str">
            <v>MMT™ Tour Iron 85 (0</v>
          </cell>
          <cell r="E91" t="str">
            <v>Item</v>
          </cell>
          <cell r="F91" t="str">
            <v>Product</v>
          </cell>
          <cell r="H91" t="str">
            <v>BOM</v>
          </cell>
          <cell r="J91" t="str">
            <v>MMT™ Taper Iron 85 S-flex (0.355 taper)</v>
          </cell>
        </row>
        <row r="92">
          <cell r="A92" t="str">
            <v>MX726-IS-PA</v>
          </cell>
          <cell r="B92" t="str">
            <v>FG-G</v>
          </cell>
          <cell r="C92" t="str">
            <v>MMT™ Taper Iron 85 S-flex (0.355 taper)</v>
          </cell>
          <cell r="D92" t="str">
            <v>MMT™ Tour Iron 85 (0</v>
          </cell>
          <cell r="E92" t="str">
            <v>Item</v>
          </cell>
          <cell r="F92" t="str">
            <v>Product</v>
          </cell>
          <cell r="H92" t="str">
            <v>BOM</v>
          </cell>
          <cell r="J92" t="str">
            <v>MMT™ Taper Iron 85 S-flex (0.355 taper)</v>
          </cell>
        </row>
        <row r="93">
          <cell r="A93" t="str">
            <v>MX728-IA-PA</v>
          </cell>
          <cell r="B93" t="str">
            <v>FG-G</v>
          </cell>
          <cell r="C93" t="str">
            <v>MMT™ Taper Iron 55 A-flex (0.355 taper)</v>
          </cell>
          <cell r="D93" t="str">
            <v>MMT™ Tour Iron 55 A-</v>
          </cell>
          <cell r="E93" t="str">
            <v>Item</v>
          </cell>
          <cell r="F93" t="str">
            <v>Product</v>
          </cell>
          <cell r="H93" t="str">
            <v>BOM</v>
          </cell>
          <cell r="J93" t="str">
            <v>MMT™ Taper Iron 55 A-flex (0.355 taper)</v>
          </cell>
        </row>
        <row r="94">
          <cell r="A94" t="str">
            <v>MX729-IR-6A</v>
          </cell>
          <cell r="B94" t="str">
            <v>FG-G</v>
          </cell>
          <cell r="C94" t="str">
            <v>MMT™ Taper Iron 65 R-flex (0.355 taper)</v>
          </cell>
          <cell r="D94" t="str">
            <v>MMT™ Tour Iron 65 R-</v>
          </cell>
          <cell r="E94" t="str">
            <v>Item</v>
          </cell>
          <cell r="F94" t="str">
            <v>Product</v>
          </cell>
          <cell r="H94" t="str">
            <v>BOM</v>
          </cell>
          <cell r="J94" t="str">
            <v>MMT™ Taper Iron 65 R-flex (0.355 taper)</v>
          </cell>
        </row>
        <row r="95">
          <cell r="A95" t="str">
            <v>MX729-IR-7A</v>
          </cell>
          <cell r="B95" t="str">
            <v>FG-G</v>
          </cell>
          <cell r="C95" t="str">
            <v>MMT™ Taper Iron 65 R-flex (0.355 taper)</v>
          </cell>
          <cell r="D95" t="str">
            <v>MMT™ Tour Iron 65 R-</v>
          </cell>
          <cell r="E95" t="str">
            <v>Item</v>
          </cell>
          <cell r="F95" t="str">
            <v>Product</v>
          </cell>
          <cell r="H95" t="str">
            <v>BOM</v>
          </cell>
          <cell r="J95" t="str">
            <v>MMT™ Taper Iron 65 R-flex (0.355 taper)</v>
          </cell>
        </row>
        <row r="96">
          <cell r="A96" t="str">
            <v>MX729-IR-9A</v>
          </cell>
          <cell r="B96" t="str">
            <v>FG-G</v>
          </cell>
          <cell r="C96" t="str">
            <v>MMT™ Taper Iron 65 R-flex (0.355 taper)</v>
          </cell>
          <cell r="D96" t="str">
            <v>MMT™ Tour Iron 65 R-</v>
          </cell>
          <cell r="E96" t="str">
            <v>Item</v>
          </cell>
          <cell r="F96" t="str">
            <v>Product</v>
          </cell>
          <cell r="H96" t="str">
            <v>BOM</v>
          </cell>
          <cell r="J96" t="str">
            <v>MMT™ Taper Iron 65 R-flex (0.355 taper)</v>
          </cell>
        </row>
        <row r="97">
          <cell r="A97" t="str">
            <v>SF240-IA-3A</v>
          </cell>
          <cell r="B97" t="str">
            <v>FG-G</v>
          </cell>
          <cell r="C97" t="str">
            <v>N8198801 / SHI-MCA MMT #3 A-flex</v>
          </cell>
          <cell r="D97" t="str">
            <v>N8198801 / SHI-MCA M</v>
          </cell>
          <cell r="E97" t="str">
            <v>Item</v>
          </cell>
          <cell r="F97" t="str">
            <v>Product</v>
          </cell>
          <cell r="H97" t="str">
            <v>BOM</v>
          </cell>
          <cell r="J97" t="str">
            <v>N8198801 / SHI-MCA MMT #3 A-flex</v>
          </cell>
        </row>
        <row r="98">
          <cell r="A98" t="str">
            <v>SF240-IA-4A</v>
          </cell>
          <cell r="B98" t="str">
            <v>FG-G</v>
          </cell>
          <cell r="C98" t="str">
            <v>N7285401 SHI-MCA MMT #4 A</v>
          </cell>
          <cell r="D98" t="str">
            <v>N7285401 SHI-MCA MMT</v>
          </cell>
          <cell r="E98" t="str">
            <v>Item</v>
          </cell>
          <cell r="F98" t="str">
            <v>Product</v>
          </cell>
          <cell r="H98" t="str">
            <v>BOM</v>
          </cell>
          <cell r="J98" t="str">
            <v>N7285401/SHI-MCA MMT #4 A</v>
          </cell>
        </row>
        <row r="99">
          <cell r="A99" t="str">
            <v>SF240-IA-5A</v>
          </cell>
          <cell r="B99" t="str">
            <v>FG-G</v>
          </cell>
          <cell r="C99" t="str">
            <v>N7285501 SHI-MCA MMT #5 A</v>
          </cell>
          <cell r="D99" t="str">
            <v>N7285501 SHI-MCA MMT</v>
          </cell>
          <cell r="E99" t="str">
            <v>Item</v>
          </cell>
          <cell r="F99" t="str">
            <v>Product</v>
          </cell>
          <cell r="H99" t="str">
            <v>BOM</v>
          </cell>
          <cell r="J99" t="str">
            <v>N7285501/SHI-MCA MMT #5 A</v>
          </cell>
        </row>
        <row r="100">
          <cell r="A100" t="str">
            <v>SF240-IA-6A</v>
          </cell>
          <cell r="B100" t="str">
            <v>FG-G</v>
          </cell>
          <cell r="C100" t="str">
            <v>N7285601 SHI-MCA MMT #6 A</v>
          </cell>
          <cell r="D100" t="str">
            <v>N7285601 SHI-MCA MMT</v>
          </cell>
          <cell r="E100" t="str">
            <v>Item</v>
          </cell>
          <cell r="F100" t="str">
            <v>Product</v>
          </cell>
          <cell r="H100" t="str">
            <v>BOM</v>
          </cell>
          <cell r="J100" t="str">
            <v>N7285601/SHI-MCA MMT #6 A</v>
          </cell>
        </row>
        <row r="101">
          <cell r="A101" t="str">
            <v>SF240-IA-7A</v>
          </cell>
          <cell r="B101" t="str">
            <v>FG-G</v>
          </cell>
          <cell r="C101" t="str">
            <v>N7285701 SHI-MCA MMT #7 A</v>
          </cell>
          <cell r="D101" t="str">
            <v>N7285701 SHI-MCA MMT</v>
          </cell>
          <cell r="E101" t="str">
            <v>Item</v>
          </cell>
          <cell r="F101" t="str">
            <v>Product</v>
          </cell>
          <cell r="H101" t="str">
            <v>BOM</v>
          </cell>
          <cell r="J101" t="str">
            <v>N7285701/SHI-MCA MMT #7 A</v>
          </cell>
        </row>
        <row r="102">
          <cell r="A102" t="str">
            <v>SF240-IA-8A</v>
          </cell>
          <cell r="B102" t="str">
            <v>FG-G</v>
          </cell>
          <cell r="C102" t="str">
            <v>N7285801 SHI-MCA MMT #8 A</v>
          </cell>
          <cell r="D102" t="str">
            <v>N7285801 SHI-MCA MMT</v>
          </cell>
          <cell r="E102" t="str">
            <v>Item</v>
          </cell>
          <cell r="F102" t="str">
            <v>Product</v>
          </cell>
          <cell r="H102" t="str">
            <v>BOM</v>
          </cell>
          <cell r="J102" t="str">
            <v>N7285801/SHI-MCA MMT #8 A</v>
          </cell>
        </row>
        <row r="103">
          <cell r="A103" t="str">
            <v>SF240-IA-9A</v>
          </cell>
          <cell r="B103" t="str">
            <v>FG-G</v>
          </cell>
          <cell r="C103" t="str">
            <v>N7285901 SHI-MCA MMT #9 A</v>
          </cell>
          <cell r="D103" t="str">
            <v>N7285901 SHI-MCA MMT</v>
          </cell>
          <cell r="E103" t="str">
            <v>Item</v>
          </cell>
          <cell r="F103" t="str">
            <v>Product</v>
          </cell>
          <cell r="H103" t="str">
            <v>BOM</v>
          </cell>
          <cell r="J103" t="str">
            <v>N7285901/SHI-MCA MMT #9 A</v>
          </cell>
        </row>
        <row r="104">
          <cell r="A104" t="str">
            <v>SF240-IA-PA</v>
          </cell>
          <cell r="B104" t="str">
            <v>FG-G</v>
          </cell>
          <cell r="C104" t="str">
            <v>N7286001 SHI-MCA MMT PW/AW A</v>
          </cell>
          <cell r="D104" t="str">
            <v>N7286001 SHI-MCA MMT</v>
          </cell>
          <cell r="E104" t="str">
            <v>Item</v>
          </cell>
          <cell r="F104" t="str">
            <v>Product</v>
          </cell>
          <cell r="H104" t="str">
            <v>BOM</v>
          </cell>
          <cell r="J104" t="str">
            <v>N7286001/SHI-MCA MMT PW/AW A</v>
          </cell>
        </row>
        <row r="105">
          <cell r="A105" t="str">
            <v>SF240-IR-3A</v>
          </cell>
          <cell r="B105" t="str">
            <v>FG-G</v>
          </cell>
          <cell r="C105" t="str">
            <v>N8198701 / SHI-MCA MMT #3 R-flex</v>
          </cell>
          <cell r="D105" t="str">
            <v>N8198701 / SHI-MCA M</v>
          </cell>
          <cell r="E105" t="str">
            <v>Item</v>
          </cell>
          <cell r="F105" t="str">
            <v>Product</v>
          </cell>
          <cell r="H105" t="str">
            <v>BOM</v>
          </cell>
          <cell r="J105" t="str">
            <v>N8198701 / SHI-MCA MMT #3 R-flex</v>
          </cell>
        </row>
        <row r="106">
          <cell r="A106" t="str">
            <v>SF240-IR-4A</v>
          </cell>
          <cell r="B106" t="str">
            <v>FG-G</v>
          </cell>
          <cell r="C106" t="str">
            <v>N7284601 SHI-MCA MMT #4 R</v>
          </cell>
          <cell r="D106" t="str">
            <v>N7284601 SHI-MCA MMT</v>
          </cell>
          <cell r="E106" t="str">
            <v>Item</v>
          </cell>
          <cell r="F106" t="str">
            <v>Product</v>
          </cell>
          <cell r="H106" t="str">
            <v>BOM</v>
          </cell>
          <cell r="J106" t="str">
            <v>N7284601/SHI-MCA MMT #4 R</v>
          </cell>
        </row>
        <row r="107">
          <cell r="A107" t="str">
            <v>SF240-IR-5A</v>
          </cell>
          <cell r="B107" t="str">
            <v>FG-G</v>
          </cell>
          <cell r="C107" t="str">
            <v>N7284701 SHI-MCA MMT #5 R</v>
          </cell>
          <cell r="D107" t="str">
            <v>N7284701 SHI-MCA MMT</v>
          </cell>
          <cell r="E107" t="str">
            <v>Item</v>
          </cell>
          <cell r="F107" t="str">
            <v>Product</v>
          </cell>
          <cell r="H107" t="str">
            <v>BOM</v>
          </cell>
          <cell r="J107" t="str">
            <v>N7284701/SHI-MCA MMT #5 R</v>
          </cell>
        </row>
        <row r="108">
          <cell r="A108" t="str">
            <v>SF240-IR-6A</v>
          </cell>
          <cell r="B108" t="str">
            <v>FG-G</v>
          </cell>
          <cell r="C108" t="str">
            <v>N7284801 SHI-MCA MMT #6 R</v>
          </cell>
          <cell r="D108" t="str">
            <v>N7284801 SHI-MCA MMT</v>
          </cell>
          <cell r="E108" t="str">
            <v>Item</v>
          </cell>
          <cell r="F108" t="str">
            <v>Product</v>
          </cell>
          <cell r="H108" t="str">
            <v>BOM</v>
          </cell>
          <cell r="J108" t="str">
            <v>N7284801/SHI-MCA MMT #6 R</v>
          </cell>
        </row>
        <row r="109">
          <cell r="A109" t="str">
            <v>SF240-IR-7A</v>
          </cell>
          <cell r="B109" t="str">
            <v>FG-G</v>
          </cell>
          <cell r="C109" t="str">
            <v>N7284901 SHI-MCA MMT #7 R</v>
          </cell>
          <cell r="D109" t="str">
            <v>N7284901 SHI-MCA MMT</v>
          </cell>
          <cell r="E109" t="str">
            <v>Item</v>
          </cell>
          <cell r="F109" t="str">
            <v>Product</v>
          </cell>
          <cell r="H109" t="str">
            <v>BOM</v>
          </cell>
          <cell r="J109" t="str">
            <v>N7284901/SHI-MCA MMT #7 R</v>
          </cell>
        </row>
        <row r="110">
          <cell r="A110" t="str">
            <v>SF240-IR-8A</v>
          </cell>
          <cell r="B110" t="str">
            <v>FG-G</v>
          </cell>
          <cell r="C110" t="str">
            <v>N7285001 SHI-MCA MMT #8 R</v>
          </cell>
          <cell r="D110" t="str">
            <v>N7285001 SHI-MCA MMT</v>
          </cell>
          <cell r="E110" t="str">
            <v>Item</v>
          </cell>
          <cell r="F110" t="str">
            <v>Product</v>
          </cell>
          <cell r="H110" t="str">
            <v>BOM</v>
          </cell>
          <cell r="J110" t="str">
            <v>N7285001/SHI-MCA MMT #8 R</v>
          </cell>
        </row>
        <row r="111">
          <cell r="A111" t="str">
            <v>SF240-IR-9A</v>
          </cell>
          <cell r="B111" t="str">
            <v>FG-G</v>
          </cell>
          <cell r="C111" t="str">
            <v>N7285101 SHI-MCA MMT #9 R</v>
          </cell>
          <cell r="D111" t="str">
            <v>N7285101 SHI-MCA MMT</v>
          </cell>
          <cell r="E111" t="str">
            <v>Item</v>
          </cell>
          <cell r="F111" t="str">
            <v>Product</v>
          </cell>
          <cell r="H111" t="str">
            <v>BOM</v>
          </cell>
          <cell r="J111" t="str">
            <v>N7285101/SHI-MCA MMT #9 R</v>
          </cell>
        </row>
        <row r="112">
          <cell r="A112" t="str">
            <v>SF240-IR-PA</v>
          </cell>
          <cell r="B112" t="str">
            <v>FG-G</v>
          </cell>
          <cell r="C112" t="str">
            <v>N7285201 SHI-MCA MMT PW/AW R</v>
          </cell>
          <cell r="D112" t="str">
            <v>N7285201 SHI-MCA MMT</v>
          </cell>
          <cell r="E112" t="str">
            <v>Item</v>
          </cell>
          <cell r="F112" t="str">
            <v>Product</v>
          </cell>
          <cell r="H112" t="str">
            <v>BOM</v>
          </cell>
          <cell r="J112" t="str">
            <v>N7285201/SHI-MCA MMT PW/AW R</v>
          </cell>
        </row>
        <row r="113">
          <cell r="A113" t="str">
            <v>SF240-IS-3A</v>
          </cell>
          <cell r="B113" t="str">
            <v>FG-G</v>
          </cell>
          <cell r="C113" t="str">
            <v>N8198601 / SHI-MCA MMT #3 S-flex</v>
          </cell>
          <cell r="D113" t="str">
            <v>N8198601 / SHI-MCA M</v>
          </cell>
          <cell r="E113" t="str">
            <v>Item</v>
          </cell>
          <cell r="F113" t="str">
            <v>Product</v>
          </cell>
          <cell r="H113" t="str">
            <v>BOM</v>
          </cell>
          <cell r="J113" t="str">
            <v>N8198601 / SHI-MCA MMT #3 S-flex</v>
          </cell>
        </row>
        <row r="114">
          <cell r="A114" t="str">
            <v>SF240-IS-4A</v>
          </cell>
          <cell r="B114" t="str">
            <v>FG-G</v>
          </cell>
          <cell r="C114" t="str">
            <v>N7283801 SHI-MCA MMT #4 S</v>
          </cell>
          <cell r="D114" t="str">
            <v>N7283801 SHI-MCA MMT</v>
          </cell>
          <cell r="E114" t="str">
            <v>Item</v>
          </cell>
          <cell r="F114" t="str">
            <v>Product</v>
          </cell>
          <cell r="H114" t="str">
            <v>BOM</v>
          </cell>
          <cell r="J114" t="str">
            <v>N7283801/SHI-MCA MMT #4 S</v>
          </cell>
        </row>
        <row r="115">
          <cell r="A115" t="str">
            <v>SF240-IS-5A</v>
          </cell>
          <cell r="B115" t="str">
            <v>FG-G</v>
          </cell>
          <cell r="C115" t="str">
            <v>N7283901 SHI-MCA MMT #5 S</v>
          </cell>
          <cell r="D115" t="str">
            <v>N7283901 SHI-MCA MMT</v>
          </cell>
          <cell r="E115" t="str">
            <v>Item</v>
          </cell>
          <cell r="F115" t="str">
            <v>Product</v>
          </cell>
          <cell r="H115" t="str">
            <v>BOM</v>
          </cell>
          <cell r="J115" t="str">
            <v>N7283901/SHI-MCA MMT #5 S</v>
          </cell>
        </row>
        <row r="116">
          <cell r="A116" t="str">
            <v>SF240-IS-6A</v>
          </cell>
          <cell r="B116" t="str">
            <v>FG-G</v>
          </cell>
          <cell r="C116" t="str">
            <v>N7284001 SHI-MCA MMT #6 S</v>
          </cell>
          <cell r="D116" t="str">
            <v>N7284001 SHI-MCA MMT</v>
          </cell>
          <cell r="E116" t="str">
            <v>Item</v>
          </cell>
          <cell r="F116" t="str">
            <v>Product</v>
          </cell>
          <cell r="H116" t="str">
            <v>BOM</v>
          </cell>
          <cell r="J116" t="str">
            <v>N7284001/SHI-MCA MMT #6 S</v>
          </cell>
        </row>
        <row r="117">
          <cell r="A117" t="str">
            <v>SF240-IS-7A</v>
          </cell>
          <cell r="B117" t="str">
            <v>FG-G</v>
          </cell>
          <cell r="C117" t="str">
            <v>N7284101 SHI-MCA MMT #7 S</v>
          </cell>
          <cell r="D117" t="str">
            <v>N7284101 SHI-MCA MMT</v>
          </cell>
          <cell r="E117" t="str">
            <v>Item</v>
          </cell>
          <cell r="F117" t="str">
            <v>Product</v>
          </cell>
          <cell r="H117" t="str">
            <v>BOM</v>
          </cell>
          <cell r="J117" t="str">
            <v>N7284101/SHI-MCA MMT #7 S</v>
          </cell>
        </row>
        <row r="118">
          <cell r="A118" t="str">
            <v>SF240-IS-8A</v>
          </cell>
          <cell r="B118" t="str">
            <v>FG-G</v>
          </cell>
          <cell r="C118" t="str">
            <v>N7284201 SHI-MCA MMT #8 S</v>
          </cell>
          <cell r="D118" t="str">
            <v>N7284201 SHI-MCA MMT</v>
          </cell>
          <cell r="E118" t="str">
            <v>Item</v>
          </cell>
          <cell r="F118" t="str">
            <v>Product</v>
          </cell>
          <cell r="H118" t="str">
            <v>BOM</v>
          </cell>
          <cell r="J118" t="str">
            <v>N7284201/SHI-MCA MMT #8 S</v>
          </cell>
        </row>
        <row r="119">
          <cell r="A119" t="str">
            <v>SF240-IS-9A</v>
          </cell>
          <cell r="B119" t="str">
            <v>FG-G</v>
          </cell>
          <cell r="C119" t="str">
            <v>N7284301 SHI-MCA MMT #9 S</v>
          </cell>
          <cell r="D119" t="str">
            <v>N7284301 SHI-MCA MMT</v>
          </cell>
          <cell r="E119" t="str">
            <v>Item</v>
          </cell>
          <cell r="F119" t="str">
            <v>Product</v>
          </cell>
          <cell r="H119" t="str">
            <v>BOM</v>
          </cell>
          <cell r="J119" t="str">
            <v>N7284301/SHI-MCA MMT #9 S</v>
          </cell>
        </row>
        <row r="120">
          <cell r="A120" t="str">
            <v>SF240-IS-PA</v>
          </cell>
          <cell r="B120" t="str">
            <v>FG-G</v>
          </cell>
          <cell r="C120" t="str">
            <v>N7284401 SHI-MCA MMT PW/AW S</v>
          </cell>
          <cell r="D120" t="str">
            <v>N7284401 SHI-MCA MMT</v>
          </cell>
          <cell r="E120" t="str">
            <v>Item</v>
          </cell>
          <cell r="F120" t="str">
            <v>Product</v>
          </cell>
          <cell r="H120" t="str">
            <v>BOM</v>
          </cell>
          <cell r="J120" t="str">
            <v>N7284401/SHI-MCA MMT PW/AW S</v>
          </cell>
        </row>
        <row r="121">
          <cell r="A121" t="str">
            <v>SF250-IX-3A</v>
          </cell>
          <cell r="B121" t="str">
            <v>FG-G</v>
          </cell>
          <cell r="C121" t="str">
            <v>N8197101 / Diamana THUMP HY 100 X-flex</v>
          </cell>
          <cell r="E121" t="str">
            <v>Item</v>
          </cell>
          <cell r="F121" t="str">
            <v>Product</v>
          </cell>
          <cell r="H121" t="str">
            <v>BOM</v>
          </cell>
          <cell r="J121" t="str">
            <v>N8197101 / Diamana THUMP HY 100 X-flex</v>
          </cell>
        </row>
        <row r="122">
          <cell r="A122" t="str">
            <v>SP392-IR-4A</v>
          </cell>
          <cell r="B122" t="str">
            <v>FG-G</v>
          </cell>
          <cell r="C122" t="str">
            <v>BASSARA B50 V300Ⅶ Iron  Flex-R</v>
          </cell>
          <cell r="D122" t="str">
            <v>BASSARA B50 V300Ⅶ Ir</v>
          </cell>
          <cell r="E122" t="str">
            <v>Item</v>
          </cell>
          <cell r="F122" t="str">
            <v>Product</v>
          </cell>
          <cell r="H122" t="str">
            <v>BOM</v>
          </cell>
          <cell r="J122" t="str">
            <v>BASSARA B50 V300Ⅶ Iron  Flex-R</v>
          </cell>
        </row>
        <row r="123">
          <cell r="A123" t="str">
            <v>TLVZWR60AZBA</v>
          </cell>
          <cell r="B123" t="str">
            <v>FG-G</v>
          </cell>
          <cell r="C123" t="str">
            <v>TL DURABILITY TESTING SHAFT R-FLEX</v>
          </cell>
          <cell r="D123" t="str">
            <v>TL DURABILITY TESTIN</v>
          </cell>
          <cell r="E123" t="str">
            <v>Item</v>
          </cell>
          <cell r="F123" t="str">
            <v>Product</v>
          </cell>
          <cell r="H123" t="str">
            <v>BOM</v>
          </cell>
          <cell r="J123" t="str">
            <v>TL DURABILITY TESTING SHAFT R-FLEX</v>
          </cell>
        </row>
        <row r="124">
          <cell r="A124" t="str">
            <v>XG004-IL-1A</v>
          </cell>
          <cell r="B124" t="str">
            <v>FG-G</v>
          </cell>
          <cell r="C124" t="str">
            <v>S-MMT-50-L MMT PARALLEL IRON 50L</v>
          </cell>
          <cell r="D124" t="str">
            <v>S-MMT-50-L MMT PARAL</v>
          </cell>
          <cell r="E124" t="str">
            <v>Item</v>
          </cell>
          <cell r="F124" t="str">
            <v>Product</v>
          </cell>
          <cell r="H124" t="str">
            <v>BOM</v>
          </cell>
          <cell r="J124" t="str">
            <v>S-MMT-50-L MMT PARALLEL IRON 50L</v>
          </cell>
        </row>
        <row r="125">
          <cell r="A125" t="str">
            <v>XG004-IR-1A</v>
          </cell>
          <cell r="B125" t="str">
            <v>FG-G</v>
          </cell>
          <cell r="C125" t="str">
            <v>S-MMT-70-R MMT PARALLEL IRON 70R</v>
          </cell>
          <cell r="D125" t="str">
            <v>S-MMT-70-R MMT PARAL</v>
          </cell>
          <cell r="E125" t="str">
            <v>Item</v>
          </cell>
          <cell r="F125" t="str">
            <v>Product</v>
          </cell>
          <cell r="H125" t="str">
            <v>BOM</v>
          </cell>
          <cell r="J125" t="str">
            <v>S-MMT-70-R MMT PARALLEL IRON 70R</v>
          </cell>
        </row>
        <row r="126">
          <cell r="A126" t="str">
            <v>YR161-ISRAA</v>
          </cell>
          <cell r="B126" t="str">
            <v>FG-G</v>
          </cell>
          <cell r="C126" t="str">
            <v>VI201-40W2,2020 RS Iron SR-flex #A</v>
          </cell>
          <cell r="D126" t="str">
            <v>VI20140W22020RSIronS</v>
          </cell>
          <cell r="E126" t="str">
            <v>Item</v>
          </cell>
          <cell r="F126" t="str">
            <v>Product</v>
          </cell>
          <cell r="H126" t="str">
            <v>BOM</v>
          </cell>
          <cell r="J126" t="str">
            <v>VI201-40W2,2020 RS Iron SR-flex #A</v>
          </cell>
        </row>
        <row r="127">
          <cell r="A127" t="str">
            <v>AU161-WA-1B</v>
          </cell>
          <cell r="B127" t="str">
            <v>FG-G</v>
          </cell>
          <cell r="C127" t="str">
            <v>KURO KAGE BLK Dual C</v>
          </cell>
          <cell r="D127" t="str">
            <v>KURO KAGE BLK Dual Core Tini Gen-5 50G A-FLEX</v>
          </cell>
          <cell r="J127" t="e">
            <v>#N/A</v>
          </cell>
        </row>
        <row r="128">
          <cell r="A128" t="str">
            <v>AU161-WR-1B</v>
          </cell>
          <cell r="B128" t="str">
            <v>FG-G</v>
          </cell>
          <cell r="C128" t="str">
            <v>KURO KAGE BLK Dual C</v>
          </cell>
          <cell r="D128" t="str">
            <v>KURO KAGE BLK Dual Core Tini Gen-5 50G R-FLEX</v>
          </cell>
          <cell r="J128" t="e">
            <v>#N/A</v>
          </cell>
        </row>
        <row r="129">
          <cell r="A129" t="str">
            <v>AU161-WS-1B</v>
          </cell>
          <cell r="B129" t="str">
            <v>FG-G</v>
          </cell>
          <cell r="C129" t="str">
            <v>KURO KAGE BLK Dual C</v>
          </cell>
          <cell r="D129" t="str">
            <v>KURO KAGE BLK Dual Core Tini Gen-5 50G S-FLEX</v>
          </cell>
          <cell r="J129" t="e">
            <v>#N/A</v>
          </cell>
        </row>
        <row r="130">
          <cell r="A130" t="str">
            <v>AU161-WX-1B</v>
          </cell>
          <cell r="B130" t="str">
            <v>FG-G</v>
          </cell>
          <cell r="C130" t="str">
            <v>KURO KAGE BLK Dual C</v>
          </cell>
          <cell r="D130" t="str">
            <v>KURO KAGE BLK Dual Core Tini Gen-5 50G X-FLEX</v>
          </cell>
          <cell r="J130" t="e">
            <v>#N/A</v>
          </cell>
        </row>
        <row r="131">
          <cell r="A131" t="str">
            <v>AU162-WA-1B</v>
          </cell>
          <cell r="B131" t="str">
            <v>FG-G</v>
          </cell>
          <cell r="C131" t="str">
            <v>KURO KAGE BLK Dual C</v>
          </cell>
          <cell r="D131" t="str">
            <v>KURO KAGE BLK Dual Core Tini Gen-5 55G A-FLEX</v>
          </cell>
          <cell r="J131" t="e">
            <v>#N/A</v>
          </cell>
        </row>
        <row r="132">
          <cell r="A132" t="str">
            <v>AU162-WR-1B</v>
          </cell>
          <cell r="B132" t="str">
            <v>FG-G</v>
          </cell>
          <cell r="C132" t="str">
            <v>KURO KAGE BLK Dual C</v>
          </cell>
          <cell r="D132" t="str">
            <v>KURO KAGE BLK Dual Core Tini Gen-5 55G R-FLEX</v>
          </cell>
          <cell r="J132" t="e">
            <v>#N/A</v>
          </cell>
        </row>
        <row r="133">
          <cell r="A133" t="str">
            <v>AU162-WS-1B</v>
          </cell>
          <cell r="B133" t="str">
            <v>FG-G</v>
          </cell>
          <cell r="C133" t="str">
            <v>KURO KAGE BLK Dual C</v>
          </cell>
          <cell r="D133" t="str">
            <v>KURO KAGE BLK Dual Core Tini Gen-5 55G S-FLEX</v>
          </cell>
          <cell r="J133" t="e">
            <v>#N/A</v>
          </cell>
        </row>
        <row r="134">
          <cell r="A134" t="str">
            <v>AU162-WX-1B</v>
          </cell>
          <cell r="B134" t="str">
            <v>FG-G</v>
          </cell>
          <cell r="C134" t="str">
            <v>KURO KAGE BLK Dual C</v>
          </cell>
          <cell r="D134" t="str">
            <v>KURO KAGE BLK Dual Core Tini Gen-5 55G X-FLEX</v>
          </cell>
          <cell r="J134" t="e">
            <v>#N/A</v>
          </cell>
        </row>
        <row r="135">
          <cell r="A135" t="str">
            <v>AU184-WS-1A</v>
          </cell>
          <cell r="B135" t="str">
            <v>FG-G</v>
          </cell>
          <cell r="C135" t="str">
            <v>TENSEI AV White (RAW</v>
          </cell>
          <cell r="D135" t="str">
            <v>TENSEI AV White (RAW) WOOD 65G S-FLEX</v>
          </cell>
          <cell r="J135" t="str">
            <v>TENSEI AV White (RAW) WOOD 65G S-FLEX</v>
          </cell>
        </row>
        <row r="136">
          <cell r="A136" t="str">
            <v>AU184-WX-1A</v>
          </cell>
          <cell r="B136" t="str">
            <v>FG-G</v>
          </cell>
          <cell r="C136" t="str">
            <v>TENSEI AV White (RAW</v>
          </cell>
          <cell r="D136" t="str">
            <v>TENSEI AV White (RAW) WOOD 65G X-FLEX</v>
          </cell>
          <cell r="J136" t="e">
            <v>#N/A</v>
          </cell>
        </row>
        <row r="137">
          <cell r="A137" t="str">
            <v>AU185-WS-1A</v>
          </cell>
          <cell r="B137" t="str">
            <v>FG-G</v>
          </cell>
          <cell r="C137" t="str">
            <v>TENSEI AV White (RAW</v>
          </cell>
          <cell r="D137" t="str">
            <v>TENSEI AV White (RAW) WOOD 75G S-FLEX</v>
          </cell>
          <cell r="J137" t="e">
            <v>#N/A</v>
          </cell>
        </row>
        <row r="138">
          <cell r="A138" t="str">
            <v>AU185-WX-1A</v>
          </cell>
          <cell r="B138" t="str">
            <v>FG-G</v>
          </cell>
          <cell r="C138" t="str">
            <v>TENSEI AV White (RAW</v>
          </cell>
          <cell r="D138" t="str">
            <v>TENSEI AV White (RAW) WOOD 75G X-FLEX</v>
          </cell>
          <cell r="J138" t="e">
            <v>#N/A</v>
          </cell>
        </row>
        <row r="139">
          <cell r="A139" t="str">
            <v>AU186-WS-1A</v>
          </cell>
          <cell r="B139" t="str">
            <v>FG-G</v>
          </cell>
          <cell r="C139" t="str">
            <v>TENSEI AV White (RAW</v>
          </cell>
          <cell r="D139" t="str">
            <v>TENSEI AV White (RAW) WOOD 85G S-FLEX</v>
          </cell>
          <cell r="J139" t="e">
            <v>#N/A</v>
          </cell>
        </row>
        <row r="140">
          <cell r="A140" t="str">
            <v>AU186-WX-1A</v>
          </cell>
          <cell r="B140" t="str">
            <v>FG-G</v>
          </cell>
          <cell r="C140" t="str">
            <v>TENSEI AV White (RAW</v>
          </cell>
          <cell r="D140" t="str">
            <v>TENSEI AV White (RAW) WOOD 85G X-FLEX</v>
          </cell>
          <cell r="J140" t="e">
            <v>#N/A</v>
          </cell>
        </row>
        <row r="141">
          <cell r="A141" t="str">
            <v>AX136-IR-3PA</v>
          </cell>
          <cell r="B141" t="str">
            <v>FG-G</v>
          </cell>
          <cell r="C141" t="str">
            <v>ROGUE BLACK( HYBRID,</v>
          </cell>
          <cell r="D141" t="str">
            <v>ROGUE BLACK( HYBRID, 2020 VERSION ) 85 R</v>
          </cell>
          <cell r="J141" t="e">
            <v>#N/A</v>
          </cell>
        </row>
        <row r="142">
          <cell r="A142" t="str">
            <v>AX136-IS-3PA</v>
          </cell>
          <cell r="B142" t="str">
            <v>FG-G</v>
          </cell>
          <cell r="C142" t="str">
            <v>ROGUE BLACK( HYBRID,</v>
          </cell>
          <cell r="D142" t="str">
            <v>ROGUE BLACK( HYBRID, 2020 VERSION ) 85 S</v>
          </cell>
          <cell r="J142" t="e">
            <v>#N/A</v>
          </cell>
        </row>
        <row r="143">
          <cell r="A143" t="str">
            <v>AX136-ITX3PA</v>
          </cell>
          <cell r="B143" t="str">
            <v>FG-G</v>
          </cell>
          <cell r="C143" t="str">
            <v>ROGUE BLACK( HYBRID,</v>
          </cell>
          <cell r="D143" t="str">
            <v>ROGUE BLACK( HYBRID, 2020 VERSION ) 85 TX</v>
          </cell>
          <cell r="J143" t="e">
            <v>#N/A</v>
          </cell>
        </row>
        <row r="144">
          <cell r="A144" t="str">
            <v>AX137-IS-3PA</v>
          </cell>
          <cell r="B144" t="str">
            <v>FG-G</v>
          </cell>
          <cell r="C144" t="str">
            <v>ROGUE BLACK( HYBRID,</v>
          </cell>
          <cell r="D144" t="str">
            <v>ROGUE BLACK( HYBRID, 2020 VERSION ) 95 S</v>
          </cell>
          <cell r="J144" t="e">
            <v>#N/A</v>
          </cell>
        </row>
        <row r="145">
          <cell r="A145" t="str">
            <v>AX137-ITX3PA</v>
          </cell>
          <cell r="B145" t="str">
            <v>FG-G</v>
          </cell>
          <cell r="C145" t="str">
            <v>ROGUE BLACK( HYBRID,</v>
          </cell>
          <cell r="D145" t="str">
            <v>ROGUE BLACK( HYBRID, 2020 VERSION ) 95 TX</v>
          </cell>
          <cell r="J145" t="str">
            <v>ROGUE BLACK( HYBRID, 2020 VERSION ) 95 TX</v>
          </cell>
        </row>
        <row r="146">
          <cell r="A146" t="str">
            <v>AX146-WR-1PA</v>
          </cell>
          <cell r="B146" t="str">
            <v>FG-G</v>
          </cell>
          <cell r="J146" t="e">
            <v>#N/A</v>
          </cell>
        </row>
        <row r="147">
          <cell r="A147" t="str">
            <v>AX146-WS-1PA</v>
          </cell>
          <cell r="B147" t="str">
            <v>FG-G</v>
          </cell>
          <cell r="J147" t="e">
            <v>#N/A</v>
          </cell>
        </row>
        <row r="148">
          <cell r="A148" t="str">
            <v>AX146-WX-1PA</v>
          </cell>
          <cell r="B148" t="str">
            <v>FG-G</v>
          </cell>
          <cell r="J148" t="e">
            <v>#N/A</v>
          </cell>
        </row>
        <row r="149">
          <cell r="A149" t="str">
            <v>AX147-WS-1PA</v>
          </cell>
          <cell r="B149" t="str">
            <v>FG-G</v>
          </cell>
          <cell r="J149" t="e">
            <v>#N/A</v>
          </cell>
        </row>
        <row r="150">
          <cell r="A150" t="str">
            <v>AX147-WX-1PA</v>
          </cell>
          <cell r="B150" t="str">
            <v>FG-G</v>
          </cell>
          <cell r="J150" t="e">
            <v>#N/A</v>
          </cell>
        </row>
        <row r="151">
          <cell r="A151" t="str">
            <v>AU196-WA-1A</v>
          </cell>
          <cell r="B151" t="str">
            <v>FG-G</v>
          </cell>
          <cell r="J151" t="e">
            <v>#N/A</v>
          </cell>
        </row>
        <row r="152">
          <cell r="A152" t="str">
            <v>AU196-WR-1A</v>
          </cell>
          <cell r="B152" t="str">
            <v>FG-G</v>
          </cell>
          <cell r="J152" t="e">
            <v>#N/A</v>
          </cell>
        </row>
        <row r="153">
          <cell r="A153" t="str">
            <v>AU196-WS-1A</v>
          </cell>
          <cell r="B153" t="str">
            <v>FG-G</v>
          </cell>
          <cell r="J153" t="e">
            <v>#N/A</v>
          </cell>
        </row>
        <row r="154">
          <cell r="A154" t="str">
            <v>AU197-WA-1A</v>
          </cell>
          <cell r="B154" t="str">
            <v>FG-G</v>
          </cell>
          <cell r="J154" t="e">
            <v>#N/A</v>
          </cell>
        </row>
        <row r="155">
          <cell r="A155" t="str">
            <v>AU197-WR-1A</v>
          </cell>
          <cell r="B155" t="str">
            <v>FG-G</v>
          </cell>
          <cell r="J155" t="e">
            <v>#N/A</v>
          </cell>
        </row>
        <row r="156">
          <cell r="A156" t="str">
            <v>AU197-WS-1A</v>
          </cell>
          <cell r="B156" t="str">
            <v>FG-G</v>
          </cell>
          <cell r="J156" t="e">
            <v>#N/A</v>
          </cell>
        </row>
        <row r="157">
          <cell r="A157" t="str">
            <v>CW100-WR-1B</v>
          </cell>
          <cell r="B157" t="str">
            <v>FG-G</v>
          </cell>
          <cell r="J157" t="e">
            <v>#N/A</v>
          </cell>
        </row>
        <row r="158">
          <cell r="A158" t="str">
            <v>CW100-WS-1B</v>
          </cell>
          <cell r="B158" t="str">
            <v>FG-G</v>
          </cell>
          <cell r="J158" t="e">
            <v>#N/A</v>
          </cell>
        </row>
        <row r="159">
          <cell r="A159" t="str">
            <v>CW100-WSR1B</v>
          </cell>
          <cell r="B159" t="str">
            <v>FG-G</v>
          </cell>
          <cell r="J159" t="e">
            <v>#N/A</v>
          </cell>
        </row>
        <row r="160">
          <cell r="A160" t="str">
            <v>AU196-WX-1A</v>
          </cell>
          <cell r="B160" t="str">
            <v>FG-G</v>
          </cell>
          <cell r="J160" t="e">
            <v>#N/A</v>
          </cell>
        </row>
        <row r="161">
          <cell r="A161" t="str">
            <v>AU197-WX-1A</v>
          </cell>
          <cell r="B161" t="str">
            <v>FG-G</v>
          </cell>
          <cell r="J161" t="e">
            <v>#N/A</v>
          </cell>
        </row>
        <row r="162">
          <cell r="A162" t="str">
            <v>AX067-IL-1WA</v>
          </cell>
          <cell r="B162" t="str">
            <v>FG-G</v>
          </cell>
          <cell r="J162" t="e">
            <v>#N/A</v>
          </cell>
        </row>
        <row r="163">
          <cell r="A163" t="str">
            <v>MX767-IS-3A</v>
          </cell>
          <cell r="B163" t="str">
            <v>FG-G</v>
          </cell>
          <cell r="J163" t="e">
            <v>#N/A</v>
          </cell>
        </row>
        <row r="164">
          <cell r="A164" t="str">
            <v>MX767-IX-3A</v>
          </cell>
          <cell r="B164" t="str">
            <v>FG-G</v>
          </cell>
          <cell r="J164" t="e">
            <v>#N/A</v>
          </cell>
        </row>
        <row r="165">
          <cell r="A165" t="str">
            <v>MX768-IA-3A</v>
          </cell>
          <cell r="B165" t="str">
            <v>FG-G</v>
          </cell>
          <cell r="J165" t="e">
            <v>#N/A</v>
          </cell>
        </row>
        <row r="166">
          <cell r="A166" t="str">
            <v>MX768-IR-3A</v>
          </cell>
          <cell r="B166" t="str">
            <v>FG-G</v>
          </cell>
          <cell r="J166" t="e">
            <v>#N/A</v>
          </cell>
        </row>
        <row r="167">
          <cell r="A167" t="str">
            <v>MX768-IS-3A</v>
          </cell>
          <cell r="B167" t="str">
            <v>FG-G</v>
          </cell>
          <cell r="J167" t="e">
            <v>#N/A</v>
          </cell>
        </row>
        <row r="168">
          <cell r="A168" t="str">
            <v>WS053-IA-1A</v>
          </cell>
          <cell r="B168" t="str">
            <v>FG-G</v>
          </cell>
          <cell r="J168" t="e">
            <v>#N/A</v>
          </cell>
        </row>
        <row r="169">
          <cell r="A169" t="str">
            <v>WS053-IR-1A</v>
          </cell>
          <cell r="B169" t="str">
            <v>FG-G</v>
          </cell>
          <cell r="J169" t="e">
            <v>#N/A</v>
          </cell>
        </row>
        <row r="170">
          <cell r="A170" t="str">
            <v>WS054-IS-1A</v>
          </cell>
          <cell r="B170" t="str">
            <v>FG-G</v>
          </cell>
          <cell r="J170" t="e">
            <v>#N/A</v>
          </cell>
        </row>
        <row r="171">
          <cell r="A171" t="str">
            <v>MX769-WS-1A</v>
          </cell>
          <cell r="B171" t="str">
            <v>FG-G</v>
          </cell>
          <cell r="J171" t="e">
            <v>#N/A</v>
          </cell>
        </row>
        <row r="172">
          <cell r="A172" t="str">
            <v>MX769-WX-1A</v>
          </cell>
          <cell r="B172" t="str">
            <v>FG-G</v>
          </cell>
          <cell r="J172" t="e">
            <v>#N/A</v>
          </cell>
        </row>
        <row r="173">
          <cell r="A173" t="str">
            <v>MX770-WS-1A</v>
          </cell>
          <cell r="B173" t="str">
            <v>FG-G</v>
          </cell>
          <cell r="J173" t="e">
            <v>#N/A</v>
          </cell>
        </row>
        <row r="174">
          <cell r="A174" t="str">
            <v>MX770-WX-1A</v>
          </cell>
          <cell r="B174" t="str">
            <v>FG-G</v>
          </cell>
          <cell r="J174" t="e">
            <v>#N/A</v>
          </cell>
        </row>
        <row r="175">
          <cell r="A175" t="str">
            <v>MX771-WS-1A</v>
          </cell>
          <cell r="B175" t="str">
            <v>FG-G</v>
          </cell>
          <cell r="J175" t="e">
            <v>#N/A</v>
          </cell>
        </row>
        <row r="176">
          <cell r="A176" t="str">
            <v>MX771-WX-1A</v>
          </cell>
          <cell r="B176" t="str">
            <v>FG-G</v>
          </cell>
          <cell r="J176" t="e">
            <v>#N/A</v>
          </cell>
        </row>
        <row r="177">
          <cell r="A177" t="str">
            <v>XG011-WR-1A</v>
          </cell>
          <cell r="B177" t="str">
            <v>FG-G</v>
          </cell>
          <cell r="J177" t="e">
            <v>#N/A</v>
          </cell>
        </row>
        <row r="178">
          <cell r="A178" t="str">
            <v>XG011-WS-1A</v>
          </cell>
          <cell r="B178" t="str">
            <v>FG-G</v>
          </cell>
          <cell r="J178" t="e">
            <v>#N/A</v>
          </cell>
        </row>
        <row r="179">
          <cell r="A179" t="str">
            <v>XG011-WX-1A</v>
          </cell>
          <cell r="B179" t="str">
            <v>FG-G</v>
          </cell>
          <cell r="J179" t="e">
            <v>#N/A</v>
          </cell>
        </row>
        <row r="180">
          <cell r="A180" t="str">
            <v>XG012-WS-1A</v>
          </cell>
          <cell r="B180" t="str">
            <v>FG-G</v>
          </cell>
          <cell r="J180" t="e">
            <v>#N/A</v>
          </cell>
        </row>
        <row r="181">
          <cell r="A181" t="str">
            <v>XG012-WX-1A</v>
          </cell>
          <cell r="B181" t="str">
            <v>FG-G</v>
          </cell>
          <cell r="J181" t="e">
            <v>#N/A</v>
          </cell>
        </row>
        <row r="182">
          <cell r="A182" t="str">
            <v>SU028-IR-3A</v>
          </cell>
          <cell r="B182" t="str">
            <v>FG-G</v>
          </cell>
          <cell r="J182" t="e">
            <v>#N/A</v>
          </cell>
        </row>
        <row r="183">
          <cell r="A183" t="str">
            <v>SU028-IS-3A</v>
          </cell>
          <cell r="B183" t="str">
            <v>FG-G</v>
          </cell>
          <cell r="J183" t="e">
            <v>#N/A</v>
          </cell>
        </row>
        <row r="184">
          <cell r="A184" t="str">
            <v>SU028-UR-1A</v>
          </cell>
          <cell r="B184" t="str">
            <v>FG-G</v>
          </cell>
          <cell r="J184" t="e">
            <v>#N/A</v>
          </cell>
        </row>
        <row r="185">
          <cell r="A185" t="str">
            <v>SU028-US-1A</v>
          </cell>
          <cell r="B185" t="str">
            <v>FG-G</v>
          </cell>
          <cell r="J185" t="e">
            <v>#N/A</v>
          </cell>
        </row>
        <row r="186">
          <cell r="A186" t="str">
            <v>SU028-WR-1A</v>
          </cell>
          <cell r="B186" t="str">
            <v>FG-G</v>
          </cell>
          <cell r="J186" t="e">
            <v>#N/A</v>
          </cell>
        </row>
        <row r="187">
          <cell r="A187" t="str">
            <v>SU028-WS-1A</v>
          </cell>
          <cell r="B187" t="str">
            <v>FG-G</v>
          </cell>
          <cell r="J187" t="e">
            <v>#N/A</v>
          </cell>
        </row>
        <row r="188">
          <cell r="A188" t="str">
            <v>SU028-WSR1A</v>
          </cell>
          <cell r="B188" t="str">
            <v>FG-G</v>
          </cell>
          <cell r="J188" t="e">
            <v>#N/A</v>
          </cell>
        </row>
        <row r="189">
          <cell r="A189" t="str">
            <v>SU029-IR-1A</v>
          </cell>
          <cell r="B189" t="str">
            <v>FG-G</v>
          </cell>
          <cell r="J189" t="e">
            <v>#N/A</v>
          </cell>
        </row>
        <row r="190">
          <cell r="A190" t="str">
            <v>SU029-IS-1A</v>
          </cell>
          <cell r="B190" t="str">
            <v>FG-G</v>
          </cell>
          <cell r="J190" t="e">
            <v>#N/A</v>
          </cell>
        </row>
        <row r="191">
          <cell r="A191" t="str">
            <v>SU029-WS-1A</v>
          </cell>
          <cell r="B191" t="str">
            <v>FG-G</v>
          </cell>
          <cell r="J191" t="e">
            <v>#N/A</v>
          </cell>
        </row>
        <row r="192">
          <cell r="A192" t="str">
            <v>SU029-WSR1A</v>
          </cell>
          <cell r="B192" t="str">
            <v>FG-G</v>
          </cell>
          <cell r="J192" t="e">
            <v>#N/A</v>
          </cell>
        </row>
        <row r="193">
          <cell r="A193" t="str">
            <v>CW106-IR-3A</v>
          </cell>
          <cell r="B193" t="str">
            <v>FG-G</v>
          </cell>
          <cell r="J193" t="e">
            <v>#N/A</v>
          </cell>
        </row>
        <row r="194">
          <cell r="A194" t="str">
            <v>CW106-IR-4A</v>
          </cell>
          <cell r="B194" t="str">
            <v>FG-G</v>
          </cell>
          <cell r="J194" t="str">
            <v>3513I2385 / SF IR MCA MMT TTIP 85 GR REG 38.5</v>
          </cell>
        </row>
        <row r="195">
          <cell r="A195" t="str">
            <v>CW106-IR-5A</v>
          </cell>
          <cell r="B195" t="str">
            <v>FG-G</v>
          </cell>
          <cell r="J195" t="str">
            <v>3513I2380 / SF IR MCA MMT TTIP 85 GR REG 38.0</v>
          </cell>
        </row>
        <row r="196">
          <cell r="A196" t="str">
            <v>CW106-IR-6A</v>
          </cell>
          <cell r="B196" t="str">
            <v>FG-G</v>
          </cell>
          <cell r="J196" t="str">
            <v>3513I2375 / SF IR MCA MMT TTIP 85 GR REG 37.5</v>
          </cell>
        </row>
        <row r="197">
          <cell r="A197" t="str">
            <v>CW106-IR-7A</v>
          </cell>
          <cell r="B197" t="str">
            <v>FG-G</v>
          </cell>
          <cell r="J197" t="str">
            <v>3513I2370 / SF IR MCA MMT TTIP 85 GR REG 37.0</v>
          </cell>
        </row>
        <row r="198">
          <cell r="A198" t="str">
            <v>CW106-IR-8A</v>
          </cell>
          <cell r="B198" t="str">
            <v>FG-G</v>
          </cell>
          <cell r="J198" t="str">
            <v>3513I2365 / SF IR MCA MMT TTIP 85 GR REG 36.5</v>
          </cell>
        </row>
        <row r="199">
          <cell r="A199" t="str">
            <v>CW106-IR-9A</v>
          </cell>
          <cell r="B199" t="str">
            <v>FG-G</v>
          </cell>
          <cell r="J199" t="str">
            <v>3513I2360 / SF IR MCA MMT TTIP 85 GR REG 36.0</v>
          </cell>
        </row>
        <row r="200">
          <cell r="A200" t="str">
            <v>CW106-IR-PA</v>
          </cell>
          <cell r="B200" t="str">
            <v>FG-G</v>
          </cell>
          <cell r="J200" t="str">
            <v>3513I2355 / SF IR MCA MMT TTIP 85 GR REG 35.5</v>
          </cell>
        </row>
        <row r="201">
          <cell r="A201" t="str">
            <v>CW107-IS-3A</v>
          </cell>
          <cell r="B201" t="str">
            <v>FG-G</v>
          </cell>
          <cell r="J201" t="str">
            <v>3513J3390 / SF IR MCA MMT TTIP 95 GR STF 39.0</v>
          </cell>
        </row>
        <row r="202">
          <cell r="A202" t="str">
            <v>CW107-IS-4A</v>
          </cell>
          <cell r="B202" t="str">
            <v>FG-G</v>
          </cell>
          <cell r="J202" t="str">
            <v>3513J3385 / SF IR MCA MMT TTIP 95 GR STF 38.5</v>
          </cell>
        </row>
        <row r="203">
          <cell r="A203" t="str">
            <v>CW107-IS-5A</v>
          </cell>
          <cell r="B203" t="str">
            <v>FG-G</v>
          </cell>
          <cell r="J203" t="str">
            <v>3513J3380 / SF IR MCA MMT TTIP 95 GR STF 38.0</v>
          </cell>
        </row>
        <row r="204">
          <cell r="A204" t="str">
            <v>CW107-IS-6A</v>
          </cell>
          <cell r="B204" t="str">
            <v>FG-G</v>
          </cell>
          <cell r="J204" t="str">
            <v>3513J3375 / SF IR MCA MMT TTIP 95 GR STF 37.5</v>
          </cell>
        </row>
        <row r="205">
          <cell r="A205" t="str">
            <v>CW107-IS-7A</v>
          </cell>
          <cell r="B205" t="str">
            <v>FG-G</v>
          </cell>
          <cell r="J205" t="str">
            <v>3513J3370 / SF IR MCA MMT TTIP 95 GR STF 37.0</v>
          </cell>
        </row>
        <row r="206">
          <cell r="A206" t="str">
            <v>CW107-IS-8A</v>
          </cell>
          <cell r="B206" t="str">
            <v>FG-G</v>
          </cell>
          <cell r="J206" t="str">
            <v>3513J3365 / SF IR MCA MMT TTIP 95 GR STF 36.5</v>
          </cell>
        </row>
        <row r="207">
          <cell r="A207" t="str">
            <v>CW107-IS-9A</v>
          </cell>
          <cell r="B207" t="str">
            <v>FG-G</v>
          </cell>
          <cell r="J207" t="str">
            <v>3513J3360 / SF IR MCA MMT TTIP 95 GR STF 36.0</v>
          </cell>
        </row>
        <row r="208">
          <cell r="A208" t="str">
            <v>CW107-IS-PA</v>
          </cell>
          <cell r="B208" t="str">
            <v>FG-G</v>
          </cell>
          <cell r="J208" t="str">
            <v>3513J3355 / SF IR MCA MMT TTIP 95 GR STF 35.5</v>
          </cell>
        </row>
        <row r="209">
          <cell r="A209" t="str">
            <v>CW108-ITX3A</v>
          </cell>
          <cell r="B209" t="str">
            <v>FG-G</v>
          </cell>
          <cell r="J209" t="str">
            <v>3513K4390 / SF IR MCA MMT TTIP 105 GR XST 39.0</v>
          </cell>
        </row>
        <row r="210">
          <cell r="A210" t="str">
            <v>CW108-ITX5A</v>
          </cell>
          <cell r="B210" t="str">
            <v>FG-G</v>
          </cell>
          <cell r="J210" t="str">
            <v>3513K4380 / SF IR MCA MMT TTIP 105 GR XST 38.0</v>
          </cell>
        </row>
        <row r="211">
          <cell r="A211" t="str">
            <v>CW108-ITX6A</v>
          </cell>
          <cell r="B211" t="str">
            <v>FG-G</v>
          </cell>
          <cell r="J211" t="str">
            <v>3513K4375 / SF IR MCA MMT TTIP 105 GR XST 37.5</v>
          </cell>
        </row>
        <row r="212">
          <cell r="A212" t="str">
            <v>CW108-ITX7A</v>
          </cell>
          <cell r="B212" t="str">
            <v>FG-G</v>
          </cell>
          <cell r="J212" t="str">
            <v>3513K4370 / SF IR MCA MMT TTIP 105 GR XST 37.0</v>
          </cell>
        </row>
        <row r="213">
          <cell r="A213" t="str">
            <v>CW108-ITX9A</v>
          </cell>
          <cell r="B213" t="str">
            <v>FG-G</v>
          </cell>
          <cell r="J213" t="str">
            <v>3513K4360 / SF IR MCA MMT TTIP 105 GR XST 36.0</v>
          </cell>
        </row>
        <row r="214">
          <cell r="A214" t="str">
            <v>CW108-ITXPA</v>
          </cell>
          <cell r="B214" t="str">
            <v>FG-G</v>
          </cell>
          <cell r="J214" t="str">
            <v>3513K4355 / SF IR MCA MMT TTIP 105 GR XST 35.5</v>
          </cell>
        </row>
        <row r="215">
          <cell r="A215" t="str">
            <v>CW109-WA-1A</v>
          </cell>
          <cell r="B215" t="str">
            <v>FG-G</v>
          </cell>
          <cell r="J215" t="e">
            <v>#N/A</v>
          </cell>
        </row>
        <row r="216">
          <cell r="A216" t="str">
            <v>CW109-WL-1A</v>
          </cell>
          <cell r="B216" t="str">
            <v>FG-G</v>
          </cell>
          <cell r="J216" t="e">
            <v>#N/A</v>
          </cell>
        </row>
        <row r="217">
          <cell r="A217" t="str">
            <v>CW109-WLL1A</v>
          </cell>
          <cell r="B217" t="str">
            <v>FG-G</v>
          </cell>
          <cell r="J217" t="e">
            <v>#N/A</v>
          </cell>
        </row>
        <row r="218">
          <cell r="A218" t="str">
            <v>CW109-WR-1A</v>
          </cell>
          <cell r="B218" t="str">
            <v>FG-G</v>
          </cell>
          <cell r="J218" t="e">
            <v>#N/A</v>
          </cell>
        </row>
        <row r="219">
          <cell r="A219" t="str">
            <v>CW110-WA-1A</v>
          </cell>
          <cell r="B219" t="str">
            <v>FG-G</v>
          </cell>
          <cell r="J219" t="e">
            <v>#N/A</v>
          </cell>
        </row>
        <row r="220">
          <cell r="A220" t="str">
            <v>CW110-WL-1A</v>
          </cell>
          <cell r="B220" t="str">
            <v>FG-G</v>
          </cell>
          <cell r="J220" t="e">
            <v>#N/A</v>
          </cell>
        </row>
        <row r="221">
          <cell r="A221" t="str">
            <v>CW110-WR-1A</v>
          </cell>
          <cell r="B221" t="str">
            <v>FG-G</v>
          </cell>
          <cell r="J221" t="e">
            <v>#N/A</v>
          </cell>
        </row>
        <row r="222">
          <cell r="A222" t="str">
            <v>CW110-WS-1A</v>
          </cell>
          <cell r="B222" t="str">
            <v>FG-G</v>
          </cell>
          <cell r="J222" t="e">
            <v>#N/A</v>
          </cell>
        </row>
        <row r="223">
          <cell r="A223" t="str">
            <v>CW111-WR-1A</v>
          </cell>
          <cell r="B223" t="str">
            <v>FG-G</v>
          </cell>
          <cell r="J223" t="e">
            <v>#N/A</v>
          </cell>
        </row>
        <row r="224">
          <cell r="A224" t="str">
            <v>CW111-WS-1A</v>
          </cell>
          <cell r="B224" t="str">
            <v>FG-G</v>
          </cell>
          <cell r="J224" t="e">
            <v>#N/A</v>
          </cell>
        </row>
        <row r="225">
          <cell r="A225" t="str">
            <v>CW112-WR-1A</v>
          </cell>
          <cell r="B225" t="str">
            <v>FG-G</v>
          </cell>
          <cell r="J225" t="e">
            <v>#N/A</v>
          </cell>
        </row>
        <row r="226">
          <cell r="A226" t="str">
            <v>CW112-WS-1A</v>
          </cell>
          <cell r="B226" t="str">
            <v>FG-G</v>
          </cell>
          <cell r="J226" t="e">
            <v>#N/A</v>
          </cell>
        </row>
        <row r="227">
          <cell r="A227" t="str">
            <v>MR112-IL-5A</v>
          </cell>
          <cell r="B227" t="str">
            <v>FG-G</v>
          </cell>
          <cell r="J227" t="e">
            <v>#N/A</v>
          </cell>
        </row>
        <row r="228">
          <cell r="A228" t="str">
            <v>MR112-IR-4A</v>
          </cell>
          <cell r="B228" t="str">
            <v>FG-G</v>
          </cell>
          <cell r="J228" t="e">
            <v>#N/A</v>
          </cell>
        </row>
        <row r="229">
          <cell r="A229" t="str">
            <v>MR112-UL-1A</v>
          </cell>
          <cell r="B229" t="str">
            <v>FG-G</v>
          </cell>
          <cell r="J229" t="e">
            <v>#N/A</v>
          </cell>
        </row>
        <row r="230">
          <cell r="A230" t="str">
            <v>MR112-UR-1A</v>
          </cell>
          <cell r="B230" t="str">
            <v>FG-G</v>
          </cell>
          <cell r="J230" t="e">
            <v>#N/A</v>
          </cell>
        </row>
        <row r="231">
          <cell r="A231" t="str">
            <v>MR112-WL-1A</v>
          </cell>
          <cell r="B231" t="str">
            <v>FG-G</v>
          </cell>
          <cell r="J231" t="e">
            <v>#N/A</v>
          </cell>
        </row>
        <row r="232">
          <cell r="A232" t="str">
            <v>MR112-WL-3A</v>
          </cell>
          <cell r="B232" t="str">
            <v>FG-G</v>
          </cell>
          <cell r="J232" t="e">
            <v>#N/A</v>
          </cell>
        </row>
        <row r="233">
          <cell r="A233" t="str">
            <v>MR112-WR-1A</v>
          </cell>
          <cell r="B233" t="str">
            <v>FG-G</v>
          </cell>
          <cell r="J233" t="e">
            <v>#N/A</v>
          </cell>
        </row>
        <row r="234">
          <cell r="A234" t="str">
            <v>MR112-WR-3A</v>
          </cell>
          <cell r="B234" t="str">
            <v>FG-G</v>
          </cell>
          <cell r="J234" t="e">
            <v>#N/A</v>
          </cell>
        </row>
        <row r="235">
          <cell r="A235" t="str">
            <v>MR112-WSR1A</v>
          </cell>
          <cell r="B235" t="str">
            <v>FG-G</v>
          </cell>
          <cell r="J235" t="e">
            <v>#N/A</v>
          </cell>
        </row>
        <row r="236">
          <cell r="A236" t="str">
            <v>MR112-WSR-1A</v>
          </cell>
          <cell r="B236" t="str">
            <v>FG-G</v>
          </cell>
          <cell r="J236" t="e">
            <v>#N/A</v>
          </cell>
        </row>
        <row r="237">
          <cell r="A237" t="str">
            <v>MR113-IR-5A</v>
          </cell>
          <cell r="B237" t="str">
            <v>FG-G</v>
          </cell>
          <cell r="J237" t="e">
            <v>#N/A</v>
          </cell>
        </row>
        <row r="238">
          <cell r="A238" t="str">
            <v>MR113-ISR5A</v>
          </cell>
          <cell r="B238" t="str">
            <v>FG-G</v>
          </cell>
          <cell r="J238" t="e">
            <v>#N/A</v>
          </cell>
        </row>
        <row r="239">
          <cell r="A239" t="str">
            <v>MR113-UR-3A</v>
          </cell>
          <cell r="B239" t="str">
            <v>FG-G</v>
          </cell>
          <cell r="J239" t="e">
            <v>#N/A</v>
          </cell>
        </row>
        <row r="240">
          <cell r="A240" t="str">
            <v>MR113-US-3A</v>
          </cell>
          <cell r="B240" t="str">
            <v>FG-G</v>
          </cell>
          <cell r="J240" t="e">
            <v>#N/A</v>
          </cell>
        </row>
        <row r="241">
          <cell r="A241" t="str">
            <v>MR113-USR3A</v>
          </cell>
          <cell r="B241" t="str">
            <v>FG-G</v>
          </cell>
          <cell r="J241" t="e">
            <v>#N/A</v>
          </cell>
        </row>
        <row r="242">
          <cell r="A242" t="str">
            <v>MR113-WR-1A</v>
          </cell>
          <cell r="B242" t="str">
            <v>FG-G</v>
          </cell>
          <cell r="J242" t="e">
            <v>#N/A</v>
          </cell>
        </row>
        <row r="243">
          <cell r="A243" t="str">
            <v>MR113-WR-3A</v>
          </cell>
          <cell r="B243" t="str">
            <v>FG-G</v>
          </cell>
          <cell r="J243" t="e">
            <v>#N/A</v>
          </cell>
        </row>
        <row r="244">
          <cell r="A244" t="str">
            <v>MR113-WS-1A</v>
          </cell>
          <cell r="B244" t="str">
            <v>FG-G</v>
          </cell>
          <cell r="J244" t="e">
            <v>#N/A</v>
          </cell>
        </row>
        <row r="245">
          <cell r="A245" t="str">
            <v>MR113-WS-3A</v>
          </cell>
          <cell r="B245" t="str">
            <v>FG-G</v>
          </cell>
          <cell r="J245" t="e">
            <v>#N/A</v>
          </cell>
        </row>
        <row r="246">
          <cell r="A246" t="str">
            <v>MR113-WSR1A</v>
          </cell>
          <cell r="B246" t="str">
            <v>FG-G</v>
          </cell>
          <cell r="J246" t="e">
            <v>#N/A</v>
          </cell>
        </row>
        <row r="247">
          <cell r="A247" t="str">
            <v>MR113-WSR3A</v>
          </cell>
          <cell r="B247" t="str">
            <v>FG-G</v>
          </cell>
          <cell r="J247" t="e">
            <v>#N/A</v>
          </cell>
        </row>
        <row r="248">
          <cell r="A248" t="str">
            <v>SU030-IS-PA</v>
          </cell>
          <cell r="B248" t="str">
            <v>FG-G</v>
          </cell>
          <cell r="J248" t="e">
            <v>#N/A</v>
          </cell>
        </row>
        <row r="249">
          <cell r="A249" t="str">
            <v>MR113-IL-5A</v>
          </cell>
          <cell r="B249" t="str">
            <v>FG-G</v>
          </cell>
          <cell r="J249" t="e">
            <v>#N/A</v>
          </cell>
        </row>
        <row r="250">
          <cell r="A250" t="str">
            <v>MR113-UL-4A</v>
          </cell>
          <cell r="B250" t="str">
            <v>FG-G</v>
          </cell>
          <cell r="J250" t="e">
            <v>#N/A</v>
          </cell>
        </row>
        <row r="251">
          <cell r="A251" t="str">
            <v>MR113-WL-1A</v>
          </cell>
          <cell r="B251" t="str">
            <v>FG-G</v>
          </cell>
          <cell r="J251" t="e">
            <v>#N/A</v>
          </cell>
        </row>
        <row r="252">
          <cell r="A252" t="str">
            <v>MR113-WL-3A</v>
          </cell>
          <cell r="B252" t="str">
            <v>FG-G</v>
          </cell>
          <cell r="J252" t="e">
            <v>#N/A</v>
          </cell>
        </row>
        <row r="253">
          <cell r="A253" t="str">
            <v>SF254-IS-1A</v>
          </cell>
          <cell r="B253" t="str">
            <v>FG-G</v>
          </cell>
          <cell r="J253" t="str">
            <v>N9068501/SHI 2021 Tensei BL TM60 S</v>
          </cell>
        </row>
        <row r="254">
          <cell r="A254" t="str">
            <v>AX154-WA-1EB</v>
          </cell>
          <cell r="B254" t="str">
            <v>FG-G</v>
          </cell>
          <cell r="J254" t="e">
            <v>#N/A</v>
          </cell>
        </row>
        <row r="255">
          <cell r="A255" t="str">
            <v>AX154-WL-1EB</v>
          </cell>
          <cell r="B255" t="str">
            <v>FG-G</v>
          </cell>
          <cell r="J255" t="e">
            <v>#N/A</v>
          </cell>
        </row>
        <row r="256">
          <cell r="A256" t="str">
            <v>AX154-WR-1EB</v>
          </cell>
          <cell r="B256" t="str">
            <v>FG-G</v>
          </cell>
          <cell r="J256" t="e">
            <v>#N/A</v>
          </cell>
        </row>
        <row r="257">
          <cell r="A257" t="str">
            <v>AX154-WS-1EB</v>
          </cell>
          <cell r="B257" t="str">
            <v>FG-G</v>
          </cell>
          <cell r="J257" t="e">
            <v>#N/A</v>
          </cell>
        </row>
        <row r="258">
          <cell r="A258" t="str">
            <v>AX154-WX-1EB</v>
          </cell>
          <cell r="B258" t="str">
            <v>FG-G</v>
          </cell>
          <cell r="J258" t="e">
            <v>#N/A</v>
          </cell>
        </row>
        <row r="259">
          <cell r="A259" t="str">
            <v>AX155-IA-1EB</v>
          </cell>
          <cell r="B259" t="str">
            <v>FG-G</v>
          </cell>
          <cell r="J259" t="e">
            <v>#N/A</v>
          </cell>
        </row>
        <row r="260">
          <cell r="A260" t="str">
            <v>AX155-IL-1EB</v>
          </cell>
          <cell r="B260" t="str">
            <v>FG-G</v>
          </cell>
          <cell r="J260" t="e">
            <v>#N/A</v>
          </cell>
        </row>
        <row r="261">
          <cell r="A261" t="str">
            <v>AX155-IR-1EB</v>
          </cell>
          <cell r="B261" t="str">
            <v>FG-G</v>
          </cell>
          <cell r="J261" t="e">
            <v>#N/A</v>
          </cell>
        </row>
        <row r="262">
          <cell r="A262" t="str">
            <v>AX155-IS-1EB</v>
          </cell>
          <cell r="B262" t="str">
            <v>FG-G</v>
          </cell>
          <cell r="J262" t="e">
            <v>#N/A</v>
          </cell>
        </row>
        <row r="263">
          <cell r="A263" t="str">
            <v>AX155-IX-1EB</v>
          </cell>
          <cell r="B263" t="str">
            <v>FG-G</v>
          </cell>
          <cell r="J263" t="e">
            <v>#N/A</v>
          </cell>
        </row>
        <row r="264">
          <cell r="A264" t="str">
            <v>CW106-IR-3A</v>
          </cell>
          <cell r="B264" t="str">
            <v>FG-G</v>
          </cell>
          <cell r="J264" t="e">
            <v>#N/A</v>
          </cell>
        </row>
        <row r="265">
          <cell r="A265" t="str">
            <v>CW107-IS-3A</v>
          </cell>
          <cell r="B265" t="str">
            <v>FG-G</v>
          </cell>
          <cell r="J265" t="str">
            <v>3513J3390 / SF IR MCA MMT TTIP 95 GR STF 39.0</v>
          </cell>
        </row>
        <row r="266">
          <cell r="A266" t="str">
            <v>CW108-ITX3A</v>
          </cell>
          <cell r="B266" t="str">
            <v>FG-G</v>
          </cell>
          <cell r="J266" t="e">
            <v>#N/A</v>
          </cell>
        </row>
        <row r="267">
          <cell r="A267" t="str">
            <v>CW108-ITX4A</v>
          </cell>
          <cell r="B267" t="str">
            <v>FG-G</v>
          </cell>
          <cell r="J267" t="str">
            <v>3513K4385 / SF IR MCA MMT TTIP 105 GR XST 38.5</v>
          </cell>
        </row>
        <row r="268">
          <cell r="A268" t="str">
            <v>CW108-ITX5A</v>
          </cell>
          <cell r="B268" t="str">
            <v>FG-G</v>
          </cell>
          <cell r="J268" t="str">
            <v>3513K4380 / SF IR MCA MMT TTIP 105 GR XST 38.0</v>
          </cell>
        </row>
        <row r="269">
          <cell r="A269" t="str">
            <v>CW108-ITX6A</v>
          </cell>
          <cell r="B269" t="str">
            <v>FG-G</v>
          </cell>
          <cell r="J269" t="str">
            <v>3513K4375 / SF IR MCA MMT TTIP 105 GR XST 37.5</v>
          </cell>
        </row>
        <row r="270">
          <cell r="A270" t="str">
            <v>CW108-ITX7A</v>
          </cell>
          <cell r="B270" t="str">
            <v>FG-G</v>
          </cell>
          <cell r="J270" t="str">
            <v>3513K4370 / SF IR MCA MMT TTIP 105 GR XST 37.0</v>
          </cell>
        </row>
        <row r="271">
          <cell r="A271" t="str">
            <v>CW108-ITX8A</v>
          </cell>
          <cell r="B271" t="str">
            <v>FG-G</v>
          </cell>
          <cell r="J271" t="str">
            <v>3513K4365 / SF IR MCA MMT TTIP 105 GR XST 36.5</v>
          </cell>
        </row>
        <row r="272">
          <cell r="A272" t="str">
            <v>CW108-ITX9A</v>
          </cell>
          <cell r="B272" t="str">
            <v>FG-G</v>
          </cell>
          <cell r="J272" t="str">
            <v>3513K4360 / SF IR MCA MMT TTIP 105 GR XST 36.0</v>
          </cell>
        </row>
        <row r="273">
          <cell r="A273" t="str">
            <v>CW108-ITXPA</v>
          </cell>
          <cell r="B273" t="str">
            <v>FG-G</v>
          </cell>
          <cell r="J273" t="str">
            <v>3513K4355 / SF IR MCA MMT TTIP 105 GR XST 35.5</v>
          </cell>
        </row>
        <row r="274">
          <cell r="A274" t="str">
            <v>MR113-IL-5A</v>
          </cell>
          <cell r="B274" t="str">
            <v>FG-G</v>
          </cell>
          <cell r="J274" t="e">
            <v>#N/A</v>
          </cell>
        </row>
        <row r="275">
          <cell r="A275" t="str">
            <v>MR113-ISR5A</v>
          </cell>
          <cell r="B275" t="str">
            <v>FG-G</v>
          </cell>
          <cell r="J275" t="e">
            <v>#N/A</v>
          </cell>
        </row>
        <row r="276">
          <cell r="A276" t="str">
            <v>MR113-UL-4A</v>
          </cell>
          <cell r="B276" t="str">
            <v>FG-G</v>
          </cell>
          <cell r="J276" t="e">
            <v>#N/A</v>
          </cell>
        </row>
        <row r="277">
          <cell r="A277" t="str">
            <v>MR113-UR-3A</v>
          </cell>
          <cell r="B277" t="str">
            <v>FG-G</v>
          </cell>
          <cell r="J277" t="e">
            <v>#N/A</v>
          </cell>
        </row>
        <row r="278">
          <cell r="A278" t="str">
            <v>MR113-US-3A</v>
          </cell>
          <cell r="B278" t="str">
            <v>FG-G</v>
          </cell>
          <cell r="J278" t="e">
            <v>#N/A</v>
          </cell>
        </row>
        <row r="279">
          <cell r="A279" t="str">
            <v>MR113-USR3A</v>
          </cell>
          <cell r="B279" t="str">
            <v>FG-G</v>
          </cell>
          <cell r="J279" t="e">
            <v>#N/A</v>
          </cell>
        </row>
        <row r="280">
          <cell r="A280" t="str">
            <v>MR113-WL-1A</v>
          </cell>
          <cell r="B280" t="str">
            <v>FG-G</v>
          </cell>
          <cell r="J280" t="e">
            <v>#N/A</v>
          </cell>
        </row>
        <row r="281">
          <cell r="A281" t="str">
            <v>MR113-WL-3A</v>
          </cell>
          <cell r="B281" t="str">
            <v>FG-G</v>
          </cell>
          <cell r="J281" t="e">
            <v>#N/A</v>
          </cell>
        </row>
        <row r="282">
          <cell r="A282" t="str">
            <v>MR113-WR-3A</v>
          </cell>
          <cell r="B282" t="str">
            <v>FG-G</v>
          </cell>
          <cell r="J282" t="e">
            <v>#N/A</v>
          </cell>
        </row>
        <row r="283">
          <cell r="A283" t="str">
            <v>MR113-WS-1A</v>
          </cell>
          <cell r="B283" t="str">
            <v>FG-G</v>
          </cell>
          <cell r="J283" t="e">
            <v>#N/A</v>
          </cell>
        </row>
        <row r="284">
          <cell r="A284" t="str">
            <v>MR113-WS-3A</v>
          </cell>
          <cell r="B284" t="str">
            <v>FG-G</v>
          </cell>
          <cell r="J284" t="e">
            <v>#N/A</v>
          </cell>
        </row>
        <row r="285">
          <cell r="A285" t="str">
            <v>MR113-WSR3A</v>
          </cell>
          <cell r="B285" t="str">
            <v>FG-G</v>
          </cell>
          <cell r="J285" t="e">
            <v>#N/A</v>
          </cell>
        </row>
        <row r="286">
          <cell r="A286" t="str">
            <v>SF245-WR-1D</v>
          </cell>
          <cell r="B286" t="str">
            <v>FG-G</v>
          </cell>
          <cell r="J286" t="e">
            <v>#N/A</v>
          </cell>
        </row>
        <row r="287">
          <cell r="A287" t="str">
            <v>SF245-WS-1D</v>
          </cell>
          <cell r="B287" t="str">
            <v>FG-G</v>
          </cell>
          <cell r="J287" t="e">
            <v>#N/A</v>
          </cell>
        </row>
        <row r="288">
          <cell r="A288" t="str">
            <v>SF245-WSR1D</v>
          </cell>
          <cell r="B288" t="str">
            <v>FG-G</v>
          </cell>
          <cell r="J288" t="e">
            <v>#N/A</v>
          </cell>
        </row>
        <row r="289">
          <cell r="A289" t="str">
            <v>SF246-WL-1D</v>
          </cell>
          <cell r="B289" t="str">
            <v>FG-G</v>
          </cell>
          <cell r="J289" t="str">
            <v>N9063501/SHF 2021 Tensei BL TM40 L (WM FW)</v>
          </cell>
        </row>
        <row r="290">
          <cell r="A290" t="str">
            <v>SF248-IA-1B</v>
          </cell>
          <cell r="B290" t="str">
            <v>FG-G</v>
          </cell>
          <cell r="J290" t="str">
            <v>N9068801/SHI 2021 Tensei BL TM40 A</v>
          </cell>
        </row>
        <row r="291">
          <cell r="A291" t="str">
            <v>SF248-IL-1B</v>
          </cell>
          <cell r="B291" t="str">
            <v>FG-G</v>
          </cell>
          <cell r="J291" t="str">
            <v>N9068701/SHI 2021 Tensei BL TM40 L</v>
          </cell>
        </row>
        <row r="292">
          <cell r="A292" t="str">
            <v>SF254-IR-1A　</v>
          </cell>
          <cell r="B292" t="str">
            <v>FG-G</v>
          </cell>
          <cell r="J292" t="e">
            <v>#N/A</v>
          </cell>
        </row>
        <row r="293">
          <cell r="A293" t="str">
            <v>SF254-IR-1A</v>
          </cell>
          <cell r="B293" t="str">
            <v>FG-G</v>
          </cell>
          <cell r="J293" t="str">
            <v>N9068601/SHI 2021 Tensei BL TM60 R</v>
          </cell>
        </row>
        <row r="294">
          <cell r="A294" t="str">
            <v>SU030-IS-PA</v>
          </cell>
          <cell r="B294" t="str">
            <v>FG-G</v>
          </cell>
          <cell r="J294" t="e">
            <v>#N/A</v>
          </cell>
        </row>
        <row r="295">
          <cell r="A295" t="str">
            <v>CW116-IR-3A</v>
          </cell>
          <cell r="B295" t="str">
            <v>FG-G</v>
          </cell>
          <cell r="J295" t="str">
            <v>3515O2 / SF HY MITSUBISHI MMT 70 GR REG (R-FLEX)</v>
          </cell>
        </row>
        <row r="296">
          <cell r="A296" t="str">
            <v>CW116-IS-3A</v>
          </cell>
          <cell r="B296" t="str">
            <v>FG-G</v>
          </cell>
          <cell r="J296" t="str">
            <v>3515P3 / SF HY MITSUBISHI MMT 80 GR STF (S-FLEX)</v>
          </cell>
        </row>
        <row r="297">
          <cell r="A297" t="str">
            <v>CW116-IX-3A</v>
          </cell>
          <cell r="B297" t="str">
            <v>FG-G</v>
          </cell>
          <cell r="J297" t="str">
            <v>3515P4 / SF HY MITSUBISHI MMT 80 GR XST (X-FLEX)</v>
          </cell>
        </row>
        <row r="298">
          <cell r="A298" t="str">
            <v>SF254-IS-1A　</v>
          </cell>
          <cell r="B298" t="str">
            <v>FG-G</v>
          </cell>
          <cell r="J298" t="e">
            <v>#N/A</v>
          </cell>
        </row>
        <row r="299">
          <cell r="A299" t="str">
            <v>SF246-WL-1C</v>
          </cell>
          <cell r="B299" t="str">
            <v>FG-G</v>
          </cell>
          <cell r="J299" t="str">
            <v>N9061801/SHF 2021 Tensei BL TM40 L (WM DR)</v>
          </cell>
        </row>
        <row r="300">
          <cell r="A300" t="str">
            <v>SF255-WR-1A</v>
          </cell>
          <cell r="B300" t="str">
            <v>FG-G</v>
          </cell>
          <cell r="J300" t="e">
            <v>#N/A</v>
          </cell>
        </row>
        <row r="301">
          <cell r="A301" t="str">
            <v>SF255-WS-1A</v>
          </cell>
          <cell r="B301" t="str">
            <v>FG-G</v>
          </cell>
          <cell r="J301" t="e">
            <v>#N/A</v>
          </cell>
        </row>
        <row r="302">
          <cell r="A302" t="str">
            <v>SF255-WX-1A</v>
          </cell>
          <cell r="B302" t="str">
            <v>FG-G</v>
          </cell>
          <cell r="J302" t="e">
            <v>#N/A</v>
          </cell>
        </row>
        <row r="303">
          <cell r="A303" t="str">
            <v>SF256-IS-1A</v>
          </cell>
          <cell r="B303" t="str">
            <v>FG-G</v>
          </cell>
          <cell r="J303" t="e">
            <v>#N/A</v>
          </cell>
        </row>
        <row r="304">
          <cell r="A304" t="str">
            <v>CW103-WR-1A</v>
          </cell>
          <cell r="B304" t="str">
            <v>FG-G</v>
          </cell>
          <cell r="J304" t="str">
            <v>3514O2 / SF WD MITSUBISHI MMT 60 GR REG (R-FLEX)</v>
          </cell>
        </row>
        <row r="305">
          <cell r="A305" t="str">
            <v>CW103-WS-1A</v>
          </cell>
          <cell r="B305" t="str">
            <v>FG-G</v>
          </cell>
          <cell r="J305" t="str">
            <v>3514O3 / SF WD MITSUBISHI MMT 60 GR STF (S-FLEX)</v>
          </cell>
        </row>
        <row r="306">
          <cell r="A306" t="str">
            <v>CW103-WX-1A</v>
          </cell>
          <cell r="B306" t="str">
            <v>FG-G</v>
          </cell>
          <cell r="J306" t="e">
            <v>#N/A</v>
          </cell>
        </row>
        <row r="307">
          <cell r="A307" t="str">
            <v>CW104-WR-1A</v>
          </cell>
          <cell r="B307" t="str">
            <v>FG-G</v>
          </cell>
          <cell r="J307" t="str">
            <v>3514P2 / SF WD MITSUBISHI MMT 70 GR REG (R-FLEX)</v>
          </cell>
        </row>
        <row r="308">
          <cell r="A308" t="str">
            <v>CW104-WS-1A</v>
          </cell>
          <cell r="B308" t="str">
            <v>FG-G</v>
          </cell>
          <cell r="J308" t="e">
            <v>#N/A</v>
          </cell>
        </row>
        <row r="309">
          <cell r="A309" t="str">
            <v>CW104-WX-1A</v>
          </cell>
          <cell r="B309" t="str">
            <v>FG-G</v>
          </cell>
          <cell r="J309" t="str">
            <v>3514P4 / SF WD MITSUBISHI MMT 70 GR XST (X-FLEX)</v>
          </cell>
        </row>
        <row r="310">
          <cell r="A310" t="str">
            <v>CW105-WS-1A</v>
          </cell>
          <cell r="B310" t="str">
            <v>FG-G</v>
          </cell>
          <cell r="J310" t="str">
            <v>3515J3 / SF WD MITSUBISHI MMT 80 GR STF (S-FLEX)</v>
          </cell>
        </row>
        <row r="311">
          <cell r="A311" t="str">
            <v>CW105-WX-1A</v>
          </cell>
          <cell r="B311" t="str">
            <v>FG-G</v>
          </cell>
          <cell r="J311" t="str">
            <v>3515J4 / SF WD MITSUBISHI MMT 80 GR XST (X-FLEX)</v>
          </cell>
        </row>
        <row r="312">
          <cell r="A312" t="str">
            <v>CW116-IA-3A</v>
          </cell>
          <cell r="B312" t="str">
            <v>FG-G</v>
          </cell>
          <cell r="J312" t="str">
            <v>3515O1 / SF HY MITSUBISHI MMT 70 GR LGT (A-FLEX)</v>
          </cell>
        </row>
        <row r="313">
          <cell r="A313" t="str">
            <v>SF245-WS-1C</v>
          </cell>
          <cell r="B313" t="str">
            <v>FG-G</v>
          </cell>
          <cell r="J313" t="e">
            <v>#N/A</v>
          </cell>
        </row>
        <row r="314">
          <cell r="A314" t="str">
            <v>SF245-WSR1C</v>
          </cell>
          <cell r="B314" t="str">
            <v>FG-G</v>
          </cell>
          <cell r="J314" t="e">
            <v>#N/A</v>
          </cell>
        </row>
        <row r="315">
          <cell r="A315" t="str">
            <v>SF245-WX-1C</v>
          </cell>
          <cell r="B315" t="str">
            <v>FG-G</v>
          </cell>
          <cell r="J315" t="e">
            <v>#N/A</v>
          </cell>
        </row>
        <row r="316">
          <cell r="A316" t="str">
            <v>SF246-WA-1C</v>
          </cell>
          <cell r="B316" t="str">
            <v>FG-G</v>
          </cell>
          <cell r="J316" t="e">
            <v>#N/A</v>
          </cell>
        </row>
        <row r="317">
          <cell r="A317" t="str">
            <v>SF246-WA-1D</v>
          </cell>
          <cell r="B317" t="str">
            <v>FG-G</v>
          </cell>
          <cell r="J317" t="e">
            <v>#N/A</v>
          </cell>
        </row>
        <row r="318">
          <cell r="A318" t="str">
            <v>SF253-WS-1A</v>
          </cell>
          <cell r="B318" t="str">
            <v>FG-G</v>
          </cell>
          <cell r="J318" t="e">
            <v>#N/A</v>
          </cell>
        </row>
        <row r="319">
          <cell r="A319" t="str">
            <v>SF258-WR-3A</v>
          </cell>
          <cell r="B319" t="str">
            <v>FG-G</v>
          </cell>
          <cell r="J319" t="e">
            <v>#N/A</v>
          </cell>
        </row>
        <row r="320">
          <cell r="A320" t="str">
            <v>SF258-WS-3A</v>
          </cell>
          <cell r="B320" t="str">
            <v>FG-G</v>
          </cell>
          <cell r="J320" t="e">
            <v>#N/A</v>
          </cell>
        </row>
        <row r="321">
          <cell r="A321" t="str">
            <v>SF259-IS-1A</v>
          </cell>
          <cell r="B321" t="str">
            <v>FG-G</v>
          </cell>
          <cell r="J321" t="e">
            <v>#N/A</v>
          </cell>
        </row>
        <row r="322">
          <cell r="A322" t="str">
            <v>MX669-IS-3A</v>
          </cell>
          <cell r="B322" t="str">
            <v>FG-G</v>
          </cell>
          <cell r="J322" t="str">
            <v>MMT™ Taper 95 S-flex (0.355 taper) 39"</v>
          </cell>
        </row>
        <row r="323">
          <cell r="A323" t="str">
            <v>MX669-IS-4A</v>
          </cell>
          <cell r="B323" t="str">
            <v>FG-G</v>
          </cell>
          <cell r="J323" t="e">
            <v>#N/A</v>
          </cell>
        </row>
        <row r="324">
          <cell r="A324" t="str">
            <v>MX669-IS-5A</v>
          </cell>
          <cell r="B324" t="str">
            <v>FG-G</v>
          </cell>
          <cell r="J324" t="str">
            <v>MMT™ Taper 95 S-flex (0.355 taper) 38"</v>
          </cell>
        </row>
        <row r="325">
          <cell r="A325" t="str">
            <v>MX669-IS-6A</v>
          </cell>
          <cell r="B325" t="str">
            <v>FG-G</v>
          </cell>
          <cell r="J325" t="str">
            <v>MMT™ Taper 95 S-flex (0.355 taper) 37.5"</v>
          </cell>
        </row>
        <row r="326">
          <cell r="A326" t="str">
            <v>MX669-IS-7A</v>
          </cell>
          <cell r="B326" t="str">
            <v>FG-G</v>
          </cell>
          <cell r="J326" t="str">
            <v>MMT™ Taper 95 S-flex (0.355 taper) 37"</v>
          </cell>
        </row>
        <row r="327">
          <cell r="A327" t="str">
            <v>MX669-IS-8A</v>
          </cell>
          <cell r="B327" t="str">
            <v>FG-G</v>
          </cell>
          <cell r="J327" t="str">
            <v>MMT™ Taper 95 S-flex (0.355 taper) 36.5"</v>
          </cell>
        </row>
        <row r="328">
          <cell r="A328" t="str">
            <v>MX669-IS-9A</v>
          </cell>
          <cell r="B328" t="str">
            <v>FG-G</v>
          </cell>
          <cell r="J328" t="str">
            <v>MMT™ Taper 95 S-flex (0.355 taper) 36"</v>
          </cell>
        </row>
        <row r="329">
          <cell r="A329" t="str">
            <v>MX669-IS-PA</v>
          </cell>
          <cell r="B329" t="str">
            <v>FG-G</v>
          </cell>
          <cell r="J329" t="str">
            <v>MMT™ Taper 95 S-flex (0.355 taper) 35.5"</v>
          </cell>
        </row>
        <row r="330">
          <cell r="A330" t="str">
            <v>SF258-WX-3A</v>
          </cell>
          <cell r="B330" t="str">
            <v>FG-G</v>
          </cell>
          <cell r="J330" t="e">
            <v>#N/A</v>
          </cell>
        </row>
        <row r="331">
          <cell r="A331" t="str">
            <v>SF259-IX-1A</v>
          </cell>
          <cell r="B331" t="str">
            <v>FG-G</v>
          </cell>
          <cell r="J331" t="e">
            <v>#N/A</v>
          </cell>
        </row>
        <row r="332">
          <cell r="A332" t="str">
            <v>SF259-IR-1A</v>
          </cell>
          <cell r="B332" t="str">
            <v>FG-G</v>
          </cell>
          <cell r="J332" t="e">
            <v>#N/A</v>
          </cell>
        </row>
        <row r="333">
          <cell r="A333" t="str">
            <v>SF256-IR-1A</v>
          </cell>
          <cell r="B333" t="str">
            <v>FG-G</v>
          </cell>
          <cell r="J333" t="e">
            <v>#N/A</v>
          </cell>
        </row>
        <row r="334">
          <cell r="A334" t="str">
            <v>AU172-IA-2B</v>
          </cell>
          <cell r="B334" t="str">
            <v>FG-G</v>
          </cell>
          <cell r="J334" t="e">
            <v>#N/A</v>
          </cell>
        </row>
        <row r="335">
          <cell r="A335" t="str">
            <v>AU172-IR-2B</v>
          </cell>
          <cell r="B335" t="str">
            <v>FG-G</v>
          </cell>
          <cell r="J335" t="e">
            <v>#N/A</v>
          </cell>
        </row>
        <row r="336">
          <cell r="A336" t="str">
            <v>AU172-IS-2B</v>
          </cell>
          <cell r="B336" t="str">
            <v>FG-G</v>
          </cell>
          <cell r="J336" t="e">
            <v>#N/A</v>
          </cell>
        </row>
        <row r="337">
          <cell r="A337" t="str">
            <v>AU173-IR-2B</v>
          </cell>
          <cell r="B337" t="str">
            <v>FG-G</v>
          </cell>
          <cell r="J337" t="e">
            <v>#N/A</v>
          </cell>
        </row>
        <row r="338">
          <cell r="A338" t="str">
            <v>AU173-IS-2B</v>
          </cell>
          <cell r="B338" t="str">
            <v>FG-G</v>
          </cell>
          <cell r="J338" t="e">
            <v>#N/A</v>
          </cell>
        </row>
        <row r="339">
          <cell r="A339" t="str">
            <v>AU189-IS-2A</v>
          </cell>
          <cell r="B339" t="str">
            <v>FG-G</v>
          </cell>
          <cell r="J339" t="e">
            <v>#N/A</v>
          </cell>
        </row>
        <row r="340">
          <cell r="A340" t="str">
            <v>AU189-IX-2A</v>
          </cell>
          <cell r="B340" t="str">
            <v>FG-G</v>
          </cell>
          <cell r="J340" t="e">
            <v>#N/A</v>
          </cell>
        </row>
        <row r="341">
          <cell r="A341" t="str">
            <v>AU193-IS-2A</v>
          </cell>
          <cell r="B341" t="str">
            <v>FG-G</v>
          </cell>
          <cell r="J341" t="e">
            <v>#N/A</v>
          </cell>
        </row>
        <row r="342">
          <cell r="A342" t="str">
            <v>AU193-IX-2A</v>
          </cell>
          <cell r="B342" t="str">
            <v>FG-G</v>
          </cell>
          <cell r="J342" t="e">
            <v>#N/A</v>
          </cell>
        </row>
        <row r="343">
          <cell r="A343" t="str">
            <v>MX721-IS-3A</v>
          </cell>
          <cell r="B343" t="str">
            <v>FG-G</v>
          </cell>
          <cell r="J343" t="e">
            <v>#N/A</v>
          </cell>
        </row>
        <row r="344">
          <cell r="A344" t="str">
            <v>MX721-IS-4A</v>
          </cell>
          <cell r="B344" t="str">
            <v>FG-G</v>
          </cell>
          <cell r="J344" t="str">
            <v>MMT™ Taper Iron 125 S-flex (0.355 taper) 38.5"</v>
          </cell>
        </row>
        <row r="345">
          <cell r="A345" t="str">
            <v>MX721-IS-5A</v>
          </cell>
          <cell r="B345" t="str">
            <v>FG-G</v>
          </cell>
          <cell r="J345" t="str">
            <v>MMT™ Taper Iron 125 S-flex (0.355 taper) 38"</v>
          </cell>
        </row>
        <row r="346">
          <cell r="A346" t="str">
            <v>MX721-IS-6A</v>
          </cell>
          <cell r="B346" t="str">
            <v>FG-G</v>
          </cell>
          <cell r="J346" t="str">
            <v>MMT™ Taper Iron 125 S-flex (0.355 taper) 37.5"</v>
          </cell>
        </row>
        <row r="347">
          <cell r="A347" t="str">
            <v>MX721-IS-7A</v>
          </cell>
          <cell r="B347" t="str">
            <v>FG-G</v>
          </cell>
          <cell r="J347" t="str">
            <v>MMT™ Taper Iron 125 S-flex (0.355 taper) 37"</v>
          </cell>
        </row>
        <row r="348">
          <cell r="A348" t="str">
            <v>MX721-IS-8A</v>
          </cell>
          <cell r="B348" t="str">
            <v>FG-G</v>
          </cell>
          <cell r="J348" t="str">
            <v>MMT™ Taper Iron 125 S-flex (0.355 taper) 36.5"</v>
          </cell>
        </row>
        <row r="349">
          <cell r="A349" t="str">
            <v>MX721-IS-9A</v>
          </cell>
          <cell r="B349" t="str">
            <v>FG-G</v>
          </cell>
          <cell r="J349" t="str">
            <v>MMT™ Taper Iron 125 S-flex (0.355 taper) 36"</v>
          </cell>
        </row>
        <row r="350">
          <cell r="A350" t="str">
            <v>MX721-IS-PA</v>
          </cell>
          <cell r="B350" t="str">
            <v>FG-G</v>
          </cell>
          <cell r="J350" t="str">
            <v>MMT™ Taper Iron 125 S-flex (0.355 taper) 35.5"</v>
          </cell>
        </row>
        <row r="351">
          <cell r="A351" t="str">
            <v>MX769-WTX1A</v>
          </cell>
          <cell r="B351" t="str">
            <v>FG-G</v>
          </cell>
          <cell r="J351" t="e">
            <v>#N/A</v>
          </cell>
        </row>
        <row r="352">
          <cell r="A352" t="str">
            <v>MX770-WTX1A</v>
          </cell>
          <cell r="B352" t="str">
            <v>FG-G</v>
          </cell>
          <cell r="J352" t="e">
            <v>#N/A</v>
          </cell>
        </row>
        <row r="353">
          <cell r="A353" t="str">
            <v>MX771-WTX1A</v>
          </cell>
          <cell r="B353" t="str">
            <v>FG-G</v>
          </cell>
          <cell r="J353" t="e">
            <v>#N/A</v>
          </cell>
        </row>
        <row r="354">
          <cell r="A354" t="str">
            <v>SF248-IA-1B　</v>
          </cell>
          <cell r="B354" t="str">
            <v>FG-G</v>
          </cell>
          <cell r="J354" t="e">
            <v>#N/A</v>
          </cell>
        </row>
        <row r="355">
          <cell r="A355" t="str">
            <v>SF248-IL-1B　</v>
          </cell>
          <cell r="B355" t="str">
            <v>FG-G</v>
          </cell>
          <cell r="J355" t="e">
            <v>#N/A</v>
          </cell>
        </row>
        <row r="356">
          <cell r="A356" t="str">
            <v>CW113-IR-2A</v>
          </cell>
          <cell r="B356" t="str">
            <v>FG-G</v>
          </cell>
          <cell r="J356" t="e">
            <v>#N/A</v>
          </cell>
        </row>
        <row r="357">
          <cell r="A357" t="str">
            <v>CW113-IS-2A</v>
          </cell>
          <cell r="B357" t="str">
            <v>FG-G</v>
          </cell>
          <cell r="J357" t="str">
            <v>3515I3405 / SF IR/HY MCA DIAMANA BLK/SLVR 55 GR STF JV</v>
          </cell>
        </row>
        <row r="358">
          <cell r="A358" t="str">
            <v>CW113-ISR2A</v>
          </cell>
          <cell r="B358" t="str">
            <v>FG-G</v>
          </cell>
          <cell r="J358" t="e">
            <v>#N/A</v>
          </cell>
        </row>
        <row r="359">
          <cell r="A359" t="str">
            <v>CW113-WR-1A</v>
          </cell>
          <cell r="B359" t="str">
            <v>FG-G</v>
          </cell>
          <cell r="J359" t="e">
            <v>#N/A</v>
          </cell>
        </row>
        <row r="360">
          <cell r="A360" t="str">
            <v>CW113-WS-1A</v>
          </cell>
          <cell r="B360" t="str">
            <v>FG-G</v>
          </cell>
          <cell r="J360" t="e">
            <v>#N/A</v>
          </cell>
        </row>
        <row r="361">
          <cell r="A361" t="str">
            <v>CW113-WSR1A</v>
          </cell>
          <cell r="B361" t="str">
            <v>FG-G</v>
          </cell>
          <cell r="J361" t="e">
            <v>#N/A</v>
          </cell>
        </row>
        <row r="362">
          <cell r="A362" t="str">
            <v>CW114-WR-1A</v>
          </cell>
          <cell r="B362" t="str">
            <v>FG-G</v>
          </cell>
          <cell r="J362" t="e">
            <v>#N/A</v>
          </cell>
        </row>
        <row r="363">
          <cell r="A363" t="str">
            <v>CW114-WS-1A</v>
          </cell>
          <cell r="B363" t="str">
            <v>FG-G</v>
          </cell>
          <cell r="J363" t="e">
            <v>#N/A</v>
          </cell>
        </row>
        <row r="364">
          <cell r="A364" t="str">
            <v>CW114-WSR1A</v>
          </cell>
          <cell r="B364" t="str">
            <v>FG-G</v>
          </cell>
          <cell r="J364" t="e">
            <v>#N/A</v>
          </cell>
        </row>
        <row r="365">
          <cell r="A365" t="str">
            <v>CW115-WL-1A</v>
          </cell>
          <cell r="B365" t="str">
            <v>FG-G</v>
          </cell>
          <cell r="J365" t="e">
            <v>#N/A</v>
          </cell>
        </row>
        <row r="366">
          <cell r="A366" t="str">
            <v>MX797-WR-1A</v>
          </cell>
          <cell r="B366" t="str">
            <v>FG-G</v>
          </cell>
          <cell r="J366" t="e">
            <v>#N/A</v>
          </cell>
        </row>
        <row r="367">
          <cell r="A367" t="str">
            <v>MX797-WS-1A</v>
          </cell>
          <cell r="B367" t="str">
            <v>FG-G</v>
          </cell>
          <cell r="J367" t="e">
            <v>#N/A</v>
          </cell>
        </row>
        <row r="368">
          <cell r="A368" t="str">
            <v>MX797-WX-1A</v>
          </cell>
          <cell r="B368" t="str">
            <v>FG-G</v>
          </cell>
          <cell r="J368" t="e">
            <v>#N/A</v>
          </cell>
        </row>
        <row r="369">
          <cell r="A369" t="str">
            <v>MX798-WS-1A</v>
          </cell>
          <cell r="B369" t="str">
            <v>FG-G</v>
          </cell>
          <cell r="J369" t="e">
            <v>#N/A</v>
          </cell>
        </row>
        <row r="370">
          <cell r="A370" t="str">
            <v>MX798-WX-1A</v>
          </cell>
          <cell r="B370" t="str">
            <v>FG-G</v>
          </cell>
          <cell r="J370" t="e">
            <v>#N/A</v>
          </cell>
        </row>
        <row r="371">
          <cell r="A371" t="str">
            <v>MX799-WS-1A</v>
          </cell>
          <cell r="B371" t="str">
            <v>FG-G</v>
          </cell>
          <cell r="J371" t="e">
            <v>#N/A</v>
          </cell>
        </row>
        <row r="372">
          <cell r="A372" t="str">
            <v>MX799-WX-1A</v>
          </cell>
          <cell r="B372" t="str">
            <v>FG-G</v>
          </cell>
          <cell r="J372" t="e">
            <v>#N/A</v>
          </cell>
        </row>
        <row r="373">
          <cell r="A373" t="str">
            <v>SKC02005</v>
          </cell>
          <cell r="B373" t="str">
            <v>RM-PPG</v>
          </cell>
          <cell r="J373" t="e">
            <v>#N/A</v>
          </cell>
        </row>
        <row r="374">
          <cell r="A374" t="str">
            <v>031049</v>
          </cell>
          <cell r="B374" t="str">
            <v>RM-PPG</v>
          </cell>
          <cell r="J374" t="e">
            <v>#N/A</v>
          </cell>
        </row>
        <row r="375">
          <cell r="A375" t="str">
            <v>051027</v>
          </cell>
          <cell r="B375" t="str">
            <v>RM-PPG</v>
          </cell>
          <cell r="J375" t="e">
            <v>#N/A</v>
          </cell>
        </row>
        <row r="376">
          <cell r="A376" t="str">
            <v>MX786-IS-2A</v>
          </cell>
          <cell r="B376" t="str">
            <v>FG-G</v>
          </cell>
          <cell r="J376" t="e">
            <v>#N/A</v>
          </cell>
        </row>
        <row r="377">
          <cell r="A377" t="str">
            <v>MX786-IX-2A</v>
          </cell>
          <cell r="B377" t="str">
            <v>FG-G</v>
          </cell>
          <cell r="J377" t="e">
            <v>#N/A</v>
          </cell>
        </row>
        <row r="378">
          <cell r="A378" t="str">
            <v>MX787-IX-2A</v>
          </cell>
          <cell r="B378" t="str">
            <v>FG-G</v>
          </cell>
          <cell r="J378" t="e">
            <v>#N/A</v>
          </cell>
        </row>
        <row r="379">
          <cell r="A379" t="str">
            <v>CW117-WS-1A</v>
          </cell>
          <cell r="B379" t="str">
            <v>FG-G</v>
          </cell>
          <cell r="J379" t="str">
            <v>3519G3/SF WD MCA TENSEI BLK/GRN 55 GR STF JV</v>
          </cell>
        </row>
        <row r="380">
          <cell r="A380" t="str">
            <v>CW117-WSR1A</v>
          </cell>
          <cell r="B380" t="str">
            <v>FG-G</v>
          </cell>
          <cell r="J380" t="e">
            <v>#N/A</v>
          </cell>
        </row>
        <row r="381">
          <cell r="A381" t="str">
            <v>MX798-WR-1A</v>
          </cell>
          <cell r="B381" t="str">
            <v>FG-G</v>
          </cell>
          <cell r="J381" t="e">
            <v>#N/A</v>
          </cell>
        </row>
        <row r="382">
          <cell r="A382" t="str">
            <v>SF253-WR-1A</v>
          </cell>
          <cell r="B382" t="str">
            <v>FG-G</v>
          </cell>
          <cell r="J382" t="e">
            <v>#N/A</v>
          </cell>
        </row>
        <row r="383">
          <cell r="A383" t="str">
            <v>SF253-WX-1A</v>
          </cell>
          <cell r="B383" t="str">
            <v>FG-G</v>
          </cell>
          <cell r="J383" t="e">
            <v>#N/A</v>
          </cell>
        </row>
        <row r="384">
          <cell r="A384" t="str">
            <v>MX705-IA-2B</v>
          </cell>
          <cell r="B384" t="str">
            <v>FG-G</v>
          </cell>
          <cell r="J384" t="e">
            <v>#N/A</v>
          </cell>
        </row>
        <row r="385">
          <cell r="A385" t="str">
            <v>MX705-IR-2B</v>
          </cell>
          <cell r="B385" t="str">
            <v>FG-G</v>
          </cell>
          <cell r="J385" t="e">
            <v>#N/A</v>
          </cell>
        </row>
        <row r="386">
          <cell r="A386" t="str">
            <v>MX705-IS-2B</v>
          </cell>
          <cell r="B386" t="str">
            <v>FG-G</v>
          </cell>
          <cell r="J386" t="e">
            <v>#N/A</v>
          </cell>
        </row>
        <row r="387">
          <cell r="A387" t="str">
            <v>MX706-IR-2B</v>
          </cell>
          <cell r="B387" t="str">
            <v>FG-G</v>
          </cell>
          <cell r="J387" t="e">
            <v>#N/A</v>
          </cell>
        </row>
        <row r="388">
          <cell r="A388" t="str">
            <v>MX706-IS-2B</v>
          </cell>
          <cell r="B388" t="str">
            <v>FG-G</v>
          </cell>
          <cell r="J388" t="e">
            <v>#N/A</v>
          </cell>
        </row>
        <row r="389">
          <cell r="A389" t="str">
            <v>MX787-IS-2A</v>
          </cell>
          <cell r="B389" t="str">
            <v>FG-G</v>
          </cell>
          <cell r="J389" t="e">
            <v>#N/A</v>
          </cell>
        </row>
        <row r="390">
          <cell r="A390" t="str">
            <v>MX788-WTX1A</v>
          </cell>
          <cell r="B390" t="str">
            <v>FG-G</v>
          </cell>
          <cell r="J390" t="e">
            <v>#N/A</v>
          </cell>
        </row>
        <row r="391">
          <cell r="A391" t="str">
            <v>MX789-WTX1A</v>
          </cell>
          <cell r="B391" t="str">
            <v>FG-G</v>
          </cell>
          <cell r="J391" t="e">
            <v>#N/A</v>
          </cell>
        </row>
        <row r="392">
          <cell r="A392" t="str">
            <v>MX790-WTX1A</v>
          </cell>
          <cell r="B392" t="str">
            <v>FG-G</v>
          </cell>
          <cell r="J392" t="e">
            <v>#N/A</v>
          </cell>
        </row>
        <row r="393">
          <cell r="A393" t="str">
            <v>MX800-WR-1A</v>
          </cell>
          <cell r="B393" t="str">
            <v>FG-G</v>
          </cell>
          <cell r="J393" t="e">
            <v>#N/A</v>
          </cell>
        </row>
        <row r="394">
          <cell r="A394" t="str">
            <v>MX800-WS-1A</v>
          </cell>
          <cell r="B394" t="str">
            <v>FG-G</v>
          </cell>
          <cell r="J394" t="e">
            <v>#N/A</v>
          </cell>
        </row>
        <row r="395">
          <cell r="A395" t="str">
            <v>MX800-WX-1A</v>
          </cell>
          <cell r="B395" t="str">
            <v>FG-G</v>
          </cell>
          <cell r="J395" t="e">
            <v>#N/A</v>
          </cell>
        </row>
        <row r="396">
          <cell r="A396" t="str">
            <v>MX801-WA-1A</v>
          </cell>
          <cell r="B396" t="str">
            <v>FG-G</v>
          </cell>
          <cell r="J396" t="e">
            <v>#N/A</v>
          </cell>
        </row>
        <row r="397">
          <cell r="A397" t="str">
            <v>MX801-WR-1A</v>
          </cell>
          <cell r="B397" t="str">
            <v>FG-G</v>
          </cell>
          <cell r="J397" t="e">
            <v>#N/A</v>
          </cell>
        </row>
        <row r="398">
          <cell r="A398" t="str">
            <v>MX801-WS-1A</v>
          </cell>
          <cell r="B398" t="str">
            <v>FG-G</v>
          </cell>
          <cell r="J398" t="e">
            <v>#N/A</v>
          </cell>
        </row>
        <row r="399">
          <cell r="A399" t="str">
            <v>CW118-IR-2A</v>
          </cell>
          <cell r="B399" t="str">
            <v>FG-G</v>
          </cell>
          <cell r="J399" t="e">
            <v>#N/A</v>
          </cell>
        </row>
        <row r="400">
          <cell r="A400" t="str">
            <v>CW118-IS-2A</v>
          </cell>
          <cell r="B400" t="str">
            <v>FG-G</v>
          </cell>
          <cell r="J400" t="e">
            <v>#N/A</v>
          </cell>
        </row>
        <row r="401">
          <cell r="A401" t="str">
            <v>CW118-ISR2A</v>
          </cell>
          <cell r="B401" t="str">
            <v>FG-G</v>
          </cell>
          <cell r="J401" t="e">
            <v>#N/A</v>
          </cell>
        </row>
        <row r="402">
          <cell r="A402" t="str">
            <v>CW115-WA-1A</v>
          </cell>
          <cell r="B402" t="str">
            <v>FG-G</v>
          </cell>
          <cell r="J402" t="e">
            <v>#N/A</v>
          </cell>
        </row>
        <row r="403">
          <cell r="A403" t="str">
            <v>SF243-WR-3B</v>
          </cell>
          <cell r="B403" t="str">
            <v>FG-G</v>
          </cell>
          <cell r="J403" t="e">
            <v>#N/A</v>
          </cell>
        </row>
        <row r="404">
          <cell r="A404" t="str">
            <v>SF243-WS-3B</v>
          </cell>
          <cell r="B404" t="str">
            <v>FG-G</v>
          </cell>
          <cell r="J404" t="e">
            <v>#N/A</v>
          </cell>
        </row>
        <row r="405">
          <cell r="A405" t="str">
            <v>SF245-WS-1E</v>
          </cell>
          <cell r="B405" t="str">
            <v>FG-G</v>
          </cell>
          <cell r="J405" t="e">
            <v>#N/A</v>
          </cell>
        </row>
        <row r="406">
          <cell r="A406" t="str">
            <v>SF245-WSR1E</v>
          </cell>
          <cell r="B406" t="str">
            <v>FG-G</v>
          </cell>
          <cell r="J406" t="e">
            <v>#N/A</v>
          </cell>
        </row>
        <row r="407">
          <cell r="A407" t="str">
            <v>SF245-WX-1E</v>
          </cell>
          <cell r="B407" t="str">
            <v>FG-G</v>
          </cell>
          <cell r="J407" t="e">
            <v>#N/A</v>
          </cell>
        </row>
        <row r="408">
          <cell r="A408" t="str">
            <v>CB034-IR-3A</v>
          </cell>
          <cell r="B408" t="str">
            <v>FG-G</v>
          </cell>
          <cell r="J408" t="str">
            <v>SH22GR008420/SH HY MCA MMT 70 GR 420</v>
          </cell>
        </row>
        <row r="409">
          <cell r="A409" t="str">
            <v>CB034-IS-3A</v>
          </cell>
          <cell r="B409" t="str">
            <v>FG-G</v>
          </cell>
          <cell r="J409" t="str">
            <v>SH22GS021420/SH HY MCA MMT 80 GS 420</v>
          </cell>
        </row>
        <row r="410">
          <cell r="A410" t="str">
            <v>CB034-IX-3A</v>
          </cell>
          <cell r="B410" t="str">
            <v>FG-G</v>
          </cell>
          <cell r="J410" t="str">
            <v>SH22GX021420/SH HY MCA MMT 80 GX 420</v>
          </cell>
        </row>
        <row r="411">
          <cell r="A411" t="str">
            <v>MR098-IS-4B</v>
          </cell>
          <cell r="B411" t="str">
            <v>FG-G</v>
          </cell>
          <cell r="J411" t="e">
            <v>#N/A</v>
          </cell>
        </row>
        <row r="412">
          <cell r="A412" t="str">
            <v>CW103-WS-1B</v>
          </cell>
          <cell r="B412" t="str">
            <v>FG-G</v>
          </cell>
          <cell r="J412" t="e">
            <v>#N/A</v>
          </cell>
        </row>
        <row r="413">
          <cell r="A413" t="str">
            <v>CW103-WX-1B</v>
          </cell>
          <cell r="B413" t="str">
            <v>FG-G</v>
          </cell>
          <cell r="J413" t="e">
            <v>#N/A</v>
          </cell>
        </row>
        <row r="414">
          <cell r="A414" t="str">
            <v>DS008-WA-1A</v>
          </cell>
          <cell r="B414" t="str">
            <v>FG-G</v>
          </cell>
          <cell r="J414" t="e">
            <v>#N/A</v>
          </cell>
        </row>
        <row r="415">
          <cell r="A415" t="str">
            <v>DS008-WL-1A</v>
          </cell>
          <cell r="B415" t="str">
            <v>FG-G</v>
          </cell>
          <cell r="J415" t="e">
            <v>#N/A</v>
          </cell>
        </row>
        <row r="416">
          <cell r="A416" t="str">
            <v>DS008-WR-1A</v>
          </cell>
          <cell r="B416" t="str">
            <v>FG-G</v>
          </cell>
          <cell r="J416" t="str">
            <v>7014463 / Tensei Wood 55gram R</v>
          </cell>
        </row>
        <row r="417">
          <cell r="A417" t="str">
            <v>DS008-WS-1A</v>
          </cell>
          <cell r="B417" t="str">
            <v>FG-G</v>
          </cell>
          <cell r="J417" t="str">
            <v>7014464 / Tensei Wood 65gram S</v>
          </cell>
        </row>
        <row r="418">
          <cell r="A418" t="str">
            <v>DS009-WA-3A</v>
          </cell>
          <cell r="B418" t="str">
            <v>FG-G</v>
          </cell>
          <cell r="J418" t="e">
            <v>#N/A</v>
          </cell>
        </row>
        <row r="419">
          <cell r="A419" t="str">
            <v>DS009-WR-3A</v>
          </cell>
          <cell r="B419" t="str">
            <v>FG-G</v>
          </cell>
          <cell r="J419" t="e">
            <v>#N/A</v>
          </cell>
        </row>
        <row r="420">
          <cell r="A420" t="str">
            <v>DS009-WS-3A</v>
          </cell>
          <cell r="B420" t="str">
            <v>FG-G</v>
          </cell>
          <cell r="J420" t="e">
            <v>#N/A</v>
          </cell>
        </row>
        <row r="421">
          <cell r="A421" t="str">
            <v>DS010-IA-1A</v>
          </cell>
          <cell r="B421" t="str">
            <v>FG-G</v>
          </cell>
          <cell r="J421" t="e">
            <v>#N/A</v>
          </cell>
        </row>
        <row r="422">
          <cell r="A422" t="str">
            <v>DS010-IL-1A</v>
          </cell>
          <cell r="B422" t="str">
            <v>FG-G</v>
          </cell>
          <cell r="J422" t="e">
            <v>#N/A</v>
          </cell>
        </row>
        <row r="423">
          <cell r="A423" t="str">
            <v>DS010-IR-1A</v>
          </cell>
          <cell r="B423" t="str">
            <v>FG-G</v>
          </cell>
          <cell r="J423" t="e">
            <v>#N/A</v>
          </cell>
        </row>
        <row r="424">
          <cell r="A424" t="str">
            <v>DS010-IS-1A</v>
          </cell>
          <cell r="B424" t="str">
            <v>FG-G</v>
          </cell>
          <cell r="J424" t="e">
            <v>#N/A</v>
          </cell>
        </row>
        <row r="425">
          <cell r="A425" t="str">
            <v>YM122-UR-2A</v>
          </cell>
          <cell r="B425" t="str">
            <v>FG-G</v>
          </cell>
          <cell r="J425" t="e">
            <v>#N/A</v>
          </cell>
        </row>
        <row r="426">
          <cell r="A426" t="str">
            <v>YM122-US-2A</v>
          </cell>
          <cell r="B426" t="str">
            <v>FG-G</v>
          </cell>
          <cell r="J426" t="e">
            <v>#N/A</v>
          </cell>
        </row>
        <row r="427">
          <cell r="A427" t="str">
            <v>YM122-USR2A</v>
          </cell>
          <cell r="B427" t="str">
            <v>FG-G</v>
          </cell>
          <cell r="J427" t="e">
            <v>#N/A</v>
          </cell>
        </row>
        <row r="428">
          <cell r="A428" t="str">
            <v>YM122-WR-1A</v>
          </cell>
          <cell r="B428" t="str">
            <v>FG-G</v>
          </cell>
          <cell r="J428" t="e">
            <v>#N/A</v>
          </cell>
        </row>
        <row r="429">
          <cell r="A429" t="str">
            <v>YM122-WR-3A</v>
          </cell>
          <cell r="B429" t="str">
            <v>FG-G</v>
          </cell>
          <cell r="J429" t="e">
            <v>#N/A</v>
          </cell>
        </row>
        <row r="430">
          <cell r="A430" t="str">
            <v>YM122-WS-1A</v>
          </cell>
          <cell r="B430" t="str">
            <v>FG-G</v>
          </cell>
          <cell r="J430" t="e">
            <v>#N/A</v>
          </cell>
        </row>
        <row r="431">
          <cell r="A431" t="str">
            <v>YM122-WS-3A</v>
          </cell>
          <cell r="B431" t="str">
            <v>FG-G</v>
          </cell>
          <cell r="J431" t="e">
            <v>#N/A</v>
          </cell>
        </row>
        <row r="432">
          <cell r="A432" t="str">
            <v>YM122-WSR1A</v>
          </cell>
          <cell r="B432" t="str">
            <v>FG-G</v>
          </cell>
          <cell r="J432" t="e">
            <v>#N/A</v>
          </cell>
        </row>
        <row r="433">
          <cell r="A433" t="str">
            <v>YM122-WSR3A</v>
          </cell>
          <cell r="B433" t="str">
            <v>FG-G</v>
          </cell>
          <cell r="J433" t="e">
            <v>#N/A</v>
          </cell>
        </row>
        <row r="434">
          <cell r="A434" t="str">
            <v>YM122-IR-5A</v>
          </cell>
          <cell r="B434" t="str">
            <v>FG-G</v>
          </cell>
          <cell r="J434" t="e">
            <v>#N/A</v>
          </cell>
        </row>
        <row r="435">
          <cell r="A435" t="str">
            <v>YM122-IR-6A</v>
          </cell>
          <cell r="B435" t="str">
            <v>FG-G</v>
          </cell>
          <cell r="J435" t="e">
            <v>#N/A</v>
          </cell>
        </row>
        <row r="436">
          <cell r="A436" t="str">
            <v>YM122-IR-7A</v>
          </cell>
          <cell r="B436" t="str">
            <v>FG-G</v>
          </cell>
          <cell r="J436" t="e">
            <v>#N/A</v>
          </cell>
        </row>
        <row r="437">
          <cell r="A437" t="str">
            <v>YM122-IR-8A</v>
          </cell>
          <cell r="B437" t="str">
            <v>FG-G</v>
          </cell>
          <cell r="J437" t="e">
            <v>#N/A</v>
          </cell>
        </row>
        <row r="438">
          <cell r="A438" t="str">
            <v>YM122-IR-9A</v>
          </cell>
          <cell r="B438" t="str">
            <v>FG-G</v>
          </cell>
          <cell r="J438" t="e">
            <v>#N/A</v>
          </cell>
        </row>
        <row r="439">
          <cell r="A439" t="str">
            <v>YM122-IR-PA</v>
          </cell>
          <cell r="B439" t="str">
            <v>FG-G</v>
          </cell>
          <cell r="J439" t="e">
            <v>#N/A</v>
          </cell>
        </row>
        <row r="440">
          <cell r="A440" t="str">
            <v>YM122-ISR5A</v>
          </cell>
          <cell r="B440" t="str">
            <v>FG-G</v>
          </cell>
          <cell r="J440" t="str">
            <v>22 RMX IRON SR #5</v>
          </cell>
        </row>
        <row r="441">
          <cell r="A441" t="str">
            <v>YM122-ISR6A</v>
          </cell>
          <cell r="B441" t="str">
            <v>FG-G</v>
          </cell>
          <cell r="J441" t="str">
            <v>22 RMX IRON SR #6</v>
          </cell>
        </row>
        <row r="442">
          <cell r="A442" t="str">
            <v>YM122-ISR7A</v>
          </cell>
          <cell r="B442" t="str">
            <v>FG-G</v>
          </cell>
          <cell r="J442" t="str">
            <v>23 RMX IRON SR #7</v>
          </cell>
        </row>
        <row r="443">
          <cell r="A443" t="str">
            <v>YM122-ISR8A</v>
          </cell>
          <cell r="B443" t="str">
            <v>FG-G</v>
          </cell>
          <cell r="J443" t="str">
            <v>23 RMX IRON SR #8</v>
          </cell>
        </row>
        <row r="444">
          <cell r="A444" t="str">
            <v>YM122-ISR9A</v>
          </cell>
          <cell r="B444" t="str">
            <v>FG-G</v>
          </cell>
          <cell r="J444" t="str">
            <v>24 RMX IRON SR #9</v>
          </cell>
        </row>
        <row r="445">
          <cell r="A445" t="str">
            <v>YM122-ISRPA</v>
          </cell>
          <cell r="B445" t="str">
            <v>FG-G</v>
          </cell>
          <cell r="J445" t="str">
            <v>24 RMX IRON SR #P</v>
          </cell>
        </row>
        <row r="446">
          <cell r="A446" t="str">
            <v>CW113-WR-1B</v>
          </cell>
          <cell r="B446" t="str">
            <v>FG-G</v>
          </cell>
          <cell r="J446" t="e">
            <v>#N/A</v>
          </cell>
        </row>
        <row r="447">
          <cell r="A447" t="str">
            <v>CW113-WS-1B</v>
          </cell>
          <cell r="B447" t="str">
            <v>FG-G</v>
          </cell>
          <cell r="J447" t="e">
            <v>#N/A</v>
          </cell>
        </row>
        <row r="448">
          <cell r="A448" t="str">
            <v>CW113-WSR1B</v>
          </cell>
          <cell r="B448" t="str">
            <v>FG-G</v>
          </cell>
          <cell r="J448" t="e">
            <v>#N/A</v>
          </cell>
        </row>
        <row r="449">
          <cell r="A449" t="str">
            <v>CW115-IL-2A</v>
          </cell>
          <cell r="B449" t="str">
            <v>FG-G</v>
          </cell>
          <cell r="J449" t="str">
            <v>3523L1395/SF IR/HY MCA ELDIO GRN/WHT 40 GR LDY JV</v>
          </cell>
        </row>
        <row r="450">
          <cell r="A450" t="str">
            <v>YM121-US-2A</v>
          </cell>
          <cell r="B450" t="str">
            <v>FG-G</v>
          </cell>
          <cell r="J450" t="e">
            <v>#N/A</v>
          </cell>
        </row>
        <row r="451">
          <cell r="A451" t="str">
            <v>YM121-WS-3A</v>
          </cell>
          <cell r="B451" t="str">
            <v>FG-G</v>
          </cell>
          <cell r="J451" t="e">
            <v>#N/A</v>
          </cell>
        </row>
        <row r="452">
          <cell r="A452" t="str">
            <v>YM121-WS-3A</v>
          </cell>
          <cell r="B452" t="str">
            <v>FG-G</v>
          </cell>
          <cell r="J452" t="e">
            <v>#N/A</v>
          </cell>
        </row>
        <row r="453">
          <cell r="A453" t="str">
            <v>CW115-IA-2A</v>
          </cell>
          <cell r="B453" t="str">
            <v>FG-G</v>
          </cell>
          <cell r="J453" t="e">
            <v>#N/A</v>
          </cell>
        </row>
        <row r="454">
          <cell r="A454" t="str">
            <v>SX196-WR-3B</v>
          </cell>
          <cell r="B454" t="str">
            <v>FG-G</v>
          </cell>
          <cell r="J454" t="e">
            <v>#N/A</v>
          </cell>
        </row>
        <row r="455">
          <cell r="A455" t="str">
            <v>SKC02100</v>
          </cell>
          <cell r="B455" t="str">
            <v>RM-PPG</v>
          </cell>
          <cell r="J455" t="e">
            <v>#N/A</v>
          </cell>
        </row>
        <row r="456">
          <cell r="A456" t="str">
            <v>061038</v>
          </cell>
          <cell r="B456" t="str">
            <v>RM-PPG</v>
          </cell>
          <cell r="J456" t="e">
            <v>#N/A</v>
          </cell>
        </row>
        <row r="457">
          <cell r="A457" t="str">
            <v>SP400-IR-4A</v>
          </cell>
          <cell r="B457" t="str">
            <v>FG-G</v>
          </cell>
          <cell r="J457" t="str">
            <v>MV8BIRM/BASSARA B50 V300Ⅷ Iron  Flex-R</v>
          </cell>
        </row>
        <row r="458">
          <cell r="A458" t="str">
            <v>MR120-IS-SA</v>
          </cell>
          <cell r="B458" t="str">
            <v>FG-G</v>
          </cell>
          <cell r="J458" t="e">
            <v>#N/A</v>
          </cell>
        </row>
        <row r="459">
          <cell r="A459" t="str">
            <v>XG018-IR-1A</v>
          </cell>
          <cell r="B459" t="str">
            <v>FG-G</v>
          </cell>
          <cell r="J459" t="e">
            <v>#N/A</v>
          </cell>
        </row>
        <row r="460">
          <cell r="A460" t="str">
            <v>XG018-IS-1A</v>
          </cell>
          <cell r="B460" t="str">
            <v>FG-G</v>
          </cell>
          <cell r="J460" t="e">
            <v>#N/A</v>
          </cell>
        </row>
        <row r="461">
          <cell r="A461" t="str">
            <v>XG020-IR-1A</v>
          </cell>
          <cell r="B461" t="str">
            <v>FG-G</v>
          </cell>
          <cell r="J461" t="e">
            <v>#N/A</v>
          </cell>
        </row>
        <row r="462">
          <cell r="A462" t="str">
            <v>XG020-IS-1A</v>
          </cell>
          <cell r="B462" t="str">
            <v>FG-G</v>
          </cell>
          <cell r="J462" t="e">
            <v>#N/A</v>
          </cell>
        </row>
        <row r="463">
          <cell r="A463" t="str">
            <v>XG015-WR-1A</v>
          </cell>
          <cell r="B463" t="str">
            <v>FG-G</v>
          </cell>
          <cell r="J463" t="e">
            <v>#N/A</v>
          </cell>
        </row>
        <row r="464">
          <cell r="A464" t="str">
            <v>XG015-WS-1A</v>
          </cell>
          <cell r="B464" t="str">
            <v>FG-G</v>
          </cell>
          <cell r="J464" t="e">
            <v>#N/A</v>
          </cell>
        </row>
        <row r="465">
          <cell r="A465" t="str">
            <v>CW113-IR-2B</v>
          </cell>
          <cell r="B465" t="str">
            <v>FG-G</v>
          </cell>
          <cell r="J465" t="e">
            <v>#N/A</v>
          </cell>
        </row>
        <row r="466">
          <cell r="A466" t="str">
            <v>CW113-IS-2B</v>
          </cell>
          <cell r="B466" t="str">
            <v>FG-G</v>
          </cell>
          <cell r="J466" t="e">
            <v>#N/A</v>
          </cell>
        </row>
        <row r="467">
          <cell r="A467" t="str">
            <v>TE043-IX-2A</v>
          </cell>
          <cell r="B467" t="str">
            <v>FG-G</v>
          </cell>
          <cell r="J467" t="e">
            <v>#N/A</v>
          </cell>
        </row>
        <row r="468">
          <cell r="A468" t="str">
            <v>XGR4WS60ATCA</v>
          </cell>
          <cell r="B468" t="str">
            <v>FG-G</v>
          </cell>
          <cell r="J468" t="e">
            <v>#N/A</v>
          </cell>
        </row>
        <row r="469">
          <cell r="A469" t="str">
            <v>XGR4WX60ATCA</v>
          </cell>
          <cell r="B469" t="str">
            <v>FG-G</v>
          </cell>
          <cell r="J469" t="e">
            <v>#N/A</v>
          </cell>
        </row>
        <row r="470">
          <cell r="A470" t="str">
            <v>XGR5WR60ATBA</v>
          </cell>
          <cell r="B470" t="str">
            <v>FG-G</v>
          </cell>
          <cell r="J470" t="e">
            <v>#N/A</v>
          </cell>
        </row>
        <row r="471">
          <cell r="A471" t="str">
            <v>XGR5WS60ATBA</v>
          </cell>
          <cell r="B471" t="str">
            <v>FG-G</v>
          </cell>
          <cell r="J471" t="e">
            <v>#N/A</v>
          </cell>
        </row>
        <row r="472">
          <cell r="A472" t="str">
            <v>CB037-WS-1A</v>
          </cell>
          <cell r="B472" t="str">
            <v>FG-G</v>
          </cell>
          <cell r="J472" t="e">
            <v>#N/A</v>
          </cell>
        </row>
        <row r="473">
          <cell r="A473" t="str">
            <v>CB037-WX-1A</v>
          </cell>
          <cell r="B473" t="str">
            <v>FG-G</v>
          </cell>
          <cell r="J473" t="e">
            <v>#N/A</v>
          </cell>
        </row>
        <row r="474">
          <cell r="A474" t="str">
            <v>AJ072-IR-4A</v>
          </cell>
          <cell r="B474" t="str">
            <v>FG-G</v>
          </cell>
          <cell r="J474" t="e">
            <v>#N/A</v>
          </cell>
        </row>
        <row r="475">
          <cell r="A475" t="str">
            <v>AJ072-IR-5A</v>
          </cell>
          <cell r="B475" t="str">
            <v>FG-G</v>
          </cell>
          <cell r="J475" t="e">
            <v>#N/A</v>
          </cell>
        </row>
        <row r="476">
          <cell r="A476" t="str">
            <v>AJ072-IR-6A</v>
          </cell>
          <cell r="B476" t="str">
            <v>FG-G</v>
          </cell>
          <cell r="J476" t="e">
            <v>#N/A</v>
          </cell>
        </row>
        <row r="477">
          <cell r="A477" t="str">
            <v>AJ072-IR-7A</v>
          </cell>
          <cell r="B477" t="str">
            <v>FG-G</v>
          </cell>
          <cell r="J477" t="e">
            <v>#N/A</v>
          </cell>
        </row>
        <row r="478">
          <cell r="A478" t="str">
            <v>AJ072-IR-8A</v>
          </cell>
          <cell r="B478" t="str">
            <v>FG-G</v>
          </cell>
          <cell r="J478" t="e">
            <v>#N/A</v>
          </cell>
        </row>
        <row r="479">
          <cell r="A479" t="str">
            <v>AJ072-IR-9A</v>
          </cell>
          <cell r="B479" t="str">
            <v>FG-G</v>
          </cell>
          <cell r="J479" t="e">
            <v>#N/A</v>
          </cell>
        </row>
        <row r="480">
          <cell r="A480" t="str">
            <v>AJ072-IR-AA</v>
          </cell>
          <cell r="B480" t="str">
            <v>FG-G</v>
          </cell>
          <cell r="J480" t="e">
            <v>#N/A</v>
          </cell>
        </row>
        <row r="481">
          <cell r="A481" t="str">
            <v>AJ072-IR-PA</v>
          </cell>
          <cell r="B481" t="str">
            <v>FG-G</v>
          </cell>
          <cell r="J481" t="e">
            <v>#N/A</v>
          </cell>
        </row>
        <row r="482">
          <cell r="A482" t="str">
            <v>CB038-WS-1A</v>
          </cell>
          <cell r="B482" t="str">
            <v>FG-G</v>
          </cell>
          <cell r="J482" t="e">
            <v>#N/A</v>
          </cell>
        </row>
        <row r="483">
          <cell r="A483" t="str">
            <v>CB038-WX-1A</v>
          </cell>
          <cell r="B483" t="str">
            <v>FG-G</v>
          </cell>
          <cell r="J483" t="e">
            <v>#N/A</v>
          </cell>
        </row>
        <row r="484">
          <cell r="A484" t="str">
            <v>CW113-ISR2B</v>
          </cell>
          <cell r="B484" t="str">
            <v>FG-G</v>
          </cell>
          <cell r="J484" t="e">
            <v>#N/A</v>
          </cell>
        </row>
        <row r="485">
          <cell r="A485" t="str">
            <v>XG018-IL-1A</v>
          </cell>
          <cell r="B485" t="str">
            <v>FG-G</v>
          </cell>
          <cell r="J485" t="e">
            <v>#N/A</v>
          </cell>
        </row>
        <row r="486">
          <cell r="A486" t="str">
            <v>XG019-IL-1A</v>
          </cell>
          <cell r="B486" t="str">
            <v>FG-G</v>
          </cell>
          <cell r="J486" t="e">
            <v>#N/A</v>
          </cell>
        </row>
        <row r="487">
          <cell r="A487" t="str">
            <v>XG021-IS-1A</v>
          </cell>
          <cell r="B487" t="str">
            <v>FG-G</v>
          </cell>
          <cell r="J487" t="e">
            <v>#N/A</v>
          </cell>
        </row>
        <row r="488">
          <cell r="A488" t="str">
            <v>XG022-IX-1A</v>
          </cell>
          <cell r="B488" t="str">
            <v>FG-G</v>
          </cell>
          <cell r="J488" t="e">
            <v>#N/A</v>
          </cell>
        </row>
        <row r="489">
          <cell r="A489" t="str">
            <v>SF254-IS-1B</v>
          </cell>
          <cell r="B489" t="str">
            <v>FG-G</v>
          </cell>
          <cell r="J489" t="str">
            <v>N9087701/SHI 2022 Tensei RD TM60 S</v>
          </cell>
        </row>
        <row r="490">
          <cell r="A490" t="str">
            <v>SU031-IS-PA</v>
          </cell>
          <cell r="B490" t="str">
            <v>FG-G</v>
          </cell>
          <cell r="J490" t="str">
            <v>10325734 /SH BR CVXORIGINALWEDGE</v>
          </cell>
        </row>
        <row r="491">
          <cell r="A491" t="str">
            <v>CW114-WRA1A</v>
          </cell>
          <cell r="B491" t="str">
            <v>FG-G</v>
          </cell>
          <cell r="C491" t="str">
            <v>3514W1 / SF WD MCA DIAMANA BLK/GRN 40 GR R2 JV  </v>
          </cell>
          <cell r="J491" t="e">
            <v>#N/A</v>
          </cell>
        </row>
        <row r="492">
          <cell r="A492" t="str">
            <v>XG015-WL-1A</v>
          </cell>
          <cell r="B492" t="str">
            <v>FG-G</v>
          </cell>
          <cell r="J492" t="e">
            <v>#N/A</v>
          </cell>
        </row>
        <row r="493">
          <cell r="A493" t="str">
            <v>XG016-WS-1A</v>
          </cell>
          <cell r="B493" t="str">
            <v>FG-G</v>
          </cell>
          <cell r="J493" t="e">
            <v>#N/A</v>
          </cell>
        </row>
        <row r="494">
          <cell r="A494" t="str">
            <v>XG015-WSR1A</v>
          </cell>
          <cell r="B494" t="str">
            <v>FG-G</v>
          </cell>
          <cell r="J494" t="e">
            <v>#N/A</v>
          </cell>
        </row>
        <row r="495">
          <cell r="A495" t="str">
            <v>TE041-WS-1A</v>
          </cell>
          <cell r="B495" t="str">
            <v>FG-G</v>
          </cell>
          <cell r="J495" t="e">
            <v>#N/A</v>
          </cell>
        </row>
        <row r="496">
          <cell r="A496" t="str">
            <v>TE041-WX-1A</v>
          </cell>
          <cell r="B496" t="str">
            <v>FG-G</v>
          </cell>
          <cell r="J496" t="e">
            <v>#N/A</v>
          </cell>
        </row>
        <row r="497">
          <cell r="A497" t="str">
            <v>TE043-IS-2A</v>
          </cell>
          <cell r="B497" t="str">
            <v>FG-G</v>
          </cell>
          <cell r="J497" t="e">
            <v>#N/A</v>
          </cell>
        </row>
        <row r="498">
          <cell r="A498" t="str">
            <v>SF254-IR-1B</v>
          </cell>
          <cell r="B498" t="str">
            <v>FG-G</v>
          </cell>
          <cell r="J498" t="str">
            <v>N9087801/SHI 2022 Tensei RD TM60 R</v>
          </cell>
        </row>
        <row r="499">
          <cell r="A499" t="str">
            <v>SF263-WX-1A</v>
          </cell>
          <cell r="B499" t="str">
            <v>FG-G</v>
          </cell>
          <cell r="J499" t="e">
            <v>#N/A</v>
          </cell>
        </row>
        <row r="500">
          <cell r="A500" t="str">
            <v>SF263-WS-1A</v>
          </cell>
          <cell r="B500" t="str">
            <v>FG-G</v>
          </cell>
          <cell r="J500" t="e">
            <v>#N/A</v>
          </cell>
        </row>
        <row r="501">
          <cell r="A501" t="str">
            <v>XGQ4WX60ATCA</v>
          </cell>
          <cell r="B501" t="str">
            <v>FG-G</v>
          </cell>
          <cell r="J501" t="e">
            <v>#N/A</v>
          </cell>
        </row>
        <row r="502">
          <cell r="A502" t="str">
            <v>XGQ5WS60ATBA</v>
          </cell>
          <cell r="B502" t="str">
            <v>FG-G</v>
          </cell>
          <cell r="J502" t="e">
            <v>#N/A</v>
          </cell>
        </row>
        <row r="503">
          <cell r="A503" t="str">
            <v>XGQ5WR60ATBA</v>
          </cell>
          <cell r="B503" t="str">
            <v>FG-G</v>
          </cell>
          <cell r="J503" t="e">
            <v>#N/A</v>
          </cell>
        </row>
        <row r="504">
          <cell r="A504" t="str">
            <v>CW132-WS-1A</v>
          </cell>
          <cell r="B504" t="str">
            <v>FG-G</v>
          </cell>
          <cell r="J504" t="str">
            <v>3529P3/TENSEI AV2 WHITE 85 S-FLEX</v>
          </cell>
        </row>
        <row r="505">
          <cell r="A505" t="str">
            <v>CW128-WR-1A</v>
          </cell>
          <cell r="B505" t="str">
            <v>FG-G</v>
          </cell>
          <cell r="J505" t="e">
            <v>#N/A</v>
          </cell>
        </row>
        <row r="506">
          <cell r="A506" t="str">
            <v>CW128-WS-1A</v>
          </cell>
          <cell r="B506" t="str">
            <v>FG-G</v>
          </cell>
          <cell r="J506" t="e">
            <v>#N/A</v>
          </cell>
        </row>
        <row r="507">
          <cell r="A507" t="str">
            <v>CW135-IR-1A</v>
          </cell>
          <cell r="B507" t="str">
            <v>FG-G</v>
          </cell>
          <cell r="J507" t="str">
            <v>3527P2420/TENESEI AV2 WHITE IR 75 R-FLEX</v>
          </cell>
        </row>
        <row r="508">
          <cell r="A508" t="str">
            <v>CW136-IS-1A</v>
          </cell>
          <cell r="B508" t="str">
            <v>FG-G</v>
          </cell>
          <cell r="J508" t="str">
            <v>3527Q3420/TENESEI AV2 WHITE IR 85 S-FLEX</v>
          </cell>
        </row>
        <row r="509">
          <cell r="A509" t="str">
            <v>CW128-WX-1A</v>
          </cell>
          <cell r="B509" t="str">
            <v>FG-G</v>
          </cell>
          <cell r="J509" t="e">
            <v>#N/A</v>
          </cell>
        </row>
        <row r="510">
          <cell r="A510" t="str">
            <v>CW129-WR-1A</v>
          </cell>
          <cell r="B510" t="str">
            <v>FG-G</v>
          </cell>
          <cell r="J510" t="str">
            <v>3529O2/TENSEI AV2 BLUE 75 R-FLEX</v>
          </cell>
        </row>
        <row r="511">
          <cell r="A511" t="str">
            <v>CW129-WS-1A</v>
          </cell>
          <cell r="B511" t="str">
            <v>FG-G</v>
          </cell>
          <cell r="J511" t="str">
            <v>3529O3/TENSEI AV2 BLUE 75 S-FLEX</v>
          </cell>
        </row>
        <row r="512">
          <cell r="A512" t="str">
            <v>CW129-WX-1A</v>
          </cell>
          <cell r="B512" t="str">
            <v>FG-G</v>
          </cell>
          <cell r="J512" t="str">
            <v>3529O4/TENSEI AV2 BLUE 75 X-FLEX</v>
          </cell>
        </row>
        <row r="513">
          <cell r="A513" t="str">
            <v>YR166-IL-7A</v>
          </cell>
          <cell r="B513" t="str">
            <v>FG-G</v>
          </cell>
          <cell r="J513" t="str">
            <v>LI221-3007/SWEEP IRON</v>
          </cell>
        </row>
        <row r="514">
          <cell r="A514" t="str">
            <v>YR166-UL-1A</v>
          </cell>
          <cell r="B514" t="str">
            <v>FG-G</v>
          </cell>
          <cell r="J514" t="str">
            <v>LU221-30E/SWEEP UT</v>
          </cell>
        </row>
        <row r="515">
          <cell r="A515" t="str">
            <v>CW130-WS-1A</v>
          </cell>
          <cell r="B515" t="str">
            <v>FG-G</v>
          </cell>
          <cell r="J515" t="str">
            <v>3528R3/TENSEI AV2 WHITE 65 S-FLEX</v>
          </cell>
        </row>
        <row r="516">
          <cell r="A516" t="str">
            <v>CW130-WX-1A</v>
          </cell>
          <cell r="B516" t="str">
            <v>FG-G</v>
          </cell>
          <cell r="J516" t="e">
            <v>#N/A</v>
          </cell>
        </row>
        <row r="517">
          <cell r="A517" t="str">
            <v>CW131-WS-1A</v>
          </cell>
          <cell r="B517" t="str">
            <v>FG-G</v>
          </cell>
          <cell r="J517" t="str">
            <v>3528S3/TENSEI AV2 WHITE 75 S-FLEX</v>
          </cell>
        </row>
        <row r="518">
          <cell r="A518" t="str">
            <v>CW131-WX-1A</v>
          </cell>
          <cell r="B518" t="str">
            <v>FG-G</v>
          </cell>
          <cell r="J518" t="str">
            <v>3528S4/TENSEI AV2 WHITE 75 X-FLEX</v>
          </cell>
        </row>
        <row r="519">
          <cell r="A519" t="str">
            <v>CW132-WS-1A</v>
          </cell>
          <cell r="B519" t="str">
            <v>FG-G</v>
          </cell>
          <cell r="J519" t="str">
            <v>3529P3/TENSEI AV2 WHITE 85 S-FLEX</v>
          </cell>
        </row>
        <row r="520">
          <cell r="A520" t="str">
            <v>CW132-WX-1A</v>
          </cell>
          <cell r="B520" t="str">
            <v>FG-G</v>
          </cell>
          <cell r="J520" t="str">
            <v>3529P4/TENSEI AV2 WHITE 85 X-FLEX</v>
          </cell>
        </row>
        <row r="521">
          <cell r="A521" t="str">
            <v>SF245-WS-1G</v>
          </cell>
          <cell r="B521" t="str">
            <v>FG-G</v>
          </cell>
          <cell r="J521" t="e">
            <v>#N/A</v>
          </cell>
        </row>
        <row r="522">
          <cell r="A522" t="str">
            <v>SF245-WX-1F</v>
          </cell>
          <cell r="B522" t="str">
            <v>FG-G</v>
          </cell>
          <cell r="J522" t="e">
            <v>#N/A</v>
          </cell>
        </row>
        <row r="523">
          <cell r="A523" t="str">
            <v>CW136-IX-1A</v>
          </cell>
          <cell r="B523" t="str">
            <v>FG-G</v>
          </cell>
          <cell r="J523" t="str">
            <v>3527Q4420/TENESEI AV2 WHITE IR 85 X-FLEX</v>
          </cell>
        </row>
        <row r="524">
          <cell r="A524" t="str">
            <v>YR166-WL-1A</v>
          </cell>
          <cell r="B524" t="str">
            <v>FG-G</v>
          </cell>
          <cell r="J524" t="str">
            <v>LD221-30A/SWEEP DR</v>
          </cell>
        </row>
        <row r="525">
          <cell r="A525" t="str">
            <v>YR166-WL-3A</v>
          </cell>
          <cell r="B525" t="str">
            <v>FG-G</v>
          </cell>
          <cell r="J525" t="str">
            <v>LF221-30D/SWEEP FW</v>
          </cell>
        </row>
        <row r="526">
          <cell r="A526" t="str">
            <v>MX784-WS-1BO</v>
          </cell>
          <cell r="B526" t="str">
            <v>FG-G</v>
          </cell>
          <cell r="J526" t="str">
            <v>SHM-MCA Kaili White 70 S</v>
          </cell>
        </row>
        <row r="527">
          <cell r="A527" t="str">
            <v>MX784-WX-1BO</v>
          </cell>
          <cell r="B527" t="str">
            <v>FG-G</v>
          </cell>
          <cell r="J527" t="str">
            <v>SHM-MCA Kaili White 70 X</v>
          </cell>
        </row>
        <row r="528">
          <cell r="A528" t="str">
            <v>MX784-WS-1CO</v>
          </cell>
          <cell r="B528" t="str">
            <v>FG-G</v>
          </cell>
          <cell r="J528" t="str">
            <v>SHM-MCA Kaili White 70 S (DEMO)</v>
          </cell>
        </row>
        <row r="529">
          <cell r="A529" t="str">
            <v>MX784-WX-1CO</v>
          </cell>
          <cell r="B529" t="str">
            <v>FG-G</v>
          </cell>
          <cell r="J529" t="str">
            <v>SHM-MCA Kaili White 70 X (DEMO)</v>
          </cell>
        </row>
        <row r="530">
          <cell r="A530" t="str">
            <v>SF256-IS-1C</v>
          </cell>
          <cell r="B530" t="str">
            <v>FG-G</v>
          </cell>
          <cell r="J530" t="e">
            <v>#N/A</v>
          </cell>
        </row>
        <row r="531">
          <cell r="A531" t="str">
            <v>CW133-IR-1A</v>
          </cell>
          <cell r="B531" t="str">
            <v>FG-G</v>
          </cell>
          <cell r="J531" t="str">
            <v>3528W2420/TENSEI AV2 BLUE HY/IR 65 R-FLX</v>
          </cell>
        </row>
        <row r="532">
          <cell r="A532" t="str">
            <v>CW134-IS-1A</v>
          </cell>
          <cell r="B532" t="str">
            <v>FG-G</v>
          </cell>
          <cell r="J532" t="str">
            <v>3528X3420/TENSEI AV2 BLUE HY/IR 75 S-FLX</v>
          </cell>
        </row>
        <row r="533">
          <cell r="A533" t="str">
            <v>XGQ4WS60ATCA</v>
          </cell>
          <cell r="B533" t="str">
            <v>FG-G</v>
          </cell>
          <cell r="J533" t="e">
            <v>#N/A</v>
          </cell>
        </row>
        <row r="534">
          <cell r="A534" t="str">
            <v>CW138-IS-1A</v>
          </cell>
          <cell r="B534" t="str">
            <v>FG-G</v>
          </cell>
          <cell r="J534" t="str">
            <v>3530N3420/TENESEI AV2 WHITE HYB 85 S-FLEX</v>
          </cell>
        </row>
        <row r="535">
          <cell r="A535" t="str">
            <v>CW138-IX-1A</v>
          </cell>
          <cell r="B535" t="str">
            <v>FG-G</v>
          </cell>
          <cell r="J535" t="str">
            <v>3530N4420/TENESEI AV2 WHITE HYB 85 X-FLEX</v>
          </cell>
        </row>
        <row r="536">
          <cell r="A536" t="str">
            <v>SF267-ITX7D</v>
          </cell>
          <cell r="B536" t="str">
            <v>FG-G</v>
          </cell>
          <cell r="J536" t="e">
            <v>#N/A</v>
          </cell>
        </row>
        <row r="537">
          <cell r="A537" t="str">
            <v>SF268-IS-7D</v>
          </cell>
          <cell r="B537" t="str">
            <v>FG-G</v>
          </cell>
          <cell r="J537" t="e">
            <v>#N/A</v>
          </cell>
        </row>
        <row r="538">
          <cell r="A538" t="str">
            <v>SF267-IS-7D</v>
          </cell>
          <cell r="B538" t="str">
            <v>FG-G</v>
          </cell>
          <cell r="J538" t="e">
            <v>#N/A</v>
          </cell>
        </row>
        <row r="539">
          <cell r="A539" t="str">
            <v>SF268-ITX7D</v>
          </cell>
          <cell r="B539" t="str">
            <v>FG-G</v>
          </cell>
          <cell r="J539" t="e">
            <v>#N/A</v>
          </cell>
        </row>
        <row r="540">
          <cell r="A540" t="str">
            <v>CW137-IR-1A</v>
          </cell>
          <cell r="B540" t="str">
            <v>FG-G</v>
          </cell>
          <cell r="J540" t="str">
            <v>3530M2420/TENESEI AV2 WHITE HYB 75 R-FLEX</v>
          </cell>
        </row>
        <row r="541">
          <cell r="A541" t="str">
            <v>SF267-IS-3A</v>
          </cell>
          <cell r="B541" t="str">
            <v>FG-G</v>
          </cell>
          <cell r="J541" t="str">
            <v>A9409401/SHI-MCA MMT 105 S #3</v>
          </cell>
        </row>
        <row r="542">
          <cell r="A542" t="str">
            <v>SF267-IS-4A</v>
          </cell>
          <cell r="B542" t="str">
            <v>FG-G</v>
          </cell>
          <cell r="J542" t="str">
            <v>A9409501/SHI-MCA MMT 105 S #4</v>
          </cell>
        </row>
        <row r="543">
          <cell r="A543" t="str">
            <v>SF267-IS-5A</v>
          </cell>
          <cell r="B543" t="str">
            <v>FG-G</v>
          </cell>
          <cell r="J543" t="str">
            <v>A9409601/SHI-MCA MMT 105 S #5</v>
          </cell>
        </row>
        <row r="544">
          <cell r="A544" t="str">
            <v>SF267-IS-6A</v>
          </cell>
          <cell r="B544" t="str">
            <v>FG-G</v>
          </cell>
          <cell r="J544" t="str">
            <v>A9409701/SHI-MCA MMT 105 S #6</v>
          </cell>
        </row>
        <row r="545">
          <cell r="A545" t="str">
            <v>SF267-IS-7A</v>
          </cell>
          <cell r="B545" t="str">
            <v>FG-G</v>
          </cell>
          <cell r="J545" t="str">
            <v>A9409801/SHI-MCA MMT 105 S #7</v>
          </cell>
        </row>
        <row r="546">
          <cell r="A546" t="str">
            <v>SF267-IS-8A</v>
          </cell>
          <cell r="B546" t="str">
            <v>FG-G</v>
          </cell>
          <cell r="J546" t="str">
            <v>A9409901/SHI-MCA MMT 105 S #8</v>
          </cell>
        </row>
        <row r="547">
          <cell r="A547" t="str">
            <v>SF267-IS-9A</v>
          </cell>
          <cell r="B547" t="str">
            <v>FG-G</v>
          </cell>
          <cell r="J547" t="str">
            <v>A9410001/SHI-MCA MMT 105 S #9</v>
          </cell>
        </row>
        <row r="548">
          <cell r="A548" t="str">
            <v>SF267-IS-PA</v>
          </cell>
          <cell r="B548" t="str">
            <v>FG-G</v>
          </cell>
          <cell r="J548" t="str">
            <v>A9410101/SHI-MCA MMT 105 S PW</v>
          </cell>
        </row>
        <row r="549">
          <cell r="A549" t="str">
            <v>SF246-WL-1F</v>
          </cell>
          <cell r="B549" t="str">
            <v>FG-G</v>
          </cell>
          <cell r="J549" t="e">
            <v>#N/A</v>
          </cell>
        </row>
        <row r="550">
          <cell r="A550" t="str">
            <v>SF246-WA-1F</v>
          </cell>
          <cell r="B550" t="str">
            <v>FG-G</v>
          </cell>
          <cell r="J550" t="e">
            <v>#N/A</v>
          </cell>
        </row>
        <row r="551">
          <cell r="A551" t="str">
            <v>SF267-ITX3A</v>
          </cell>
          <cell r="B551" t="str">
            <v>FG-G</v>
          </cell>
          <cell r="J551" t="str">
            <v>A9408601/SHI-MCA MMT 105 TX #3</v>
          </cell>
        </row>
        <row r="552">
          <cell r="A552" t="str">
            <v>SF267-ITX4A</v>
          </cell>
          <cell r="B552" t="str">
            <v>FG-G</v>
          </cell>
          <cell r="J552" t="str">
            <v>A9408701/SHI-MCA MMT 105 TX #4</v>
          </cell>
        </row>
        <row r="553">
          <cell r="A553" t="str">
            <v>SF267-ITX5A</v>
          </cell>
          <cell r="B553" t="str">
            <v>FG-G</v>
          </cell>
          <cell r="J553" t="str">
            <v>A9408801/SHI-MCA MMT 105 TX #5</v>
          </cell>
        </row>
        <row r="554">
          <cell r="A554" t="str">
            <v>SF267-ITX6A</v>
          </cell>
          <cell r="B554" t="str">
            <v>FG-G</v>
          </cell>
          <cell r="J554" t="str">
            <v>A9408901/SHI-MCA MMT 105 TX #6</v>
          </cell>
        </row>
        <row r="555">
          <cell r="A555" t="str">
            <v>SF267-ITX7A</v>
          </cell>
          <cell r="B555" t="str">
            <v>FG-G</v>
          </cell>
          <cell r="J555" t="str">
            <v>A9409001/SHI-MCA MMT 105 TX #7</v>
          </cell>
        </row>
        <row r="556">
          <cell r="A556" t="str">
            <v>SF267-ITX8A</v>
          </cell>
          <cell r="B556" t="str">
            <v>FG-G</v>
          </cell>
          <cell r="J556" t="str">
            <v>A9409101/SHI-MCA MMT 105 TX #8</v>
          </cell>
        </row>
        <row r="557">
          <cell r="A557" t="str">
            <v>SF267-ITX9A</v>
          </cell>
          <cell r="B557" t="str">
            <v>FG-G</v>
          </cell>
          <cell r="J557" t="str">
            <v>A9409201/SHI-MCA MMT 105 TX #9</v>
          </cell>
        </row>
        <row r="558">
          <cell r="A558" t="str">
            <v>SF267-ITXPA</v>
          </cell>
          <cell r="B558" t="str">
            <v>FG-G</v>
          </cell>
          <cell r="J558" t="str">
            <v>A9409301/SHI-MCA MMT 105 TX PW</v>
          </cell>
        </row>
        <row r="559">
          <cell r="A559" t="str">
            <v>SF268-IS-4A</v>
          </cell>
          <cell r="B559" t="str">
            <v>FG-G</v>
          </cell>
          <cell r="J559" t="str">
            <v>A9411101/SHI-MCA MMT 125 S #4</v>
          </cell>
        </row>
        <row r="560">
          <cell r="A560" t="str">
            <v>SF268-IS-5A</v>
          </cell>
          <cell r="B560" t="str">
            <v>FG-G</v>
          </cell>
          <cell r="J560" t="str">
            <v>A9411201/SHI-MCA MMT 125 S #5</v>
          </cell>
        </row>
        <row r="561">
          <cell r="A561" t="str">
            <v>SF268-IS-6A</v>
          </cell>
          <cell r="B561" t="str">
            <v>FG-G</v>
          </cell>
          <cell r="J561" t="str">
            <v>A9411301/SHI-MCA MMT 125 S #6</v>
          </cell>
        </row>
        <row r="562">
          <cell r="A562" t="str">
            <v>YR169-WS-3A</v>
          </cell>
          <cell r="B562" t="str">
            <v>FG-G</v>
          </cell>
          <cell r="J562" t="str">
            <v>VF221-43C/2022 RS Fairway S-flex</v>
          </cell>
        </row>
        <row r="563">
          <cell r="A563" t="str">
            <v>YR169-WSR3A</v>
          </cell>
          <cell r="B563" t="str">
            <v>FG-G</v>
          </cell>
          <cell r="J563" t="str">
            <v>VF221-40C/2022 RS Fairway SR-flex</v>
          </cell>
        </row>
        <row r="564">
          <cell r="A564" t="str">
            <v>YR169-USR1A</v>
          </cell>
          <cell r="B564" t="str">
            <v>FG-G</v>
          </cell>
          <cell r="J564" t="str">
            <v>VU221-40C/2022 RS Utility SR-flex</v>
          </cell>
        </row>
        <row r="565">
          <cell r="A565" t="str">
            <v>YR169-WS-1A</v>
          </cell>
          <cell r="B565" t="str">
            <v>FG-G</v>
          </cell>
          <cell r="J565" t="e">
            <v>#N/A</v>
          </cell>
        </row>
        <row r="566">
          <cell r="A566" t="str">
            <v>YR169-WSR1A</v>
          </cell>
          <cell r="B566" t="str">
            <v>FG-G</v>
          </cell>
          <cell r="J566" t="str">
            <v>VD221-40A /2022 RS Driver SR-flex</v>
          </cell>
        </row>
        <row r="567">
          <cell r="A567" t="str">
            <v>YR169-US-1A</v>
          </cell>
          <cell r="B567" t="str">
            <v>FG-G</v>
          </cell>
          <cell r="J567" t="str">
            <v>VU221-43C/2022 RS Utility S-flex</v>
          </cell>
        </row>
        <row r="568">
          <cell r="A568" t="str">
            <v>YR170-WR-1A</v>
          </cell>
          <cell r="B568" t="str">
            <v>FG-G</v>
          </cell>
          <cell r="J568" t="str">
            <v>VD222-37A/2022 RS-F Driver R-flex</v>
          </cell>
        </row>
        <row r="569">
          <cell r="A569" t="str">
            <v>YR170-WS-1A</v>
          </cell>
          <cell r="B569" t="str">
            <v>FG-G</v>
          </cell>
          <cell r="J569" t="str">
            <v>VD222-43A/2022 RS-F Driver S-flex</v>
          </cell>
        </row>
        <row r="570">
          <cell r="A570" t="str">
            <v>YR170-WSR1A</v>
          </cell>
          <cell r="B570" t="str">
            <v>FG-G</v>
          </cell>
          <cell r="J570" t="str">
            <v>VD222-40A/2022 RS-F Driver SR-flex</v>
          </cell>
        </row>
        <row r="571">
          <cell r="A571" t="str">
            <v>SF268-ITX5A</v>
          </cell>
          <cell r="B571" t="str">
            <v>FG-G</v>
          </cell>
          <cell r="J571" t="str">
            <v>A9410401/SHI-MCA MMT 125 TX #5</v>
          </cell>
        </row>
        <row r="572">
          <cell r="A572" t="str">
            <v>SF268-ITX6A</v>
          </cell>
          <cell r="B572" t="str">
            <v>FG-G</v>
          </cell>
          <cell r="J572" t="str">
            <v>A9410501/SHI-MCA MMT 125 TX #6</v>
          </cell>
        </row>
        <row r="573">
          <cell r="A573" t="str">
            <v>SF268-ITX8A</v>
          </cell>
          <cell r="B573" t="str">
            <v>FG-G</v>
          </cell>
          <cell r="J573" t="str">
            <v>A9410701/SHI-MCA MMT 125 TX #8</v>
          </cell>
        </row>
        <row r="574">
          <cell r="A574" t="str">
            <v>SF268-IS-3A</v>
          </cell>
          <cell r="B574" t="str">
            <v>FG-G</v>
          </cell>
          <cell r="J574" t="str">
            <v>A9411001/SHI-MCA MMT 125 S #3</v>
          </cell>
        </row>
        <row r="575">
          <cell r="A575" t="str">
            <v>SF268-IS-7A</v>
          </cell>
          <cell r="B575" t="str">
            <v>FG-G</v>
          </cell>
          <cell r="J575" t="str">
            <v>A9411401/SHI-MCA MMT 125 S #7</v>
          </cell>
        </row>
        <row r="576">
          <cell r="A576" t="str">
            <v>SF268-IS-8A</v>
          </cell>
          <cell r="B576" t="str">
            <v>FG-G</v>
          </cell>
          <cell r="J576" t="str">
            <v>A9411501/SHI-MCA MMT 125 S #8</v>
          </cell>
        </row>
        <row r="577">
          <cell r="A577" t="str">
            <v>SF268-IS-9A</v>
          </cell>
          <cell r="B577" t="str">
            <v>FG-G</v>
          </cell>
          <cell r="J577" t="str">
            <v>A9411601/SHI-MCA MMT 125 S #9</v>
          </cell>
        </row>
        <row r="578">
          <cell r="A578" t="str">
            <v>SF268-IS-PA</v>
          </cell>
          <cell r="B578" t="str">
            <v>FG-G</v>
          </cell>
          <cell r="J578" t="str">
            <v>A9411701/SHI-MCA MMT 125 S PW</v>
          </cell>
        </row>
        <row r="579">
          <cell r="A579" t="str">
            <v>SF268-ITX3A</v>
          </cell>
          <cell r="B579" t="str">
            <v>FG-G</v>
          </cell>
          <cell r="J579" t="str">
            <v>A9410201/SHI-MCA MMT 125 TX #3</v>
          </cell>
        </row>
        <row r="580">
          <cell r="A580" t="str">
            <v>SF268-ITX4A</v>
          </cell>
          <cell r="B580" t="str">
            <v>FG-G</v>
          </cell>
          <cell r="J580" t="str">
            <v>A9410301/SHI-MCA MMT 125 TX #4</v>
          </cell>
        </row>
        <row r="581">
          <cell r="A581" t="str">
            <v>SF268-ITX7A</v>
          </cell>
          <cell r="B581" t="str">
            <v>FG-G</v>
          </cell>
          <cell r="J581" t="str">
            <v>A9410601/SHI-MCA MMT 125 TX #7</v>
          </cell>
        </row>
        <row r="582">
          <cell r="A582" t="str">
            <v>SF268-ITX9A</v>
          </cell>
          <cell r="B582" t="str">
            <v>FG-G</v>
          </cell>
          <cell r="J582" t="str">
            <v>A9410801/SHI-MCA MMT 125 TX #9</v>
          </cell>
        </row>
        <row r="583">
          <cell r="A583" t="str">
            <v>SF268-ITXPA</v>
          </cell>
          <cell r="B583" t="str">
            <v>FG-G</v>
          </cell>
          <cell r="J583" t="str">
            <v>A9410901/SHI-MCA MMT 125 TX PW</v>
          </cell>
        </row>
        <row r="584">
          <cell r="A584" t="str">
            <v>MX699-IA-1AO</v>
          </cell>
          <cell r="B584" t="str">
            <v>FG-G</v>
          </cell>
          <cell r="J584" t="str">
            <v>MMT IRON 60G A-FLEX</v>
          </cell>
        </row>
        <row r="585">
          <cell r="A585" t="str">
            <v>MX699-IR-1AO</v>
          </cell>
          <cell r="B585" t="str">
            <v>FG-G</v>
          </cell>
          <cell r="J585" t="str">
            <v>MMT IRON 60G R-FLEX</v>
          </cell>
        </row>
        <row r="586">
          <cell r="A586" t="str">
            <v>MX700-IR-1AO</v>
          </cell>
          <cell r="B586" t="str">
            <v>FG-G</v>
          </cell>
          <cell r="J586" t="str">
            <v>MMT IRON 70G R-FLEX</v>
          </cell>
        </row>
        <row r="587">
          <cell r="A587" t="str">
            <v>MX701-IR-1AO</v>
          </cell>
          <cell r="B587" t="str">
            <v>FG-G</v>
          </cell>
          <cell r="J587" t="e">
            <v>#N/A</v>
          </cell>
        </row>
        <row r="588">
          <cell r="A588" t="str">
            <v>MX701-IS-1AO</v>
          </cell>
          <cell r="B588" t="str">
            <v>FG-G</v>
          </cell>
          <cell r="J588" t="str">
            <v>MMT™ Iron 80 S-flex</v>
          </cell>
        </row>
        <row r="589">
          <cell r="A589" t="str">
            <v>MX727-IS-1AO</v>
          </cell>
          <cell r="B589" t="str">
            <v>FG-G</v>
          </cell>
          <cell r="J589" t="str">
            <v>MMT IRON 90G S-FLEX</v>
          </cell>
        </row>
        <row r="590">
          <cell r="A590" t="str">
            <v>SF248-IA-1C</v>
          </cell>
          <cell r="B590" t="str">
            <v>FG-G</v>
          </cell>
          <cell r="J590" t="e">
            <v>#N/A</v>
          </cell>
        </row>
        <row r="591">
          <cell r="A591" t="str">
            <v>SF248-IL-1C</v>
          </cell>
          <cell r="B591" t="str">
            <v>FG-G</v>
          </cell>
          <cell r="J591" t="e">
            <v>#N/A</v>
          </cell>
        </row>
        <row r="592">
          <cell r="A592" t="str">
            <v>MX783-WR-1B</v>
          </cell>
          <cell r="B592" t="str">
            <v>FG-G</v>
          </cell>
          <cell r="J592" t="e">
            <v>#N/A</v>
          </cell>
        </row>
        <row r="593">
          <cell r="A593" t="str">
            <v>MX783-WS-1B</v>
          </cell>
          <cell r="B593" t="str">
            <v>FG-G</v>
          </cell>
          <cell r="J593" t="e">
            <v>#N/A</v>
          </cell>
        </row>
        <row r="594">
          <cell r="A594" t="str">
            <v>MX783-WX-1B</v>
          </cell>
          <cell r="B594" t="str">
            <v>FG-G</v>
          </cell>
          <cell r="J594" t="e">
            <v>#N/A</v>
          </cell>
        </row>
        <row r="595">
          <cell r="A595" t="str">
            <v>AX180-WR-3PA</v>
          </cell>
          <cell r="B595" t="str">
            <v>FG-G</v>
          </cell>
          <cell r="J595" t="e">
            <v>#N/A</v>
          </cell>
        </row>
        <row r="596">
          <cell r="A596" t="str">
            <v>AX180-WS-3PA</v>
          </cell>
          <cell r="B596" t="str">
            <v>FG-G</v>
          </cell>
          <cell r="J596" t="e">
            <v>#N/A</v>
          </cell>
        </row>
        <row r="597">
          <cell r="A597" t="str">
            <v>AX180-WSR3PA</v>
          </cell>
          <cell r="B597" t="str">
            <v>FG-G</v>
          </cell>
          <cell r="J597" t="e">
            <v>#N/A</v>
          </cell>
        </row>
        <row r="598">
          <cell r="A598" t="str">
            <v>AX181-IR-1PA</v>
          </cell>
          <cell r="B598" t="str">
            <v>FG-G</v>
          </cell>
          <cell r="J598" t="str">
            <v>35860-04/MW (FW) HYBRID ALTA J CB BLACK R-FLEX</v>
          </cell>
        </row>
        <row r="599">
          <cell r="A599" t="str">
            <v>AX181-IS-1PA</v>
          </cell>
          <cell r="B599" t="str">
            <v>FG-G</v>
          </cell>
          <cell r="J599" t="str">
            <v>35860-02/MW (FW) HYBRID ALTA J CB BLACK S-FLEX</v>
          </cell>
        </row>
        <row r="600">
          <cell r="A600" t="str">
            <v>AX181-ISR1PA</v>
          </cell>
          <cell r="B600" t="str">
            <v>FG-G</v>
          </cell>
          <cell r="J600" t="str">
            <v>35860-03/MW (FW) HYBRID ALTA J CB BLACK SR-FLEX</v>
          </cell>
        </row>
        <row r="601">
          <cell r="A601" t="str">
            <v>AU205-WS-1A</v>
          </cell>
          <cell r="B601" t="str">
            <v>FG-G</v>
          </cell>
          <cell r="J601" t="str">
            <v>2692919/TENSEI 1k Black 65 S-FLEX</v>
          </cell>
        </row>
        <row r="602">
          <cell r="A602" t="str">
            <v>AU205-WTX1A</v>
          </cell>
          <cell r="B602" t="str">
            <v>FG-G</v>
          </cell>
          <cell r="J602" t="str">
            <v>2692923/TENSEI 1k Black 65 TX-FLEX</v>
          </cell>
        </row>
        <row r="603">
          <cell r="A603" t="str">
            <v>AU205-WX-1A</v>
          </cell>
          <cell r="B603" t="str">
            <v>FG-G</v>
          </cell>
          <cell r="J603" t="str">
            <v>2692921/TENSEI 1k Black 65 X-FLEX</v>
          </cell>
        </row>
        <row r="604">
          <cell r="A604" t="str">
            <v>AU206-WS-1A</v>
          </cell>
          <cell r="B604" t="str">
            <v>FG-G</v>
          </cell>
          <cell r="J604" t="str">
            <v>2692925/TENSEI 1k Black 75 S-FLEX</v>
          </cell>
        </row>
        <row r="605">
          <cell r="A605" t="str">
            <v>AU206-WTX1A</v>
          </cell>
          <cell r="B605" t="str">
            <v>FG-G</v>
          </cell>
          <cell r="J605" t="str">
            <v>2692929/TENSEI 1k Black 75 TX-FLEX</v>
          </cell>
        </row>
        <row r="606">
          <cell r="A606" t="str">
            <v>AU206-WX-1A</v>
          </cell>
          <cell r="B606" t="str">
            <v>FG-G</v>
          </cell>
          <cell r="J606" t="str">
            <v>2692927/TENSEI 1k Black 75 X-FLEX</v>
          </cell>
        </row>
        <row r="607">
          <cell r="A607" t="str">
            <v>AU207-WS-1A</v>
          </cell>
          <cell r="B607" t="str">
            <v>FG-G</v>
          </cell>
          <cell r="J607" t="str">
            <v>2692931/TENSEI 1k Black 85 S-FLEX</v>
          </cell>
        </row>
        <row r="608">
          <cell r="A608" t="str">
            <v>AU207-WTX1A</v>
          </cell>
          <cell r="B608" t="str">
            <v>FG-G</v>
          </cell>
          <cell r="J608" t="str">
            <v>2692935/TENSEI 1k Black 85 TX-FLEX</v>
          </cell>
        </row>
        <row r="609">
          <cell r="A609" t="str">
            <v>AU207-WX-1A</v>
          </cell>
          <cell r="B609" t="str">
            <v>FG-G</v>
          </cell>
          <cell r="J609" t="str">
            <v>2692933/TENSEI 1k Black 85 X-FLEX</v>
          </cell>
        </row>
        <row r="610">
          <cell r="A610" t="str">
            <v>SF246-WA-1E</v>
          </cell>
          <cell r="B610" t="str">
            <v>FG-G</v>
          </cell>
          <cell r="J610" t="e">
            <v>#N/A</v>
          </cell>
        </row>
        <row r="611">
          <cell r="A611" t="str">
            <v>SF246-WL-1E</v>
          </cell>
          <cell r="B611" t="str">
            <v>FG-G</v>
          </cell>
          <cell r="J611" t="e">
            <v>#N/A</v>
          </cell>
        </row>
        <row r="612">
          <cell r="A612" t="str">
            <v>YR169-UR-1A</v>
          </cell>
          <cell r="B612" t="str">
            <v>FG-G</v>
          </cell>
          <cell r="J612" t="str">
            <v>VU221-37C /2022 RS Utility R-flex</v>
          </cell>
        </row>
        <row r="613">
          <cell r="A613" t="str">
            <v>YR169-WR-1A</v>
          </cell>
          <cell r="B613" t="str">
            <v>FG-G</v>
          </cell>
          <cell r="J613" t="str">
            <v>VD221-37A/2022 RS Driver R-flex</v>
          </cell>
        </row>
        <row r="614">
          <cell r="A614" t="str">
            <v>YR169-WR-3A</v>
          </cell>
          <cell r="B614" t="str">
            <v>FG-G</v>
          </cell>
          <cell r="J614" t="str">
            <v>VF221-37C/2022 RS Fairway R-flex</v>
          </cell>
        </row>
        <row r="615">
          <cell r="A615" t="str">
            <v>MR127-IL-SA</v>
          </cell>
          <cell r="B615" t="str">
            <v>FG-G</v>
          </cell>
          <cell r="J615" t="e">
            <v>#N/A</v>
          </cell>
        </row>
        <row r="616">
          <cell r="A616" t="str">
            <v>MX783-WS-1BO</v>
          </cell>
          <cell r="B616" t="str">
            <v>FG-G</v>
          </cell>
          <cell r="J616" t="str">
            <v>KAILI White 60 S-FLEX</v>
          </cell>
        </row>
        <row r="617">
          <cell r="A617" t="str">
            <v>MX783-WX-1BO</v>
          </cell>
          <cell r="B617" t="str">
            <v>FG-G</v>
          </cell>
          <cell r="J617" t="str">
            <v>KAILI White 60 X-FLEX</v>
          </cell>
        </row>
        <row r="618">
          <cell r="A618" t="str">
            <v>MX783-WS-1BO</v>
          </cell>
          <cell r="B618" t="str">
            <v>FG-G</v>
          </cell>
          <cell r="J618" t="str">
            <v>KAILI White 60 S-FLEX</v>
          </cell>
        </row>
        <row r="619">
          <cell r="A619" t="str">
            <v>MX783-WX-1BO</v>
          </cell>
          <cell r="B619" t="str">
            <v>FG-G</v>
          </cell>
          <cell r="J619" t="str">
            <v>KAILI White 60 X-FLEX</v>
          </cell>
        </row>
        <row r="620">
          <cell r="A620" t="str">
            <v>PA002-WA-1A</v>
          </cell>
          <cell r="B620" t="str">
            <v>FG-G</v>
          </cell>
          <cell r="J620" t="e">
            <v>#N/A</v>
          </cell>
        </row>
        <row r="621">
          <cell r="A621" t="str">
            <v>XG015-WL-1B</v>
          </cell>
          <cell r="B621" t="str">
            <v>FG-G</v>
          </cell>
          <cell r="J621" t="str">
            <v>MCA Diamana PXG 40L</v>
          </cell>
        </row>
        <row r="622">
          <cell r="A622" t="str">
            <v>XG015-WR-1B</v>
          </cell>
          <cell r="B622" t="str">
            <v>FG-G</v>
          </cell>
          <cell r="J622" t="e">
            <v>#N/A</v>
          </cell>
        </row>
        <row r="623">
          <cell r="A623" t="str">
            <v>XG015-WS-1B</v>
          </cell>
          <cell r="B623" t="str">
            <v>FG-G</v>
          </cell>
          <cell r="J623" t="str">
            <v>MCA Diamana PXG 50S</v>
          </cell>
        </row>
        <row r="624">
          <cell r="A624" t="str">
            <v>XG016-WS-1B</v>
          </cell>
          <cell r="B624" t="str">
            <v>FG-G</v>
          </cell>
          <cell r="J624" t="str">
            <v>MCA Diamana PXG 60S</v>
          </cell>
        </row>
        <row r="625">
          <cell r="A625" t="str">
            <v>XG018-IL-1B</v>
          </cell>
          <cell r="B625" t="str">
            <v>FG-G</v>
          </cell>
          <cell r="J625" t="str">
            <v>MCA Diamana PXG Hybrid 50L</v>
          </cell>
        </row>
        <row r="626">
          <cell r="A626" t="str">
            <v>XG018-IS-1B</v>
          </cell>
          <cell r="B626" t="str">
            <v>FG-G</v>
          </cell>
          <cell r="J626" t="str">
            <v>MCA Diamana PXG Hybrid 60S</v>
          </cell>
        </row>
        <row r="627">
          <cell r="A627" t="str">
            <v>PA002-WA-1A</v>
          </cell>
          <cell r="B627" t="str">
            <v>FG-G</v>
          </cell>
          <cell r="J627" t="e">
            <v>#N/A</v>
          </cell>
        </row>
        <row r="628">
          <cell r="A628" t="str">
            <v>SF245-WSR1G</v>
          </cell>
          <cell r="B628" t="str">
            <v>FG-G</v>
          </cell>
          <cell r="J628" t="e">
            <v>#N/A</v>
          </cell>
        </row>
        <row r="629">
          <cell r="A629" t="str">
            <v>CW113-IRA2A</v>
          </cell>
          <cell r="B629" t="str">
            <v>FG-G</v>
          </cell>
          <cell r="J629" t="e">
            <v>#N/A</v>
          </cell>
        </row>
        <row r="630">
          <cell r="A630" t="str">
            <v>SU024-IL-1B</v>
          </cell>
          <cell r="B630" t="str">
            <v>FG-G</v>
          </cell>
          <cell r="J630" t="str">
            <v>11215924/X151 Hybrid L-flex</v>
          </cell>
        </row>
        <row r="631">
          <cell r="A631" t="str">
            <v>SU024-WL-1B</v>
          </cell>
          <cell r="B631" t="str">
            <v>FG-G</v>
          </cell>
          <cell r="J631" t="str">
            <v>11215910/X151 Wood L-flex</v>
          </cell>
        </row>
        <row r="632">
          <cell r="A632" t="str">
            <v>AX184-WR-3PA</v>
          </cell>
          <cell r="B632" t="str">
            <v>FG-G</v>
          </cell>
          <cell r="J632" t="e">
            <v>#N/A</v>
          </cell>
        </row>
        <row r="633">
          <cell r="A633" t="str">
            <v>AX184-WS-3PA</v>
          </cell>
          <cell r="B633" t="str">
            <v>FG-G</v>
          </cell>
          <cell r="J633" t="str">
            <v>35859-02/MW FW ALTA J CB BLACK (MAGURO) S-FLEX</v>
          </cell>
        </row>
        <row r="634">
          <cell r="A634" t="str">
            <v>AX184-WSR3PA</v>
          </cell>
          <cell r="B634" t="str">
            <v>FG-G</v>
          </cell>
          <cell r="J634" t="str">
            <v>35859-03/MW FW ALTA J CB BLACK (MAGURO) SR-FLEX</v>
          </cell>
        </row>
        <row r="635">
          <cell r="A635" t="str">
            <v>PG056-WS-1A</v>
          </cell>
          <cell r="B635" t="str">
            <v>FG-G</v>
          </cell>
          <cell r="J635" t="e">
            <v>#N/A</v>
          </cell>
        </row>
        <row r="636">
          <cell r="A636" t="str">
            <v>PG056-WX-1A</v>
          </cell>
          <cell r="B636" t="str">
            <v>FG-G</v>
          </cell>
          <cell r="J636" t="str">
            <v>36534-03/MW MTSB KAILI WHITE 60 X-FLEX</v>
          </cell>
        </row>
        <row r="637">
          <cell r="A637" t="str">
            <v>PG057-WS-1A</v>
          </cell>
          <cell r="B637" t="str">
            <v>FG-G</v>
          </cell>
          <cell r="J637" t="str">
            <v>36535-01/MW MTSB KAILI WHITE 70 S-FLEX</v>
          </cell>
        </row>
        <row r="638">
          <cell r="A638" t="str">
            <v>PG057-WX-1A</v>
          </cell>
          <cell r="B638" t="str">
            <v>FG-G</v>
          </cell>
          <cell r="J638" t="str">
            <v>36535-02/MW MTSB KAILI WHITE 70 X-FLEX</v>
          </cell>
        </row>
        <row r="639">
          <cell r="A639" t="str">
            <v>PG058-IS-1A</v>
          </cell>
          <cell r="B639" t="str">
            <v>FG-G</v>
          </cell>
          <cell r="J639" t="str">
            <v>36679-02/HYBRID MTSB KAILI WHITE 80 S-FLEX</v>
          </cell>
        </row>
        <row r="640">
          <cell r="A640" t="str">
            <v>PG058-IX-1A</v>
          </cell>
          <cell r="B640" t="str">
            <v>FG-G</v>
          </cell>
          <cell r="J640" t="str">
            <v>36679-01/HYBRID MTSB KAILI WHITE 80 X-FLEX</v>
          </cell>
        </row>
        <row r="641">
          <cell r="A641" t="str">
            <v>CB039-WS-1A</v>
          </cell>
          <cell r="B641" t="str">
            <v>FG-G</v>
          </cell>
          <cell r="J641" t="e">
            <v>#N/A</v>
          </cell>
        </row>
        <row r="642">
          <cell r="A642" t="str">
            <v>CB039-WX-1A</v>
          </cell>
          <cell r="B642" t="str">
            <v>FG-G</v>
          </cell>
          <cell r="J642" t="e">
            <v>#N/A</v>
          </cell>
        </row>
        <row r="643">
          <cell r="A643" t="str">
            <v>CB040-WS-1A</v>
          </cell>
          <cell r="B643" t="str">
            <v>FG-G</v>
          </cell>
          <cell r="J643" t="e">
            <v>#N/A</v>
          </cell>
        </row>
        <row r="644">
          <cell r="A644" t="str">
            <v>CB040-WX-1A</v>
          </cell>
          <cell r="B644" t="str">
            <v>FG-G</v>
          </cell>
          <cell r="J644" t="e">
            <v>#N/A</v>
          </cell>
        </row>
        <row r="645">
          <cell r="A645" t="str">
            <v>CB041-WR-1A</v>
          </cell>
          <cell r="B645" t="str">
            <v>FG-G</v>
          </cell>
          <cell r="J645" t="str">
            <v>SD22GR116460/KAILI Blue DR/FW 60 R</v>
          </cell>
        </row>
        <row r="646">
          <cell r="A646" t="str">
            <v>CB041-WS-1A</v>
          </cell>
          <cell r="B646" t="str">
            <v>FG-G</v>
          </cell>
          <cell r="J646" t="str">
            <v>SD22GS171460/KAILI Blue DR/FW 60 S</v>
          </cell>
        </row>
        <row r="647">
          <cell r="A647" t="str">
            <v>YM123-IA-7A</v>
          </cell>
          <cell r="B647" t="str">
            <v>FG-G</v>
          </cell>
          <cell r="J647" t="e">
            <v>#N/A</v>
          </cell>
        </row>
        <row r="648">
          <cell r="A648" t="str">
            <v>YM123-IL-7A</v>
          </cell>
          <cell r="B648" t="str">
            <v>FG-G</v>
          </cell>
          <cell r="J648" t="e">
            <v>#N/A</v>
          </cell>
        </row>
        <row r="649">
          <cell r="A649" t="str">
            <v>SP404-IS-3A</v>
          </cell>
          <cell r="B649" t="str">
            <v>FG-G</v>
          </cell>
          <cell r="J649" t="str">
            <v>OTBBISM/CB Iron Flex-S</v>
          </cell>
        </row>
        <row r="650">
          <cell r="A650" t="str">
            <v>YM123-IA-6A</v>
          </cell>
          <cell r="B650" t="str">
            <v>FG-G</v>
          </cell>
          <cell r="J650" t="e">
            <v>#N/A</v>
          </cell>
        </row>
        <row r="651">
          <cell r="A651" t="str">
            <v>YM123-IA-8A</v>
          </cell>
          <cell r="B651" t="str">
            <v>FG-G</v>
          </cell>
          <cell r="J651" t="e">
            <v>#N/A</v>
          </cell>
        </row>
        <row r="652">
          <cell r="A652" t="str">
            <v>YM123-IA-9A</v>
          </cell>
          <cell r="B652" t="str">
            <v>FG-G</v>
          </cell>
          <cell r="J652" t="e">
            <v>#N/A</v>
          </cell>
        </row>
        <row r="653">
          <cell r="A653" t="str">
            <v>YM123-IA-PA</v>
          </cell>
          <cell r="B653" t="str">
            <v>FG-G</v>
          </cell>
          <cell r="J653" t="e">
            <v>#N/A</v>
          </cell>
        </row>
        <row r="654">
          <cell r="A654" t="str">
            <v>YM123-IA-PA</v>
          </cell>
          <cell r="B654" t="str">
            <v>FG-G</v>
          </cell>
          <cell r="J654" t="e">
            <v>#N/A</v>
          </cell>
        </row>
        <row r="655">
          <cell r="A655" t="str">
            <v>YM123-IL-6A</v>
          </cell>
          <cell r="B655" t="str">
            <v>FG-G</v>
          </cell>
          <cell r="J655" t="e">
            <v>#N/A</v>
          </cell>
        </row>
        <row r="656">
          <cell r="A656" t="str">
            <v>YM123-IL-6A</v>
          </cell>
          <cell r="B656" t="str">
            <v>FG-G</v>
          </cell>
          <cell r="J656" t="e">
            <v>#N/A</v>
          </cell>
        </row>
        <row r="657">
          <cell r="A657" t="str">
            <v>YM123-IL-8A</v>
          </cell>
          <cell r="B657" t="str">
            <v>FG-G</v>
          </cell>
          <cell r="J657" t="e">
            <v>#N/A</v>
          </cell>
        </row>
        <row r="658">
          <cell r="A658" t="str">
            <v>YM123-IL-8A</v>
          </cell>
          <cell r="B658" t="str">
            <v>FG-G</v>
          </cell>
          <cell r="J658" t="e">
            <v>#N/A</v>
          </cell>
        </row>
        <row r="659">
          <cell r="A659" t="str">
            <v>YM123-IL-9A</v>
          </cell>
          <cell r="B659" t="str">
            <v>FG-G</v>
          </cell>
          <cell r="J659" t="e">
            <v>#N/A</v>
          </cell>
        </row>
        <row r="660">
          <cell r="A660" t="str">
            <v>YM123-IL-9A</v>
          </cell>
          <cell r="B660" t="str">
            <v>FG-G</v>
          </cell>
          <cell r="J660" t="e">
            <v>#N/A</v>
          </cell>
        </row>
        <row r="661">
          <cell r="A661" t="str">
            <v>YM123-IL-PA</v>
          </cell>
          <cell r="B661" t="str">
            <v>FG-G</v>
          </cell>
          <cell r="J661" t="e">
            <v>#N/A</v>
          </cell>
        </row>
        <row r="662">
          <cell r="A662" t="str">
            <v>YM123-IL-PA</v>
          </cell>
          <cell r="B662" t="str">
            <v>FG-G</v>
          </cell>
          <cell r="J662" t="e">
            <v>#N/A</v>
          </cell>
        </row>
        <row r="663">
          <cell r="A663" t="str">
            <v>YM123-IR-6A</v>
          </cell>
          <cell r="B663" t="str">
            <v>FG-G</v>
          </cell>
          <cell r="J663" t="e">
            <v>#N/A</v>
          </cell>
        </row>
        <row r="664">
          <cell r="A664" t="str">
            <v>YM123-IR-7A</v>
          </cell>
          <cell r="B664" t="str">
            <v>FG-G</v>
          </cell>
          <cell r="J664" t="e">
            <v>#N/A</v>
          </cell>
        </row>
        <row r="665">
          <cell r="A665" t="str">
            <v>YM123-IR-7A</v>
          </cell>
          <cell r="B665" t="str">
            <v>FG-G</v>
          </cell>
          <cell r="J665" t="e">
            <v>#N/A</v>
          </cell>
        </row>
        <row r="666">
          <cell r="A666" t="str">
            <v>YM123-IR-8A</v>
          </cell>
          <cell r="B666" t="str">
            <v>FG-G</v>
          </cell>
          <cell r="J666" t="e">
            <v>#N/A</v>
          </cell>
        </row>
        <row r="667">
          <cell r="A667" t="str">
            <v>YM123-IR-9A</v>
          </cell>
          <cell r="B667" t="str">
            <v>FG-G</v>
          </cell>
          <cell r="J667" t="e">
            <v>#N/A</v>
          </cell>
        </row>
        <row r="668">
          <cell r="A668" t="str">
            <v>YM123-IR-PA</v>
          </cell>
          <cell r="B668" t="str">
            <v>FG-G</v>
          </cell>
          <cell r="J668" t="e">
            <v>#N/A</v>
          </cell>
        </row>
        <row r="669">
          <cell r="A669" t="str">
            <v>YM123-IR-PA</v>
          </cell>
          <cell r="B669" t="str">
            <v>FG-G</v>
          </cell>
          <cell r="J669" t="e">
            <v>#N/A</v>
          </cell>
        </row>
        <row r="670">
          <cell r="A670" t="str">
            <v>YM123-UA-2A</v>
          </cell>
          <cell r="B670" t="str">
            <v>FG-G</v>
          </cell>
          <cell r="J670" t="e">
            <v>#N/A</v>
          </cell>
        </row>
        <row r="671">
          <cell r="A671" t="str">
            <v>YM123-UL-2A</v>
          </cell>
          <cell r="B671" t="str">
            <v>FG-G</v>
          </cell>
          <cell r="J671" t="e">
            <v>#N/A</v>
          </cell>
        </row>
        <row r="672">
          <cell r="A672" t="str">
            <v>YM123-UR-2A</v>
          </cell>
          <cell r="B672" t="str">
            <v>FG-G</v>
          </cell>
          <cell r="J672" t="e">
            <v>#N/A</v>
          </cell>
        </row>
        <row r="673">
          <cell r="A673" t="str">
            <v>YM123-WA-1A</v>
          </cell>
          <cell r="B673" t="str">
            <v>FG-G</v>
          </cell>
          <cell r="J673" t="e">
            <v>#N/A</v>
          </cell>
        </row>
        <row r="674">
          <cell r="A674" t="str">
            <v>YM123-WA-3A</v>
          </cell>
          <cell r="B674" t="str">
            <v>FG-G</v>
          </cell>
          <cell r="J674" t="e">
            <v>#N/A</v>
          </cell>
        </row>
        <row r="675">
          <cell r="A675" t="str">
            <v>YM123-WL-1A</v>
          </cell>
          <cell r="B675" t="str">
            <v>FG-G</v>
          </cell>
          <cell r="J675" t="e">
            <v>#N/A</v>
          </cell>
        </row>
        <row r="676">
          <cell r="A676" t="str">
            <v>YM123-WL-3A</v>
          </cell>
          <cell r="B676" t="str">
            <v>FG-G</v>
          </cell>
          <cell r="J676" t="e">
            <v>#N/A</v>
          </cell>
        </row>
        <row r="677">
          <cell r="A677" t="str">
            <v>YM123-WR-1A</v>
          </cell>
          <cell r="B677" t="str">
            <v>FG-G</v>
          </cell>
          <cell r="J677" t="e">
            <v>#N/A</v>
          </cell>
        </row>
        <row r="678">
          <cell r="A678" t="str">
            <v>YM123-WR-3A</v>
          </cell>
          <cell r="B678" t="str">
            <v>FG-G</v>
          </cell>
          <cell r="J678" t="e">
            <v>#N/A</v>
          </cell>
        </row>
        <row r="679">
          <cell r="A679" t="str">
            <v>SU024-IR-1B</v>
          </cell>
          <cell r="B679" t="str">
            <v>FG-G</v>
          </cell>
          <cell r="J679" t="str">
            <v>10327867/X150 Hybrid R-flex</v>
          </cell>
        </row>
        <row r="680">
          <cell r="A680" t="str">
            <v>SU024-IS-1B</v>
          </cell>
          <cell r="B680" t="str">
            <v>FG-G</v>
          </cell>
          <cell r="J680" t="str">
            <v>10327866/X150 Hybrid S-flex</v>
          </cell>
        </row>
        <row r="681">
          <cell r="A681" t="str">
            <v>SU024-WR-1B</v>
          </cell>
          <cell r="B681" t="str">
            <v>FG-G</v>
          </cell>
          <cell r="J681" t="str">
            <v>10327864/X150 Wood R-flex</v>
          </cell>
        </row>
        <row r="682">
          <cell r="A682" t="str">
            <v>SU024-WS-1B</v>
          </cell>
          <cell r="B682" t="str">
            <v>FG-G</v>
          </cell>
          <cell r="J682" t="str">
            <v>10327863/X150 Wood S-flex</v>
          </cell>
        </row>
        <row r="683">
          <cell r="A683" t="str">
            <v>MX759-WR-1B</v>
          </cell>
          <cell r="B683" t="str">
            <v>FG-G</v>
          </cell>
          <cell r="J683" t="e">
            <v>#N/A</v>
          </cell>
        </row>
        <row r="684">
          <cell r="A684" t="str">
            <v>MX759-WS-1B</v>
          </cell>
          <cell r="B684" t="str">
            <v>FG-G</v>
          </cell>
          <cell r="J684" t="e">
            <v>#N/A</v>
          </cell>
        </row>
        <row r="685">
          <cell r="A685" t="str">
            <v>MX759-WX-1B</v>
          </cell>
          <cell r="B685" t="str">
            <v>FG-G</v>
          </cell>
          <cell r="J685" t="e">
            <v>#N/A</v>
          </cell>
        </row>
        <row r="686">
          <cell r="A686" t="str">
            <v>MX760-WS-1B</v>
          </cell>
          <cell r="B686" t="str">
            <v>FG-G</v>
          </cell>
          <cell r="J686" t="e">
            <v>#N/A</v>
          </cell>
        </row>
        <row r="687">
          <cell r="A687" t="str">
            <v>MX760-WX-1B</v>
          </cell>
          <cell r="B687" t="str">
            <v>FG-G</v>
          </cell>
          <cell r="J687" t="e">
            <v>#N/A</v>
          </cell>
        </row>
        <row r="688">
          <cell r="A688" t="str">
            <v>MX824-WR-1B</v>
          </cell>
          <cell r="B688" t="str">
            <v>FG-G</v>
          </cell>
          <cell r="J688" t="e">
            <v>#N/A</v>
          </cell>
        </row>
        <row r="689">
          <cell r="A689" t="str">
            <v>MX824-WS-1B</v>
          </cell>
          <cell r="B689" t="str">
            <v>FG-G</v>
          </cell>
          <cell r="J689" t="e">
            <v>#N/A</v>
          </cell>
        </row>
        <row r="690">
          <cell r="A690" t="str">
            <v>YM123-WL-1B</v>
          </cell>
          <cell r="B690" t="str">
            <v>FG-G</v>
          </cell>
          <cell r="J690" t="e">
            <v>#N/A</v>
          </cell>
        </row>
        <row r="691">
          <cell r="A691" t="str">
            <v>SF281-IS-5A</v>
          </cell>
          <cell r="B691" t="str">
            <v>FG-G</v>
          </cell>
          <cell r="J691" t="e">
            <v>#N/A</v>
          </cell>
        </row>
        <row r="692">
          <cell r="A692" t="str">
            <v>SF281-IS-6A</v>
          </cell>
          <cell r="B692" t="str">
            <v>FG-G</v>
          </cell>
          <cell r="J692" t="e">
            <v>#N/A</v>
          </cell>
        </row>
        <row r="693">
          <cell r="A693" t="str">
            <v>SF281-IS-7A</v>
          </cell>
          <cell r="B693" t="str">
            <v>FG-G</v>
          </cell>
          <cell r="J693" t="e">
            <v>#N/A</v>
          </cell>
        </row>
        <row r="694">
          <cell r="A694" t="str">
            <v>SF281-IS-8A</v>
          </cell>
          <cell r="B694" t="str">
            <v>FG-G</v>
          </cell>
          <cell r="J694" t="e">
            <v>#N/A</v>
          </cell>
        </row>
        <row r="695">
          <cell r="A695" t="str">
            <v>SF281-IS-9A</v>
          </cell>
          <cell r="B695" t="str">
            <v>FG-G</v>
          </cell>
          <cell r="J695" t="e">
            <v>#N/A</v>
          </cell>
        </row>
        <row r="696">
          <cell r="A696" t="str">
            <v>SF281-IS-PA</v>
          </cell>
          <cell r="B696" t="str">
            <v>FG-G</v>
          </cell>
          <cell r="J696" t="e">
            <v>#N/A</v>
          </cell>
        </row>
        <row r="697">
          <cell r="A697" t="str">
            <v>XG020-IR-1B</v>
          </cell>
          <cell r="B697" t="str">
            <v>FG-G</v>
          </cell>
          <cell r="J697" t="str">
            <v>FY22 PXG DIA I 60R/S-DIAMANA-FY22 PXG-IRON-60R</v>
          </cell>
        </row>
        <row r="698">
          <cell r="A698" t="str">
            <v>SF280-IR-5A</v>
          </cell>
          <cell r="B698" t="str">
            <v>FG-G</v>
          </cell>
          <cell r="J698" t="e">
            <v>#N/A</v>
          </cell>
        </row>
        <row r="699">
          <cell r="A699" t="str">
            <v>SF280-IR-7A</v>
          </cell>
          <cell r="B699" t="str">
            <v>FG-G</v>
          </cell>
          <cell r="J699" t="e">
            <v>#N/A</v>
          </cell>
        </row>
        <row r="700">
          <cell r="A700" t="str">
            <v>SF281-IS-3A</v>
          </cell>
          <cell r="B700" t="str">
            <v>FG-G</v>
          </cell>
          <cell r="J700" t="e">
            <v>#N/A</v>
          </cell>
        </row>
        <row r="701">
          <cell r="A701" t="str">
            <v>XG019-IL-1B</v>
          </cell>
          <cell r="B701" t="str">
            <v>FG-G</v>
          </cell>
          <cell r="J701" t="e">
            <v>#N/A</v>
          </cell>
        </row>
        <row r="702">
          <cell r="A702" t="str">
            <v>XG020-IS-1B</v>
          </cell>
          <cell r="B702" t="str">
            <v>FG-G</v>
          </cell>
          <cell r="J702" t="e">
            <v>#N/A</v>
          </cell>
        </row>
        <row r="703">
          <cell r="A703" t="str">
            <v>XG021-IS-1B</v>
          </cell>
          <cell r="B703" t="str">
            <v>FG-G</v>
          </cell>
          <cell r="J703" t="e">
            <v>#N/A</v>
          </cell>
        </row>
        <row r="704">
          <cell r="A704" t="str">
            <v>XG022-IX-1B</v>
          </cell>
          <cell r="B704" t="str">
            <v>FG-G</v>
          </cell>
          <cell r="J704" t="e">
            <v>#N/A</v>
          </cell>
        </row>
        <row r="705">
          <cell r="A705" t="str">
            <v>SF281-IS-4A</v>
          </cell>
          <cell r="B705" t="str">
            <v>FG-G</v>
          </cell>
          <cell r="J705" t="e">
            <v>#N/A</v>
          </cell>
        </row>
        <row r="706">
          <cell r="A706" t="str">
            <v>CW149-WS-1A</v>
          </cell>
          <cell r="B706" t="str">
            <v>FG-G</v>
          </cell>
          <cell r="J706" t="e">
            <v>#N/A</v>
          </cell>
        </row>
        <row r="707">
          <cell r="A707" t="str">
            <v>CB041-WX-1A</v>
          </cell>
          <cell r="B707" t="str">
            <v>FG-G</v>
          </cell>
          <cell r="J707" t="e">
            <v>#N/A</v>
          </cell>
        </row>
        <row r="708">
          <cell r="A708" t="str">
            <v>CB042-WS-1A</v>
          </cell>
          <cell r="B708" t="str">
            <v>FG-G</v>
          </cell>
          <cell r="J708" t="e">
            <v>#N/A</v>
          </cell>
        </row>
        <row r="709">
          <cell r="A709" t="str">
            <v>CB042-WX-1A</v>
          </cell>
          <cell r="B709" t="str">
            <v>FG-G</v>
          </cell>
          <cell r="J709" t="e">
            <v>#N/A</v>
          </cell>
        </row>
        <row r="710">
          <cell r="A710" t="str">
            <v>MX893-IS-1A</v>
          </cell>
          <cell r="B710" t="str">
            <v>FG-G</v>
          </cell>
          <cell r="J710" t="e">
            <v>#N/A</v>
          </cell>
        </row>
        <row r="711">
          <cell r="A711" t="str">
            <v>MX893-IX-1A</v>
          </cell>
          <cell r="B711" t="str">
            <v>FG-G</v>
          </cell>
          <cell r="J711" t="e">
            <v>#N/A</v>
          </cell>
        </row>
        <row r="712">
          <cell r="A712" t="str">
            <v>CW147-WS-1A</v>
          </cell>
          <cell r="B712" t="str">
            <v>FG-G</v>
          </cell>
          <cell r="J712" t="e">
            <v>#N/A</v>
          </cell>
        </row>
        <row r="713">
          <cell r="A713" t="str">
            <v>CW147-WX-1A</v>
          </cell>
          <cell r="B713" t="str">
            <v>FG-G</v>
          </cell>
          <cell r="J713" t="e">
            <v>#N/A</v>
          </cell>
        </row>
        <row r="714">
          <cell r="A714" t="str">
            <v>AX196-WA-1CA</v>
          </cell>
          <cell r="B714" t="str">
            <v>FG-G</v>
          </cell>
          <cell r="J714" t="e">
            <v>#N/A</v>
          </cell>
        </row>
        <row r="715">
          <cell r="A715" t="str">
            <v>AX196-WR-1CA</v>
          </cell>
          <cell r="B715" t="str">
            <v>FG-G</v>
          </cell>
          <cell r="J715" t="e">
            <v>#N/A</v>
          </cell>
        </row>
        <row r="716">
          <cell r="A716" t="str">
            <v>AX196-WW-1CA</v>
          </cell>
          <cell r="B716" t="str">
            <v>FG-G</v>
          </cell>
          <cell r="J716" t="e">
            <v>#N/A</v>
          </cell>
        </row>
        <row r="717">
          <cell r="A717" t="str">
            <v>AX197-WA-1CA</v>
          </cell>
          <cell r="B717" t="str">
            <v>FG-G</v>
          </cell>
          <cell r="J717" t="str">
            <v>3542L1/NEW ASCENT PL DR/FWY 50G A-FLEX (LGT)</v>
          </cell>
        </row>
        <row r="718">
          <cell r="A718" t="str">
            <v>AX197-WR-1CA</v>
          </cell>
          <cell r="B718" t="str">
            <v>FG-G</v>
          </cell>
          <cell r="J718" t="str">
            <v>3542L2/NEW ASCENT PL DR/FWY 50G R-FLEX</v>
          </cell>
        </row>
        <row r="719">
          <cell r="A719" t="str">
            <v>AX198-IL-1CA</v>
          </cell>
          <cell r="B719" t="str">
            <v>FG-G</v>
          </cell>
          <cell r="J719" t="e">
            <v>#N/A</v>
          </cell>
        </row>
        <row r="720">
          <cell r="A720" t="str">
            <v>AX199-IA-1CA</v>
          </cell>
          <cell r="B720" t="str">
            <v>FG-G</v>
          </cell>
          <cell r="J720" t="str">
            <v>3542H1/NEW ASCENT PL BLU HYB/IR 50G A-FLEX (LGT)</v>
          </cell>
        </row>
        <row r="721">
          <cell r="A721" t="str">
            <v>CW149-WX-1A</v>
          </cell>
          <cell r="B721" t="str">
            <v>FG-G</v>
          </cell>
          <cell r="J721" t="e">
            <v>#N/A</v>
          </cell>
        </row>
        <row r="722">
          <cell r="A722" t="str">
            <v>SF280-IR-4A</v>
          </cell>
          <cell r="B722" t="str">
            <v>FG-G</v>
          </cell>
          <cell r="J722" t="e">
            <v>#N/A</v>
          </cell>
        </row>
        <row r="723">
          <cell r="A723" t="str">
            <v>SF280-IR-6A</v>
          </cell>
          <cell r="B723" t="str">
            <v>FG-G</v>
          </cell>
          <cell r="J723" t="e">
            <v>#N/A</v>
          </cell>
        </row>
        <row r="724">
          <cell r="A724" t="str">
            <v>SF280-IR-8A</v>
          </cell>
          <cell r="B724" t="str">
            <v>FG-G</v>
          </cell>
          <cell r="J724" t="e">
            <v>#N/A</v>
          </cell>
        </row>
        <row r="725">
          <cell r="A725" t="str">
            <v>SF280-IR-9A</v>
          </cell>
          <cell r="B725" t="str">
            <v>FG-G</v>
          </cell>
          <cell r="J725" t="e">
            <v>#N/A</v>
          </cell>
        </row>
        <row r="726">
          <cell r="A726" t="str">
            <v>SF280-IR-PA</v>
          </cell>
          <cell r="B726" t="str">
            <v>FG-G</v>
          </cell>
          <cell r="J726" t="e">
            <v>#N/A</v>
          </cell>
        </row>
        <row r="727">
          <cell r="A727" t="str">
            <v>AX185-WS-1PA</v>
          </cell>
          <cell r="B727" t="str">
            <v>FG-G</v>
          </cell>
          <cell r="J727" t="str">
            <v>35858-02/MW DRIVER ALTA J CB BLACK S (Maguro DR S-Flex)</v>
          </cell>
        </row>
        <row r="728">
          <cell r="A728" t="str">
            <v>AX185-WSR1PA</v>
          </cell>
          <cell r="B728" t="str">
            <v>FG-G</v>
          </cell>
          <cell r="J728" t="str">
            <v>35858-03/MW DRIVER ALTA J CB BLACK SR (Maguro DR SR-Flex)</v>
          </cell>
        </row>
        <row r="729">
          <cell r="A729" t="str">
            <v>MR125-IR-5A</v>
          </cell>
          <cell r="B729" t="str">
            <v>FG-G</v>
          </cell>
          <cell r="J729" t="e">
            <v>#N/A</v>
          </cell>
        </row>
        <row r="730">
          <cell r="A730" t="str">
            <v>MR125-WR-1A</v>
          </cell>
          <cell r="B730" t="str">
            <v>FG-G</v>
          </cell>
          <cell r="J730" t="e">
            <v>#N/A</v>
          </cell>
        </row>
        <row r="731">
          <cell r="A731" t="str">
            <v>MR125-WR-1B</v>
          </cell>
          <cell r="B731" t="str">
            <v>FG-G</v>
          </cell>
          <cell r="J731" t="str">
            <v>8469728/22 Maruman SG R</v>
          </cell>
        </row>
        <row r="732">
          <cell r="A732" t="str">
            <v>MR125-WS-1A</v>
          </cell>
          <cell r="B732" t="str">
            <v>FG-G</v>
          </cell>
          <cell r="J732" t="e">
            <v>#N/A</v>
          </cell>
        </row>
        <row r="733">
          <cell r="A733" t="str">
            <v>MR125-WS-1B</v>
          </cell>
          <cell r="B733" t="str">
            <v>FG-G</v>
          </cell>
          <cell r="J733" t="str">
            <v>8469744/22 Maruman SG S</v>
          </cell>
        </row>
        <row r="734">
          <cell r="A734" t="str">
            <v>MR125-WSR1A</v>
          </cell>
          <cell r="B734" t="str">
            <v>FG-G</v>
          </cell>
          <cell r="J734" t="e">
            <v>#N/A</v>
          </cell>
        </row>
        <row r="735">
          <cell r="A735" t="str">
            <v>MR125-WSR1B</v>
          </cell>
          <cell r="B735" t="str">
            <v>FG-G</v>
          </cell>
          <cell r="J735" t="str">
            <v>8469736/22 Maruman SG SR</v>
          </cell>
        </row>
        <row r="736">
          <cell r="A736" t="str">
            <v>MR129-WA-1A</v>
          </cell>
          <cell r="B736" t="str">
            <v>FG-G</v>
          </cell>
          <cell r="J736" t="str">
            <v>8469959/22 Maruman Shuttle/SG FLEX A</v>
          </cell>
        </row>
        <row r="737">
          <cell r="A737" t="str">
            <v>MR129-WL-1A</v>
          </cell>
          <cell r="B737" t="str">
            <v>FG-G</v>
          </cell>
          <cell r="J737" t="e">
            <v>#N/A</v>
          </cell>
        </row>
        <row r="738">
          <cell r="A738" t="str">
            <v>XG015-WSR1B</v>
          </cell>
          <cell r="B738" t="str">
            <v>FG-G</v>
          </cell>
          <cell r="J738" t="str">
            <v>MCA Diamana PXG 50SR</v>
          </cell>
        </row>
        <row r="739">
          <cell r="A739" t="str">
            <v>XG018-IR-1B</v>
          </cell>
          <cell r="B739" t="str">
            <v>FG-G</v>
          </cell>
          <cell r="J739" t="str">
            <v>MCA Diamana PXG Hybrid 60R</v>
          </cell>
        </row>
        <row r="740">
          <cell r="A740" t="str">
            <v>MX889-WS-1A</v>
          </cell>
          <cell r="B740" t="str">
            <v>FG-G</v>
          </cell>
          <cell r="J740" t="str">
            <v>TENSEI™ 1K Black 65 S-flex</v>
          </cell>
        </row>
        <row r="741">
          <cell r="A741" t="str">
            <v>MX889-WTX1A</v>
          </cell>
          <cell r="B741" t="str">
            <v>FG-G</v>
          </cell>
          <cell r="J741" t="str">
            <v>TENSEI™ 1K Black 65 TX-flex</v>
          </cell>
        </row>
        <row r="742">
          <cell r="A742" t="str">
            <v>MX889-WX-1A</v>
          </cell>
          <cell r="B742" t="str">
            <v>FG-G</v>
          </cell>
          <cell r="J742" t="str">
            <v>TENSEI™ 1K Black 65 X-flex</v>
          </cell>
        </row>
        <row r="743">
          <cell r="A743" t="str">
            <v>MX890-WS-1A</v>
          </cell>
          <cell r="B743" t="str">
            <v>FG-G</v>
          </cell>
          <cell r="J743" t="str">
            <v>TENSEI™ 1K Black 75 S-flex</v>
          </cell>
        </row>
        <row r="744">
          <cell r="A744" t="str">
            <v>MX890-WTX1A</v>
          </cell>
          <cell r="B744" t="str">
            <v>FG-G</v>
          </cell>
          <cell r="J744" t="str">
            <v>TENSEI™ 1K Black 75 TX-flex</v>
          </cell>
        </row>
        <row r="745">
          <cell r="A745" t="str">
            <v>MX890-WX-1A</v>
          </cell>
          <cell r="B745" t="str">
            <v>FG-G</v>
          </cell>
          <cell r="J745" t="str">
            <v>TENSEI™ 1K Black 75 X-flex</v>
          </cell>
        </row>
        <row r="746">
          <cell r="A746" t="str">
            <v>MX891-WS-1A</v>
          </cell>
          <cell r="B746" t="str">
            <v>FG-G</v>
          </cell>
          <cell r="J746" t="e">
            <v>#N/A</v>
          </cell>
        </row>
        <row r="747">
          <cell r="A747" t="str">
            <v>MX891-WTX1A</v>
          </cell>
          <cell r="B747" t="str">
            <v>FG-G</v>
          </cell>
          <cell r="J747" t="str">
            <v>TENSEI™ 1K Black 85 TX-flex</v>
          </cell>
        </row>
        <row r="748">
          <cell r="A748" t="str">
            <v>MX891-WX-1A</v>
          </cell>
          <cell r="B748" t="str">
            <v>FG-G</v>
          </cell>
          <cell r="J748" t="str">
            <v>TENSEI™ 1K Black 85 X-flex</v>
          </cell>
        </row>
        <row r="749">
          <cell r="A749" t="str">
            <v>MR125-IR-5B</v>
          </cell>
          <cell r="B749" t="str">
            <v>FG-G</v>
          </cell>
          <cell r="J749" t="str">
            <v>8469819/22 Maruman SG R</v>
          </cell>
        </row>
        <row r="750">
          <cell r="A750" t="str">
            <v>MR125-ISR5A</v>
          </cell>
          <cell r="B750" t="str">
            <v>FG-G</v>
          </cell>
          <cell r="J750" t="e">
            <v>#N/A</v>
          </cell>
        </row>
        <row r="751">
          <cell r="A751" t="str">
            <v>MR125-ISR5B</v>
          </cell>
          <cell r="B751" t="str">
            <v>FG-G</v>
          </cell>
          <cell r="J751" t="str">
            <v>8469827/22 Maruman SG SR</v>
          </cell>
        </row>
        <row r="752">
          <cell r="A752" t="str">
            <v>MR129-IA-5A</v>
          </cell>
          <cell r="B752" t="str">
            <v>FG-G</v>
          </cell>
          <cell r="J752" t="str">
            <v>8470031/22 Maruman Shuttle/SG FLEX A</v>
          </cell>
        </row>
        <row r="753">
          <cell r="A753" t="str">
            <v>MR129-IL-5A</v>
          </cell>
          <cell r="B753" t="str">
            <v>FG-G</v>
          </cell>
          <cell r="J753" t="str">
            <v>8470023/22 Maruman Shuttle/SG FLEX L</v>
          </cell>
        </row>
        <row r="754">
          <cell r="A754" t="str">
            <v>MR125-WR-2A</v>
          </cell>
          <cell r="B754" t="str">
            <v>FG-G</v>
          </cell>
          <cell r="J754" t="e">
            <v>#N/A</v>
          </cell>
        </row>
        <row r="755">
          <cell r="A755" t="str">
            <v>MR125-WSR2A</v>
          </cell>
          <cell r="B755" t="str">
            <v>FG-G</v>
          </cell>
          <cell r="J755" t="e">
            <v>#N/A</v>
          </cell>
        </row>
        <row r="756">
          <cell r="A756" t="str">
            <v>MR125-WS-2A</v>
          </cell>
          <cell r="B756" t="str">
            <v>FG-G</v>
          </cell>
          <cell r="J756" t="e">
            <v>#N/A</v>
          </cell>
        </row>
        <row r="757">
          <cell r="A757" t="str">
            <v>MR125-WR-9A</v>
          </cell>
          <cell r="B757" t="str">
            <v>FG-G</v>
          </cell>
          <cell r="J757" t="str">
            <v>8469892/22 Maruman Shuttle R</v>
          </cell>
        </row>
        <row r="758">
          <cell r="A758" t="str">
            <v>MR129-WA-3A</v>
          </cell>
          <cell r="B758" t="str">
            <v>FG-G</v>
          </cell>
          <cell r="J758" t="str">
            <v>8469975/22 Maruman Shuttle/SG FLEX A</v>
          </cell>
        </row>
        <row r="759">
          <cell r="A759" t="str">
            <v>MR129-WL-3A</v>
          </cell>
          <cell r="B759" t="str">
            <v>FG-G</v>
          </cell>
          <cell r="J759" t="str">
            <v>8469967/22 Maruman Shuttle/SG FLEX L</v>
          </cell>
        </row>
        <row r="760">
          <cell r="A760" t="str">
            <v>MR129-WL-9A</v>
          </cell>
          <cell r="B760" t="str">
            <v>FG-G</v>
          </cell>
          <cell r="J760" t="str">
            <v>8469983/22 Maruman Shuttle/SG FLEX L</v>
          </cell>
        </row>
        <row r="761">
          <cell r="A761" t="str">
            <v>AX185-WR-1PA</v>
          </cell>
          <cell r="B761" t="str">
            <v>FG-G</v>
          </cell>
          <cell r="J761" t="str">
            <v>35858-04/MW DRIVER ALTA J CB BLACK R (Maguro DR R-Flex)</v>
          </cell>
        </row>
        <row r="762">
          <cell r="A762" t="str">
            <v>AU216-IS-2A</v>
          </cell>
          <cell r="B762" t="str">
            <v>FG-G</v>
          </cell>
          <cell r="J762" t="str">
            <v>2693223/HYB TENSEI 1K Black 85 S 42.0</v>
          </cell>
        </row>
        <row r="763">
          <cell r="A763" t="str">
            <v>AU216-IX-2A</v>
          </cell>
          <cell r="B763" t="str">
            <v>FG-G</v>
          </cell>
          <cell r="J763" t="str">
            <v>2693225/HYB TENSEI 1K Black 85 X 42.0</v>
          </cell>
        </row>
        <row r="764">
          <cell r="A764" t="str">
            <v>AU217-IS-2A</v>
          </cell>
          <cell r="B764" t="str">
            <v>FG-G</v>
          </cell>
          <cell r="J764" t="str">
            <v>2693227/HYB TENSEI 1K Black 95 S 42.0</v>
          </cell>
        </row>
        <row r="765">
          <cell r="A765" t="str">
            <v>AU217-IX-2A</v>
          </cell>
          <cell r="B765" t="str">
            <v>FG-G</v>
          </cell>
          <cell r="J765" t="str">
            <v>2693229/HYB TENSEI 1K Black 95 X 42.0</v>
          </cell>
        </row>
        <row r="766">
          <cell r="A766" t="str">
            <v>MR125-UR-3B</v>
          </cell>
          <cell r="B766" t="str">
            <v>FG-G</v>
          </cell>
          <cell r="J766" t="str">
            <v>8469785/22 Maruman SG R</v>
          </cell>
        </row>
        <row r="767">
          <cell r="A767" t="str">
            <v>MR125-US-3B</v>
          </cell>
          <cell r="B767" t="str">
            <v>FG-G</v>
          </cell>
          <cell r="J767" t="str">
            <v>8469801/22 Maruman SG S</v>
          </cell>
        </row>
        <row r="768">
          <cell r="A768" t="str">
            <v>MR125-USR3B</v>
          </cell>
          <cell r="B768" t="str">
            <v>FG-G</v>
          </cell>
          <cell r="J768" t="str">
            <v>8469793/22 Maruman SG SR</v>
          </cell>
        </row>
        <row r="769">
          <cell r="A769" t="str">
            <v>MR125-WR-2B</v>
          </cell>
          <cell r="B769" t="str">
            <v>FG-G</v>
          </cell>
          <cell r="J769" t="str">
            <v>8469751/22 Maruman SG R</v>
          </cell>
        </row>
        <row r="770">
          <cell r="A770" t="str">
            <v>MR125-WS-2B</v>
          </cell>
          <cell r="B770" t="str">
            <v>FG-G</v>
          </cell>
          <cell r="J770" t="str">
            <v>8469777/22 Maruman SG S</v>
          </cell>
        </row>
        <row r="771">
          <cell r="A771" t="str">
            <v>MR125-WSR2B</v>
          </cell>
          <cell r="B771" t="str">
            <v>FG-G</v>
          </cell>
          <cell r="J771" t="str">
            <v>8469769/22 Maruman SG SR</v>
          </cell>
        </row>
        <row r="772">
          <cell r="A772" t="str">
            <v>MR129-UA-4A</v>
          </cell>
          <cell r="B772" t="str">
            <v>FG-G</v>
          </cell>
          <cell r="J772" t="str">
            <v>8470015/22 Maruman Shuttle/SG FLEX A</v>
          </cell>
        </row>
        <row r="773">
          <cell r="A773" t="str">
            <v>MR129-UL-4A</v>
          </cell>
          <cell r="B773" t="str">
            <v>FG-G</v>
          </cell>
          <cell r="J773" t="str">
            <v>8470007/22 Maruman Shuttle/SG FLEX L</v>
          </cell>
        </row>
        <row r="774">
          <cell r="A774" t="str">
            <v>SF271-WR-1A</v>
          </cell>
          <cell r="B774" t="str">
            <v>FG-G</v>
          </cell>
          <cell r="J774" t="e">
            <v>#N/A</v>
          </cell>
        </row>
        <row r="775">
          <cell r="A775" t="str">
            <v>SF271-WX-1A</v>
          </cell>
          <cell r="B775" t="str">
            <v>FG-G</v>
          </cell>
          <cell r="J775" t="e">
            <v>#N/A</v>
          </cell>
        </row>
        <row r="776">
          <cell r="A776" t="str">
            <v>AU211-WA-1A</v>
          </cell>
          <cell r="B776" t="str">
            <v>FG-G</v>
          </cell>
          <cell r="J776" t="str">
            <v>2693173/DRV/FWY MMT SpeedMesh 40 R2 (A) 46.0</v>
          </cell>
        </row>
        <row r="777">
          <cell r="A777" t="str">
            <v>AU211-WL-1A</v>
          </cell>
          <cell r="B777" t="str">
            <v>FG-G</v>
          </cell>
          <cell r="J777" t="str">
            <v>2693171/DRV/FWY MMT SpeedMesh 35 R3 (L) 46.0</v>
          </cell>
        </row>
        <row r="778">
          <cell r="A778" t="str">
            <v>AU211-WR-1A</v>
          </cell>
          <cell r="B778" t="str">
            <v>FG-G</v>
          </cell>
          <cell r="J778" t="str">
            <v>2693175/DRV/FWY MMT SpeedMesh 40 R 46.0</v>
          </cell>
        </row>
        <row r="779">
          <cell r="A779" t="str">
            <v>AU211-WS-1A</v>
          </cell>
          <cell r="B779" t="str">
            <v>FG-G</v>
          </cell>
          <cell r="J779" t="str">
            <v>2693177/DRV/FWY MMT SpeedMesh 40 S 46.0</v>
          </cell>
        </row>
        <row r="780">
          <cell r="A780" t="str">
            <v>MZ041-WR-1A</v>
          </cell>
          <cell r="B780" t="str">
            <v>FG-G</v>
          </cell>
          <cell r="J780" t="str">
            <v>2MZ824-WR-1A/KAI'LI Blue 50 R</v>
          </cell>
        </row>
        <row r="781">
          <cell r="A781" t="str">
            <v>MZ041-WS-1A</v>
          </cell>
          <cell r="B781" t="str">
            <v>FG-G</v>
          </cell>
          <cell r="J781" t="str">
            <v>2MZ824-WS-1A/KAI'LI Blue 50 S</v>
          </cell>
        </row>
        <row r="782">
          <cell r="A782" t="str">
            <v>MZ042-WR-1A</v>
          </cell>
          <cell r="B782" t="str">
            <v>FG-G</v>
          </cell>
          <cell r="J782" t="str">
            <v>2MZ759-WR-1A/KAI'LI Blue 60 R</v>
          </cell>
        </row>
        <row r="783">
          <cell r="A783" t="str">
            <v>MZ042-WS-1A</v>
          </cell>
          <cell r="B783" t="str">
            <v>FG-G</v>
          </cell>
          <cell r="J783" t="str">
            <v>2MZ759-WS-1A/KAI'LI Blue 60 S</v>
          </cell>
        </row>
        <row r="784">
          <cell r="A784" t="str">
            <v>MZ043-WS-1A</v>
          </cell>
          <cell r="B784" t="str">
            <v>FG-G</v>
          </cell>
          <cell r="J784" t="str">
            <v>2MZ760-WS-1A/KAI'LI Blue 70 S</v>
          </cell>
        </row>
        <row r="785">
          <cell r="A785" t="str">
            <v>SF245-WS-1H</v>
          </cell>
          <cell r="B785" t="str">
            <v>FG-G</v>
          </cell>
          <cell r="J785" t="e">
            <v>#N/A</v>
          </cell>
        </row>
        <row r="786">
          <cell r="A786" t="str">
            <v>SF245-WSR1H</v>
          </cell>
          <cell r="B786" t="str">
            <v>FG-G</v>
          </cell>
          <cell r="J786" t="e">
            <v>#N/A</v>
          </cell>
        </row>
        <row r="787">
          <cell r="A787" t="str">
            <v>SF245-WX-1H</v>
          </cell>
          <cell r="B787" t="str">
            <v>FG-G</v>
          </cell>
          <cell r="J787" t="e">
            <v>#N/A</v>
          </cell>
        </row>
        <row r="788">
          <cell r="A788" t="str">
            <v>CW148-WS-1A</v>
          </cell>
          <cell r="B788" t="str">
            <v>FG-G</v>
          </cell>
          <cell r="J788" t="str">
            <v>3541Q3/KAILI White DR/FWY 80G S-FLEX</v>
          </cell>
        </row>
        <row r="789">
          <cell r="A789" t="str">
            <v>CW148-WX-1A</v>
          </cell>
          <cell r="B789" t="str">
            <v>FG-G</v>
          </cell>
          <cell r="J789" t="str">
            <v>3541Q4/KAILI White DR/FWY 80G X-FLEX</v>
          </cell>
        </row>
        <row r="790">
          <cell r="A790" t="str">
            <v>CW148-WS-1AY</v>
          </cell>
          <cell r="B790" t="str">
            <v>FG-G</v>
          </cell>
          <cell r="J790" t="e">
            <v>#N/A</v>
          </cell>
        </row>
        <row r="791">
          <cell r="A791" t="str">
            <v>CW148-WX-1AY</v>
          </cell>
          <cell r="B791" t="str">
            <v>FG-G</v>
          </cell>
          <cell r="J791" t="e">
            <v>#N/A</v>
          </cell>
        </row>
        <row r="792">
          <cell r="A792" t="str">
            <v>MR125-WS-9A</v>
          </cell>
          <cell r="B792" t="str">
            <v>FG-G</v>
          </cell>
          <cell r="J792" t="str">
            <v>8469918/22 Maruman Shuttle S</v>
          </cell>
        </row>
        <row r="793">
          <cell r="A793" t="str">
            <v>MR125-WSR9A</v>
          </cell>
          <cell r="B793" t="str">
            <v>FG-G</v>
          </cell>
          <cell r="J793" t="str">
            <v>8469900/22 Maruman Shuttle SR</v>
          </cell>
        </row>
        <row r="794">
          <cell r="A794" t="str">
            <v>AU213-IR-2A</v>
          </cell>
          <cell r="B794" t="str">
            <v>FG-G</v>
          </cell>
          <cell r="J794" t="str">
            <v>2693185/HYB MMT SpeedMesh 50 R 42.0</v>
          </cell>
        </row>
        <row r="795">
          <cell r="A795" t="str">
            <v>AU213-IS-2A</v>
          </cell>
          <cell r="B795" t="str">
            <v>FG-G</v>
          </cell>
          <cell r="J795" t="str">
            <v>2693187/HYB MMT SpeedMesh 50 S 42.0</v>
          </cell>
        </row>
        <row r="796">
          <cell r="A796" t="str">
            <v>MX759-WR-1BO</v>
          </cell>
          <cell r="B796" t="str">
            <v>FG-G</v>
          </cell>
          <cell r="J796" t="str">
            <v>KAI’LI BLUE 60 R-Flex</v>
          </cell>
        </row>
        <row r="797">
          <cell r="A797" t="str">
            <v>MX759-WS-1BO</v>
          </cell>
          <cell r="B797" t="str">
            <v>FG-G</v>
          </cell>
          <cell r="J797" t="str">
            <v>KAI'LI BLUE 60 S-Flex</v>
          </cell>
        </row>
        <row r="798">
          <cell r="A798" t="str">
            <v>MX759-WX-1BO</v>
          </cell>
          <cell r="B798" t="str">
            <v>FG-G</v>
          </cell>
          <cell r="J798" t="str">
            <v>KAI’LI BLUE 60 X-Flex</v>
          </cell>
        </row>
        <row r="799">
          <cell r="A799" t="str">
            <v>MX760-WS-1BO</v>
          </cell>
          <cell r="B799" t="str">
            <v>FG-G</v>
          </cell>
          <cell r="J799" t="str">
            <v>KAI’LI BLUE 70 S-Flex</v>
          </cell>
        </row>
        <row r="800">
          <cell r="A800" t="str">
            <v>MX760-WX-1BO</v>
          </cell>
          <cell r="B800" t="str">
            <v>FG-G</v>
          </cell>
          <cell r="J800" t="str">
            <v>KAI’LI BLUE 70 X-Flex</v>
          </cell>
        </row>
        <row r="801">
          <cell r="A801" t="str">
            <v>MX783-WR-1BO</v>
          </cell>
          <cell r="B801" t="str">
            <v>FG-G</v>
          </cell>
          <cell r="J801" t="str">
            <v>KAILI White 60 R-FLEX</v>
          </cell>
        </row>
        <row r="802">
          <cell r="A802" t="str">
            <v>TE050-IA-1A</v>
          </cell>
          <cell r="B802" t="str">
            <v>FG-G</v>
          </cell>
          <cell r="J802" t="e">
            <v>#N/A</v>
          </cell>
        </row>
        <row r="803">
          <cell r="A803" t="str">
            <v>TE050-IR-1A</v>
          </cell>
          <cell r="B803" t="str">
            <v>FG-G</v>
          </cell>
          <cell r="J803" t="e">
            <v>#N/A</v>
          </cell>
        </row>
        <row r="804">
          <cell r="A804" t="str">
            <v>TE050-IS-1A</v>
          </cell>
          <cell r="B804" t="str">
            <v>FG-G</v>
          </cell>
          <cell r="J804" t="e">
            <v>#N/A</v>
          </cell>
        </row>
        <row r="805">
          <cell r="A805" t="str">
            <v>AU213-IA-2A</v>
          </cell>
          <cell r="B805" t="str">
            <v>FG-G</v>
          </cell>
          <cell r="J805" t="str">
            <v>2693183/HYB MMT SpeedMesh 50 R2 (A) 42.0</v>
          </cell>
        </row>
        <row r="806">
          <cell r="A806" t="str">
            <v>AU213-IL-2A</v>
          </cell>
          <cell r="B806" t="str">
            <v>FG-G</v>
          </cell>
          <cell r="J806" t="str">
            <v>2693181/HYB MMT SpeedMesh 40 R3 (L) 42.0</v>
          </cell>
        </row>
        <row r="807">
          <cell r="A807" t="str">
            <v>CB039-WR-1A</v>
          </cell>
          <cell r="B807" t="str">
            <v>FG-G</v>
          </cell>
          <cell r="J807" t="e">
            <v>#N/A</v>
          </cell>
        </row>
        <row r="808">
          <cell r="A808" t="str">
            <v>AX196-WA-1CY</v>
          </cell>
          <cell r="B808" t="str">
            <v>FG-G</v>
          </cell>
          <cell r="J808" t="e">
            <v>#N/A</v>
          </cell>
        </row>
        <row r="809">
          <cell r="A809" t="str">
            <v>AX196-WR-1CY</v>
          </cell>
          <cell r="B809" t="str">
            <v>FG-G</v>
          </cell>
          <cell r="J809" t="e">
            <v>#N/A</v>
          </cell>
        </row>
        <row r="810">
          <cell r="A810" t="str">
            <v>AX196-WW-1CY</v>
          </cell>
          <cell r="B810" t="str">
            <v>FG-G</v>
          </cell>
          <cell r="J810" t="e">
            <v>#N/A</v>
          </cell>
        </row>
        <row r="811">
          <cell r="A811" t="str">
            <v>AX197-WA-1CY</v>
          </cell>
          <cell r="B811" t="str">
            <v>FG-G</v>
          </cell>
          <cell r="J811" t="e">
            <v>#N/A</v>
          </cell>
        </row>
        <row r="812">
          <cell r="A812" t="str">
            <v>AX197-WR-1CY</v>
          </cell>
          <cell r="B812" t="str">
            <v>FG-G</v>
          </cell>
          <cell r="J812" t="e">
            <v>#N/A</v>
          </cell>
        </row>
        <row r="813">
          <cell r="A813" t="str">
            <v>MX892-ITX1A</v>
          </cell>
          <cell r="B813" t="str">
            <v>FG-G</v>
          </cell>
          <cell r="J813" t="e">
            <v>#N/A</v>
          </cell>
        </row>
        <row r="814">
          <cell r="A814" t="str">
            <v>MX893-ITX1A</v>
          </cell>
          <cell r="B814" t="str">
            <v>FG-G</v>
          </cell>
          <cell r="J814" t="str">
            <v>Kai'li WHITE HYBRID 90g TX-Flex</v>
          </cell>
        </row>
        <row r="815">
          <cell r="A815" t="str">
            <v>MX863-ITX1A</v>
          </cell>
          <cell r="B815" t="str">
            <v>FG-G</v>
          </cell>
          <cell r="J815" t="str">
            <v>KAI'LI™ White Hybrid 100 TX-FLEX</v>
          </cell>
        </row>
        <row r="816">
          <cell r="A816" t="str">
            <v>MZ042-WX-1A</v>
          </cell>
          <cell r="B816" t="str">
            <v>FG-G</v>
          </cell>
          <cell r="J816" t="str">
            <v>2MZ759-WX-1A/KAI'LI Blue 60 X</v>
          </cell>
        </row>
        <row r="817">
          <cell r="A817" t="str">
            <v>MZ043-WX-1A</v>
          </cell>
          <cell r="B817" t="str">
            <v>FG-G</v>
          </cell>
          <cell r="J817" t="str">
            <v>2MZ760-WX-1A/KAI'LI Blue 70 X</v>
          </cell>
        </row>
        <row r="818">
          <cell r="A818" t="str">
            <v>MX759-WS-1YO</v>
          </cell>
          <cell r="B818" t="str">
            <v>FG-G</v>
          </cell>
          <cell r="J818" t="e">
            <v>#N/A</v>
          </cell>
        </row>
        <row r="819">
          <cell r="A819" t="str">
            <v>SF284-IS-PA</v>
          </cell>
          <cell r="B819" t="str">
            <v>FG-G</v>
          </cell>
          <cell r="J819" t="e">
            <v>#N/A</v>
          </cell>
        </row>
        <row r="820">
          <cell r="A820" t="str">
            <v>AX198-IL-1CY</v>
          </cell>
          <cell r="B820" t="str">
            <v>FG-G</v>
          </cell>
          <cell r="J820" t="e">
            <v>#N/A</v>
          </cell>
        </row>
        <row r="821">
          <cell r="A821" t="str">
            <v>AX199-IA-1CY</v>
          </cell>
          <cell r="B821" t="str">
            <v>FG-G</v>
          </cell>
          <cell r="J821" t="e">
            <v>#N/A</v>
          </cell>
        </row>
        <row r="822">
          <cell r="A822" t="str">
            <v>MX760-WS-1YO</v>
          </cell>
          <cell r="B822" t="str">
            <v>FG-G</v>
          </cell>
          <cell r="J822" t="e">
            <v>#N/A</v>
          </cell>
        </row>
        <row r="823">
          <cell r="A823" t="str">
            <v>MX760-WX-1YO</v>
          </cell>
          <cell r="B823" t="str">
            <v>FG-G</v>
          </cell>
          <cell r="J823" t="e">
            <v>#N/A</v>
          </cell>
        </row>
        <row r="824">
          <cell r="A824" t="str">
            <v>MX893-IS-1YO</v>
          </cell>
          <cell r="B824" t="str">
            <v>FG-G</v>
          </cell>
          <cell r="J824" t="str">
            <v>Kai'li White HYB 90g S flex (DEMO)</v>
          </cell>
        </row>
        <row r="825">
          <cell r="A825" t="str">
            <v>MX893-IX-1YO</v>
          </cell>
          <cell r="B825" t="str">
            <v>FG-G</v>
          </cell>
          <cell r="J825" t="e">
            <v>#N/A</v>
          </cell>
        </row>
        <row r="826">
          <cell r="A826" t="str">
            <v>MX759-WX-1YO</v>
          </cell>
          <cell r="B826" t="str">
            <v>FG-G</v>
          </cell>
          <cell r="J826" t="e">
            <v>#N/A</v>
          </cell>
        </row>
        <row r="827">
          <cell r="A827" t="str">
            <v>MR126-IR-5A</v>
          </cell>
          <cell r="B827" t="str">
            <v>FG-G</v>
          </cell>
          <cell r="J827" t="str">
            <v>8470726/23 MAJESTY Royale R</v>
          </cell>
        </row>
        <row r="828">
          <cell r="A828" t="str">
            <v>MR126-IR-9A</v>
          </cell>
          <cell r="B828" t="str">
            <v>FG-G</v>
          </cell>
          <cell r="J828" t="str">
            <v>8470759/23 MAJESTY Royale R</v>
          </cell>
        </row>
        <row r="829">
          <cell r="A829" t="str">
            <v>MR126-IRA5A</v>
          </cell>
          <cell r="B829" t="str">
            <v>FG-G</v>
          </cell>
          <cell r="J829" t="str">
            <v>8470718/23 MAJESTY Royale R2</v>
          </cell>
        </row>
        <row r="830">
          <cell r="A830" t="str">
            <v>MR126-IRA9A</v>
          </cell>
          <cell r="B830" t="str">
            <v>FG-G</v>
          </cell>
          <cell r="J830" t="str">
            <v>8470742/23 MAJESTY Royale R2</v>
          </cell>
        </row>
        <row r="831">
          <cell r="A831" t="str">
            <v>MR126-ISR5A</v>
          </cell>
          <cell r="B831" t="str">
            <v>FG-G</v>
          </cell>
          <cell r="J831" t="e">
            <v>#N/A</v>
          </cell>
        </row>
        <row r="832">
          <cell r="A832" t="str">
            <v>MR126-ISR9A</v>
          </cell>
          <cell r="B832" t="str">
            <v>FG-G</v>
          </cell>
          <cell r="J832" t="e">
            <v>#N/A</v>
          </cell>
        </row>
        <row r="833">
          <cell r="A833" t="str">
            <v>MX893-IS-1AO</v>
          </cell>
          <cell r="B833" t="str">
            <v>FG-G</v>
          </cell>
          <cell r="J833" t="str">
            <v>Kai'li White HYB 90g S flex</v>
          </cell>
        </row>
        <row r="834">
          <cell r="A834" t="str">
            <v>MX893-IX-1AO</v>
          </cell>
          <cell r="B834" t="str">
            <v>FG-G</v>
          </cell>
          <cell r="J834" t="str">
            <v>Kai'li White HYB 90g X flex</v>
          </cell>
        </row>
        <row r="835">
          <cell r="A835" t="str">
            <v>MX892-IR-1A</v>
          </cell>
          <cell r="B835" t="str">
            <v>FG-G</v>
          </cell>
          <cell r="J835" t="e">
            <v>#N/A</v>
          </cell>
        </row>
        <row r="836">
          <cell r="A836" t="str">
            <v>MX892-IS-1A</v>
          </cell>
          <cell r="B836" t="str">
            <v>FG-G</v>
          </cell>
          <cell r="J836" t="e">
            <v>#N/A</v>
          </cell>
        </row>
        <row r="837">
          <cell r="A837" t="str">
            <v>MR126-UR-3A</v>
          </cell>
          <cell r="B837" t="str">
            <v>FG-G</v>
          </cell>
          <cell r="J837" t="e">
            <v>#N/A</v>
          </cell>
        </row>
        <row r="838">
          <cell r="A838" t="str">
            <v>MR126-URA3A</v>
          </cell>
          <cell r="B838" t="str">
            <v>FG-G</v>
          </cell>
          <cell r="J838" t="str">
            <v>8470676/23 MAJESTY Royale R2</v>
          </cell>
        </row>
        <row r="839">
          <cell r="A839" t="str">
            <v>MR126-US-3A</v>
          </cell>
          <cell r="B839" t="str">
            <v>FG-G</v>
          </cell>
          <cell r="J839" t="e">
            <v>#N/A</v>
          </cell>
        </row>
        <row r="840">
          <cell r="A840" t="str">
            <v>MR126-USR3A</v>
          </cell>
          <cell r="B840" t="str">
            <v>FG-G</v>
          </cell>
          <cell r="J840" t="str">
            <v>8470692/23 MAJESTY Royale SR</v>
          </cell>
        </row>
        <row r="841">
          <cell r="A841" t="str">
            <v>MR126-WR-3A</v>
          </cell>
          <cell r="B841" t="str">
            <v>FG-G</v>
          </cell>
          <cell r="J841" t="str">
            <v>8470643/23 MAJESTY Royale R</v>
          </cell>
        </row>
        <row r="842">
          <cell r="A842" t="str">
            <v>MR126-WRA3A</v>
          </cell>
          <cell r="B842" t="str">
            <v>FG-G</v>
          </cell>
          <cell r="J842" t="str">
            <v>8470635/23 MAJESTY Royale R2</v>
          </cell>
        </row>
        <row r="843">
          <cell r="A843" t="str">
            <v>MR126-WS-3A</v>
          </cell>
          <cell r="B843" t="str">
            <v>FG-G</v>
          </cell>
          <cell r="J843" t="e">
            <v>#N/A</v>
          </cell>
        </row>
        <row r="844">
          <cell r="A844" t="str">
            <v>MR126-WSR3A</v>
          </cell>
          <cell r="B844" t="str">
            <v>FG-G</v>
          </cell>
          <cell r="J844" t="e">
            <v>#N/A</v>
          </cell>
        </row>
        <row r="845">
          <cell r="A845" t="str">
            <v>MX709-IR-TA</v>
          </cell>
          <cell r="B845" t="str">
            <v>FG-G</v>
          </cell>
          <cell r="J845" t="e">
            <v>#N/A</v>
          </cell>
        </row>
        <row r="846">
          <cell r="A846" t="str">
            <v>YM117SL154X</v>
          </cell>
          <cell r="B846" t="str">
            <v>FG-G</v>
          </cell>
          <cell r="J846" t="e">
            <v>#N/A</v>
          </cell>
        </row>
        <row r="847">
          <cell r="A847" t="str">
            <v>MR126-WR-1A</v>
          </cell>
          <cell r="B847" t="str">
            <v>FG-G</v>
          </cell>
          <cell r="J847" t="str">
            <v>8470601/23 MAJESTY Royale R</v>
          </cell>
        </row>
        <row r="848">
          <cell r="A848" t="str">
            <v>MR126-WRA1A</v>
          </cell>
          <cell r="B848" t="str">
            <v>FG-G</v>
          </cell>
          <cell r="J848" t="str">
            <v>8470593/23 MAJESTY Royale R2</v>
          </cell>
        </row>
        <row r="849">
          <cell r="A849" t="str">
            <v>MR126-WS-1A</v>
          </cell>
          <cell r="B849" t="str">
            <v>FG-G</v>
          </cell>
          <cell r="J849" t="str">
            <v>8470627/23 MAJESTY Royale S</v>
          </cell>
        </row>
        <row r="850">
          <cell r="A850" t="str">
            <v>MR126-WSR1A</v>
          </cell>
          <cell r="B850" t="str">
            <v>FG-G</v>
          </cell>
          <cell r="J850" t="str">
            <v>8470619/23 MAJESTY Royale SR</v>
          </cell>
        </row>
        <row r="851">
          <cell r="A851" t="str">
            <v>MR129-WA-9A</v>
          </cell>
          <cell r="B851" t="str">
            <v>FG-G</v>
          </cell>
          <cell r="J851" t="e">
            <v>#N/A</v>
          </cell>
        </row>
        <row r="852">
          <cell r="A852" t="str">
            <v>MX876-WR-1A</v>
          </cell>
          <cell r="B852" t="str">
            <v>FG-G</v>
          </cell>
          <cell r="J852" t="e">
            <v>#N/A</v>
          </cell>
        </row>
        <row r="853">
          <cell r="A853" t="str">
            <v>MX876-WS-1A</v>
          </cell>
          <cell r="B853" t="str">
            <v>FG-G</v>
          </cell>
          <cell r="J853" t="e">
            <v>#N/A</v>
          </cell>
        </row>
        <row r="854">
          <cell r="A854" t="str">
            <v>MX876-WTX1A</v>
          </cell>
          <cell r="B854" t="str">
            <v>FG-G</v>
          </cell>
          <cell r="J854" t="e">
            <v>#N/A</v>
          </cell>
        </row>
        <row r="855">
          <cell r="A855" t="str">
            <v>MX876-WX-1A</v>
          </cell>
          <cell r="B855" t="str">
            <v>FG-G</v>
          </cell>
          <cell r="J855" t="e">
            <v>#N/A</v>
          </cell>
        </row>
        <row r="856">
          <cell r="A856" t="str">
            <v>MX877-WS-1A</v>
          </cell>
          <cell r="B856" t="str">
            <v>FG-G</v>
          </cell>
          <cell r="J856" t="e">
            <v>#N/A</v>
          </cell>
        </row>
        <row r="857">
          <cell r="A857" t="str">
            <v>MX877-WTX1A</v>
          </cell>
          <cell r="B857" t="str">
            <v>FG-G</v>
          </cell>
          <cell r="J857" t="e">
            <v>#N/A</v>
          </cell>
        </row>
        <row r="858">
          <cell r="A858" t="str">
            <v>MX877-WX-1A</v>
          </cell>
          <cell r="B858" t="str">
            <v>FG-G</v>
          </cell>
          <cell r="J858" t="e">
            <v>#N/A</v>
          </cell>
        </row>
        <row r="859">
          <cell r="A859" t="str">
            <v>MX878-WTX1A</v>
          </cell>
          <cell r="B859" t="str">
            <v>FG-G</v>
          </cell>
          <cell r="J859" t="e">
            <v>#N/A</v>
          </cell>
        </row>
        <row r="860">
          <cell r="A860" t="str">
            <v>PG060-IS-TA</v>
          </cell>
          <cell r="B860" t="str">
            <v>FG-G</v>
          </cell>
          <cell r="J860" t="e">
            <v>#N/A</v>
          </cell>
        </row>
        <row r="861">
          <cell r="A861" t="str">
            <v>MX902-IR-2A</v>
          </cell>
          <cell r="B861" t="str">
            <v>FG-G</v>
          </cell>
          <cell r="J861" t="str">
            <v>SHI 2023 Diamana IR 85 #2 R</v>
          </cell>
        </row>
        <row r="862">
          <cell r="A862" t="str">
            <v>MX902-IR-3A</v>
          </cell>
          <cell r="B862" t="str">
            <v>FG-G</v>
          </cell>
          <cell r="J862" t="str">
            <v>SHI 2023 Diamana IR 85 #3 R</v>
          </cell>
        </row>
        <row r="863">
          <cell r="A863" t="str">
            <v>MX902-IR-4A</v>
          </cell>
          <cell r="B863" t="str">
            <v>FG-G</v>
          </cell>
          <cell r="J863" t="str">
            <v>SHI 2023 Diamana IR 85 #4 R</v>
          </cell>
        </row>
        <row r="864">
          <cell r="A864" t="str">
            <v>MX902-IR-5A</v>
          </cell>
          <cell r="B864" t="str">
            <v>FG-G</v>
          </cell>
          <cell r="J864" t="str">
            <v>SHI 2023 Diamana IR 85 #5 R</v>
          </cell>
        </row>
        <row r="865">
          <cell r="A865" t="str">
            <v>MX902-IR-6A</v>
          </cell>
          <cell r="B865" t="str">
            <v>FG-G</v>
          </cell>
          <cell r="J865" t="str">
            <v>SHI 2023 Diamana IR 85 #6 R</v>
          </cell>
        </row>
        <row r="866">
          <cell r="A866" t="str">
            <v>MX902-IR-7A</v>
          </cell>
          <cell r="B866" t="str">
            <v>FG-G</v>
          </cell>
          <cell r="J866" t="str">
            <v>SHI 2023 Diamana IR 85 #7 R</v>
          </cell>
        </row>
        <row r="867">
          <cell r="A867" t="str">
            <v>MX902-IR-8A</v>
          </cell>
          <cell r="B867" t="str">
            <v>FG-G</v>
          </cell>
          <cell r="J867" t="str">
            <v>SHI 2023 Diamana IR 85 #8 R</v>
          </cell>
        </row>
        <row r="868">
          <cell r="A868" t="str">
            <v>MX902-IR-9A</v>
          </cell>
          <cell r="B868" t="str">
            <v>FG-G</v>
          </cell>
          <cell r="J868" t="str">
            <v>SHI 2023 Diamana IR 85 #9 R</v>
          </cell>
        </row>
        <row r="869">
          <cell r="A869" t="str">
            <v>MX902-IR-PA</v>
          </cell>
          <cell r="B869" t="str">
            <v>FG-G</v>
          </cell>
          <cell r="J869" t="str">
            <v>SHI 2023 Diamana IR 85 PW R</v>
          </cell>
        </row>
        <row r="870">
          <cell r="A870" t="str">
            <v>MX903-IS-3A</v>
          </cell>
          <cell r="B870" t="str">
            <v>FG-G</v>
          </cell>
          <cell r="J870" t="str">
            <v>SHI 2023 Diamana IR 95 #3 S</v>
          </cell>
        </row>
        <row r="871">
          <cell r="A871" t="str">
            <v>MX903-IS-5A</v>
          </cell>
          <cell r="B871" t="str">
            <v>FG-G</v>
          </cell>
          <cell r="J871" t="str">
            <v>SHI 2023 Diamana IR 95 #5 S</v>
          </cell>
        </row>
        <row r="872">
          <cell r="A872" t="str">
            <v>MX903-IS-6A</v>
          </cell>
          <cell r="B872" t="str">
            <v>FG-G</v>
          </cell>
          <cell r="J872" t="str">
            <v>SHI 2023 Diamana IR 95 #6 S</v>
          </cell>
        </row>
        <row r="873">
          <cell r="A873" t="str">
            <v>MX903-IS-8A</v>
          </cell>
          <cell r="B873" t="str">
            <v>FG-G</v>
          </cell>
          <cell r="J873" t="str">
            <v>SHI 2023 Diamana IR 95 #8 S</v>
          </cell>
        </row>
        <row r="874">
          <cell r="A874" t="str">
            <v>MX903-IS-9A</v>
          </cell>
          <cell r="B874" t="str">
            <v>FG-G</v>
          </cell>
          <cell r="J874" t="str">
            <v>SHI 2023 Diamana IR 95 #9 S</v>
          </cell>
        </row>
        <row r="875">
          <cell r="A875" t="str">
            <v>MX903-IS-PA</v>
          </cell>
          <cell r="B875" t="str">
            <v>FG-G</v>
          </cell>
          <cell r="J875" t="str">
            <v>SHI 2023 Diamana IR 95 PW S</v>
          </cell>
        </row>
        <row r="876">
          <cell r="A876" t="str">
            <v>MX903-IX-2A</v>
          </cell>
          <cell r="B876" t="str">
            <v>FG-G</v>
          </cell>
          <cell r="J876" t="str">
            <v>Diamana Thump '23 IR 95X #2</v>
          </cell>
        </row>
        <row r="877">
          <cell r="A877" t="str">
            <v>MX903-IX-3A</v>
          </cell>
          <cell r="B877" t="str">
            <v>FG-G</v>
          </cell>
          <cell r="J877" t="str">
            <v>Diamana Thump '23 IR 95X #3</v>
          </cell>
        </row>
        <row r="878">
          <cell r="A878" t="str">
            <v>MX903-IX-4A</v>
          </cell>
          <cell r="B878" t="str">
            <v>FG-G</v>
          </cell>
          <cell r="J878" t="str">
            <v>Diamana Thump '23 IR 95X #4</v>
          </cell>
        </row>
        <row r="879">
          <cell r="A879" t="str">
            <v>MX903-IX-8A</v>
          </cell>
          <cell r="B879" t="str">
            <v>FG-G</v>
          </cell>
          <cell r="J879" t="str">
            <v>Diamana Thump '23 IR 95X #8</v>
          </cell>
        </row>
        <row r="880">
          <cell r="A880" t="str">
            <v>MX903-IX-9A</v>
          </cell>
          <cell r="B880" t="str">
            <v>FG-G</v>
          </cell>
          <cell r="J880" t="str">
            <v>Diamana Thump '23 IR 95X #9</v>
          </cell>
        </row>
        <row r="881">
          <cell r="A881" t="str">
            <v>MX903-IX-PA</v>
          </cell>
          <cell r="B881" t="str">
            <v>FG-G</v>
          </cell>
          <cell r="J881" t="str">
            <v>Diamana Thump '23 IR 95X #P</v>
          </cell>
        </row>
        <row r="882">
          <cell r="A882" t="str">
            <v>MX904-IS-3A</v>
          </cell>
          <cell r="B882" t="str">
            <v>FG-G</v>
          </cell>
          <cell r="J882" t="str">
            <v>Diamana Thump '23 IR 105S #3</v>
          </cell>
        </row>
        <row r="883">
          <cell r="A883" t="str">
            <v>MX904-IS-4A</v>
          </cell>
          <cell r="B883" t="str">
            <v>FG-G</v>
          </cell>
          <cell r="J883" t="str">
            <v>Diamana Thump '23 IR 105S #4</v>
          </cell>
        </row>
        <row r="884">
          <cell r="A884" t="str">
            <v>MX904-IS-5A</v>
          </cell>
          <cell r="B884" t="str">
            <v>FG-G</v>
          </cell>
          <cell r="J884" t="str">
            <v>Diamana Thump '23 IR 105S #5</v>
          </cell>
        </row>
        <row r="885">
          <cell r="A885" t="str">
            <v>MX904-IS-6A</v>
          </cell>
          <cell r="B885" t="str">
            <v>FG-G</v>
          </cell>
          <cell r="J885" t="str">
            <v>Diamana Thump '23 IR 105S #6</v>
          </cell>
        </row>
        <row r="886">
          <cell r="A886" t="str">
            <v>MX904-IS-7A</v>
          </cell>
          <cell r="B886" t="str">
            <v>FG-G</v>
          </cell>
          <cell r="J886" t="str">
            <v>Diamana Thump '23 IR 105S #7</v>
          </cell>
        </row>
        <row r="887">
          <cell r="A887" t="str">
            <v>MX904-IS-8A</v>
          </cell>
          <cell r="B887" t="str">
            <v>FG-G</v>
          </cell>
          <cell r="J887" t="str">
            <v>Diamana Thump '23 IR 105S #8</v>
          </cell>
        </row>
        <row r="888">
          <cell r="A888" t="str">
            <v>MX904-IS-9A</v>
          </cell>
          <cell r="B888" t="str">
            <v>FG-G</v>
          </cell>
          <cell r="J888" t="str">
            <v>Diamana Thump '23 IR 105S #9</v>
          </cell>
        </row>
        <row r="889">
          <cell r="A889" t="str">
            <v>MX904-IS-PA</v>
          </cell>
          <cell r="B889" t="str">
            <v>FG-G</v>
          </cell>
          <cell r="J889" t="str">
            <v>Diamana Thump '23 IR 105S #P</v>
          </cell>
        </row>
        <row r="890">
          <cell r="A890" t="str">
            <v>MX904-IX-3A</v>
          </cell>
          <cell r="B890" t="str">
            <v>FG-G</v>
          </cell>
          <cell r="J890" t="str">
            <v>Diamana Thump '23 IR 105X #3</v>
          </cell>
        </row>
        <row r="891">
          <cell r="A891" t="str">
            <v>MX904-IX-4A</v>
          </cell>
          <cell r="B891" t="str">
            <v>FG-G</v>
          </cell>
          <cell r="J891" t="str">
            <v>Diamana Thump '23 IR 105X #4</v>
          </cell>
        </row>
        <row r="892">
          <cell r="A892" t="str">
            <v>MX904-IX-5A</v>
          </cell>
          <cell r="B892" t="str">
            <v>FG-G</v>
          </cell>
          <cell r="J892" t="str">
            <v>Diamana Thump '23 IR 105X #5</v>
          </cell>
        </row>
        <row r="893">
          <cell r="A893" t="str">
            <v>MX904-IX-6A</v>
          </cell>
          <cell r="B893" t="str">
            <v>FG-G</v>
          </cell>
          <cell r="J893" t="str">
            <v>Diamana Thump '23 IR 105X #6</v>
          </cell>
        </row>
        <row r="894">
          <cell r="A894" t="str">
            <v>MX904-IX-7A</v>
          </cell>
          <cell r="B894" t="str">
            <v>FG-G</v>
          </cell>
          <cell r="J894" t="str">
            <v>Diamana Thump '23 IR 105X #7</v>
          </cell>
        </row>
        <row r="895">
          <cell r="A895" t="str">
            <v>MX904-IX-8A</v>
          </cell>
          <cell r="B895" t="str">
            <v>FG-G</v>
          </cell>
          <cell r="J895" t="str">
            <v>Diamana Thump '23 IR 105X #8</v>
          </cell>
        </row>
        <row r="896">
          <cell r="A896" t="str">
            <v>MX904-IX-9A</v>
          </cell>
          <cell r="B896" t="str">
            <v>FG-G</v>
          </cell>
          <cell r="J896" t="str">
            <v>Diamana Thump '23 IR 105X #9</v>
          </cell>
        </row>
        <row r="897">
          <cell r="A897" t="str">
            <v>MX904-IX-PA</v>
          </cell>
          <cell r="B897" t="str">
            <v>FG-G</v>
          </cell>
          <cell r="J897" t="str">
            <v>Diamana Thump '23 IR 105X #P</v>
          </cell>
        </row>
        <row r="898">
          <cell r="A898" t="str">
            <v>MX905-IX-3A</v>
          </cell>
          <cell r="B898" t="str">
            <v>FG-G</v>
          </cell>
          <cell r="J898" t="str">
            <v>Diamana Thump '23 IR 115X #3</v>
          </cell>
        </row>
        <row r="899">
          <cell r="A899" t="str">
            <v>MX905-IX-6A</v>
          </cell>
          <cell r="B899" t="str">
            <v>FG-G</v>
          </cell>
          <cell r="J899" t="str">
            <v>Diamana Thump '23 IR 115X #6</v>
          </cell>
        </row>
        <row r="900">
          <cell r="A900" t="str">
            <v>MX905-IX-7A</v>
          </cell>
          <cell r="B900" t="str">
            <v>FG-G</v>
          </cell>
          <cell r="J900" t="str">
            <v>Diamana Thump '23 IR 115X #7</v>
          </cell>
        </row>
        <row r="901">
          <cell r="A901" t="str">
            <v>MX905-IX-8A</v>
          </cell>
          <cell r="B901" t="str">
            <v>FG-G</v>
          </cell>
          <cell r="J901" t="str">
            <v>Diamana Thump '23 IR 115X #8</v>
          </cell>
        </row>
        <row r="902">
          <cell r="A902" t="str">
            <v>MX905-IX-9A</v>
          </cell>
          <cell r="B902" t="str">
            <v>FG-G</v>
          </cell>
          <cell r="J902" t="str">
            <v>Diamana Thump '23 IR 115X #9</v>
          </cell>
        </row>
        <row r="903">
          <cell r="A903" t="str">
            <v>MX905-IX-PA</v>
          </cell>
          <cell r="B903" t="str">
            <v>FG-G</v>
          </cell>
          <cell r="J903" t="str">
            <v>Diamana Thump '23 IR 115X #P</v>
          </cell>
        </row>
        <row r="904">
          <cell r="A904" t="str">
            <v>MX914-IS-PA</v>
          </cell>
          <cell r="B904" t="str">
            <v>FG-G</v>
          </cell>
          <cell r="J904" t="str">
            <v>Diamana Thump WEDGE 85</v>
          </cell>
        </row>
        <row r="905">
          <cell r="A905" t="str">
            <v>MX915-IS-PA</v>
          </cell>
          <cell r="B905" t="str">
            <v>FG-G</v>
          </cell>
          <cell r="J905" t="str">
            <v>SHI 2023 Diamana Wedge 95</v>
          </cell>
        </row>
        <row r="906">
          <cell r="A906" t="str">
            <v>MX824-WR-1BC</v>
          </cell>
          <cell r="B906" t="str">
            <v>FG-G</v>
          </cell>
          <cell r="J906" t="e">
            <v>#N/A</v>
          </cell>
        </row>
        <row r="907">
          <cell r="A907" t="str">
            <v>MX903-IX-7A</v>
          </cell>
          <cell r="B907" t="str">
            <v>FG-G</v>
          </cell>
          <cell r="J907" t="e">
            <v>#N/A</v>
          </cell>
        </row>
        <row r="908">
          <cell r="A908" t="str">
            <v>MX902-IS-2A</v>
          </cell>
          <cell r="B908" t="str">
            <v>FG-G</v>
          </cell>
          <cell r="J908" t="str">
            <v>Diamana Thump '23 IR 85S #2</v>
          </cell>
        </row>
        <row r="909">
          <cell r="A909" t="str">
            <v>MX902-IS-3A</v>
          </cell>
          <cell r="B909" t="str">
            <v>FG-G</v>
          </cell>
          <cell r="J909" t="str">
            <v>Diamana Thump '23 IR 85S #3</v>
          </cell>
        </row>
        <row r="910">
          <cell r="A910" t="str">
            <v>MX902-IS-4A</v>
          </cell>
          <cell r="B910" t="str">
            <v>FG-G</v>
          </cell>
          <cell r="J910" t="str">
            <v>Diamana Thump '23 IR 85S #4</v>
          </cell>
        </row>
        <row r="911">
          <cell r="A911" t="str">
            <v>MX902-IS-5A</v>
          </cell>
          <cell r="B911" t="str">
            <v>FG-G</v>
          </cell>
          <cell r="J911" t="str">
            <v>Diamana Thump '23 IR 85S #5</v>
          </cell>
        </row>
        <row r="912">
          <cell r="A912" t="str">
            <v>MX902-IS-6A</v>
          </cell>
          <cell r="B912" t="str">
            <v>FG-G</v>
          </cell>
          <cell r="J912" t="str">
            <v>Diamana Thump '23 IR 85S #6</v>
          </cell>
        </row>
        <row r="913">
          <cell r="A913" t="str">
            <v>MX902-IS-7A</v>
          </cell>
          <cell r="B913" t="str">
            <v>FG-G</v>
          </cell>
          <cell r="J913" t="str">
            <v>Diamana Thump '23 IR 85S #7</v>
          </cell>
        </row>
        <row r="914">
          <cell r="A914" t="str">
            <v>MX902-IS-8A</v>
          </cell>
          <cell r="B914" t="str">
            <v>FG-G</v>
          </cell>
          <cell r="J914" t="str">
            <v>Diamana Thump '23 IR 85S #8</v>
          </cell>
        </row>
        <row r="915">
          <cell r="A915" t="str">
            <v>MX902-IS-9A</v>
          </cell>
          <cell r="B915" t="str">
            <v>FG-G</v>
          </cell>
          <cell r="J915" t="str">
            <v>Diamana Thump '23 IR 85S #9</v>
          </cell>
        </row>
        <row r="916">
          <cell r="A916" t="str">
            <v>MX902-IS-PA</v>
          </cell>
          <cell r="B916" t="str">
            <v>FG-G</v>
          </cell>
          <cell r="J916" t="str">
            <v>Diamana Thump '23 IR 85S #P</v>
          </cell>
        </row>
        <row r="917">
          <cell r="A917" t="str">
            <v>MX903-IS-2A</v>
          </cell>
          <cell r="B917" t="str">
            <v>FG-G</v>
          </cell>
          <cell r="J917" t="str">
            <v>SHI 2023 Diamana IR 95 #2 S</v>
          </cell>
        </row>
        <row r="918">
          <cell r="A918" t="str">
            <v>MX903-IS-4A</v>
          </cell>
          <cell r="B918" t="str">
            <v>FG-G</v>
          </cell>
          <cell r="J918" t="str">
            <v>SHI 2023 Diamana IR 95 #4 S</v>
          </cell>
        </row>
        <row r="919">
          <cell r="A919" t="str">
            <v>MX903-IS-7A</v>
          </cell>
          <cell r="B919" t="str">
            <v>FG-G</v>
          </cell>
          <cell r="J919" t="str">
            <v>SHI 2023 Diamana IR 95 #7 S</v>
          </cell>
        </row>
        <row r="920">
          <cell r="A920" t="str">
            <v>MX903-IX-5A</v>
          </cell>
          <cell r="B920" t="str">
            <v>FG-G</v>
          </cell>
          <cell r="J920" t="str">
            <v>Diamana Thump '23 IR 95X #5</v>
          </cell>
        </row>
        <row r="921">
          <cell r="A921" t="str">
            <v>MX903-IX-6A</v>
          </cell>
          <cell r="B921" t="str">
            <v>FG-G</v>
          </cell>
          <cell r="J921" t="str">
            <v>Diamana Thump '23 IR 95X #6</v>
          </cell>
        </row>
        <row r="922">
          <cell r="A922" t="str">
            <v>MX904-IX-2A</v>
          </cell>
          <cell r="B922" t="str">
            <v>FG-G</v>
          </cell>
          <cell r="J922" t="str">
            <v>Diamana Thump '23 IR 105X #2</v>
          </cell>
        </row>
        <row r="923">
          <cell r="A923" t="str">
            <v>MX905-IX-4A</v>
          </cell>
          <cell r="B923" t="str">
            <v>FG-G</v>
          </cell>
          <cell r="J923" t="str">
            <v>Diamana Thump '23 IR 115X #4</v>
          </cell>
        </row>
        <row r="924">
          <cell r="A924" t="str">
            <v>MX905-IX-5A</v>
          </cell>
          <cell r="B924" t="str">
            <v>FG-G</v>
          </cell>
          <cell r="J924" t="str">
            <v>Diamana Thump '23 IR 115X #5</v>
          </cell>
        </row>
        <row r="925">
          <cell r="A925" t="str">
            <v>AX139-IA-3AB</v>
          </cell>
          <cell r="B925" t="str">
            <v>FG-G</v>
          </cell>
          <cell r="J925" t="str">
            <v>NV® Iron 45 A-flex</v>
          </cell>
        </row>
        <row r="926">
          <cell r="A926" t="str">
            <v>AX139-IL-3AB</v>
          </cell>
          <cell r="B926" t="str">
            <v>FG-G</v>
          </cell>
          <cell r="J926" t="str">
            <v>NV® Iron 55 A-flex</v>
          </cell>
        </row>
        <row r="927">
          <cell r="A927" t="str">
            <v>AX139-IR-3AB</v>
          </cell>
          <cell r="B927" t="str">
            <v>FG-G</v>
          </cell>
          <cell r="J927" t="str">
            <v>NV® Iron 55 R-flex</v>
          </cell>
        </row>
        <row r="928">
          <cell r="A928" t="str">
            <v>AX140-IA-3AB</v>
          </cell>
          <cell r="B928" t="str">
            <v>FG-G</v>
          </cell>
          <cell r="J928" t="str">
            <v>NV® Iron 65 A-flex</v>
          </cell>
        </row>
        <row r="929">
          <cell r="A929" t="str">
            <v>AX140-IR-3AB</v>
          </cell>
          <cell r="B929" t="str">
            <v>FG-G</v>
          </cell>
          <cell r="J929" t="str">
            <v>NV® Iron 65 R-flex</v>
          </cell>
        </row>
        <row r="930">
          <cell r="A930" t="str">
            <v>AX141-IS-3AB</v>
          </cell>
          <cell r="B930" t="str">
            <v>FG-G</v>
          </cell>
          <cell r="J930" t="str">
            <v>NV® Iron 75 S-flex</v>
          </cell>
        </row>
        <row r="931">
          <cell r="A931" t="str">
            <v>AX142-IS-3AB</v>
          </cell>
          <cell r="B931" t="str">
            <v>FG-G</v>
          </cell>
          <cell r="J931" t="str">
            <v>NV® Iron 85 S-flex</v>
          </cell>
        </row>
        <row r="932">
          <cell r="A932" t="str">
            <v>AX143-IS-3AB</v>
          </cell>
          <cell r="B932" t="str">
            <v>FG-G</v>
          </cell>
          <cell r="J932" t="str">
            <v>NV® Iron 95 S-flex</v>
          </cell>
        </row>
        <row r="933">
          <cell r="A933" t="str">
            <v>MX904-IS-2A</v>
          </cell>
          <cell r="B933" t="str">
            <v>FG-G</v>
          </cell>
          <cell r="J933" t="e">
            <v>#N/A</v>
          </cell>
        </row>
        <row r="934">
          <cell r="A934" t="str">
            <v>MX905-IX-2A</v>
          </cell>
          <cell r="B934" t="str">
            <v>FG-G</v>
          </cell>
          <cell r="J934" t="str">
            <v>Diamana Thump '23 IR 115X #2</v>
          </cell>
        </row>
        <row r="935">
          <cell r="A935" t="str">
            <v>MX913-IX-1A</v>
          </cell>
          <cell r="B935" t="str">
            <v>FG-G</v>
          </cell>
          <cell r="J935" t="str">
            <v>Diamana Thump '23 HYB 100X</v>
          </cell>
        </row>
        <row r="936">
          <cell r="A936" t="str">
            <v>AX186-WA-1AA</v>
          </cell>
          <cell r="B936" t="str">
            <v>FG-G</v>
          </cell>
          <cell r="J936" t="str">
            <v>NVS 45 A-FLEX</v>
          </cell>
        </row>
        <row r="937">
          <cell r="A937" t="str">
            <v>MX904-IS-2A</v>
          </cell>
          <cell r="B937" t="str">
            <v>FG-G</v>
          </cell>
          <cell r="J937" t="e">
            <v>#N/A</v>
          </cell>
        </row>
        <row r="938">
          <cell r="A938" t="str">
            <v>AX186-WR-1AA</v>
          </cell>
          <cell r="B938" t="str">
            <v>FG-G</v>
          </cell>
          <cell r="J938" t="str">
            <v>NVS 45 R-FLEX</v>
          </cell>
        </row>
        <row r="939">
          <cell r="A939" t="str">
            <v>AX187-WA-1AA</v>
          </cell>
          <cell r="B939" t="str">
            <v>FG-G</v>
          </cell>
          <cell r="J939" t="str">
            <v>NVS 55 A-FLEX</v>
          </cell>
        </row>
        <row r="940">
          <cell r="A940" t="str">
            <v>AX187-WR-1AA</v>
          </cell>
          <cell r="B940" t="str">
            <v>FG-G</v>
          </cell>
          <cell r="J940" t="str">
            <v>NVS 55 R-FLEX</v>
          </cell>
        </row>
        <row r="941">
          <cell r="A941" t="str">
            <v>AX187-WS-1AA</v>
          </cell>
          <cell r="B941" t="str">
            <v>FG-G</v>
          </cell>
          <cell r="J941" t="str">
            <v>NVS 55 S-FLEX</v>
          </cell>
        </row>
        <row r="942">
          <cell r="A942" t="str">
            <v>AX188-WR-1AA</v>
          </cell>
          <cell r="B942" t="str">
            <v>FG-G</v>
          </cell>
          <cell r="J942" t="str">
            <v>NVS 65 R-FLEX</v>
          </cell>
        </row>
        <row r="943">
          <cell r="A943" t="str">
            <v>AX188-WS-1AA</v>
          </cell>
          <cell r="B943" t="str">
            <v>FG-G</v>
          </cell>
          <cell r="J943" t="str">
            <v>NVS 65 S-FLEX</v>
          </cell>
        </row>
        <row r="944">
          <cell r="A944" t="str">
            <v>AX189-WA-1AA</v>
          </cell>
          <cell r="B944" t="str">
            <v>FG-G</v>
          </cell>
          <cell r="J944" t="str">
            <v>NV® 55 A-FLEX</v>
          </cell>
        </row>
        <row r="945">
          <cell r="A945" t="str">
            <v>AX189-WL-1AA</v>
          </cell>
          <cell r="B945" t="str">
            <v>FG-G</v>
          </cell>
          <cell r="J945" t="str">
            <v>NV® 55 L-FLEX</v>
          </cell>
        </row>
        <row r="946">
          <cell r="A946" t="str">
            <v>AX189-WR-1AA</v>
          </cell>
          <cell r="B946" t="str">
            <v>FG-G</v>
          </cell>
          <cell r="J946" t="str">
            <v>NV® 55 R-FLEX</v>
          </cell>
        </row>
        <row r="947">
          <cell r="A947" t="str">
            <v>AX189-WS-1AA</v>
          </cell>
          <cell r="B947" t="str">
            <v>FG-G</v>
          </cell>
          <cell r="J947" t="str">
            <v>NV® 55 S-FLEX</v>
          </cell>
        </row>
        <row r="948">
          <cell r="A948" t="str">
            <v>AX189-WX-1AA</v>
          </cell>
          <cell r="B948" t="str">
            <v>FG-G</v>
          </cell>
          <cell r="J948" t="str">
            <v>NV® 55 X-FLEX</v>
          </cell>
        </row>
        <row r="949">
          <cell r="A949" t="str">
            <v>AX190-WR-1AA</v>
          </cell>
          <cell r="B949" t="str">
            <v>FG-G</v>
          </cell>
          <cell r="J949" t="str">
            <v>NV® 65 R-FLEX</v>
          </cell>
        </row>
        <row r="950">
          <cell r="A950" t="str">
            <v>AX190-WS-1AA</v>
          </cell>
          <cell r="B950" t="str">
            <v>FG-G</v>
          </cell>
          <cell r="J950" t="str">
            <v>NV® 65 S-FLEX</v>
          </cell>
        </row>
        <row r="951">
          <cell r="A951" t="str">
            <v>AX190-WX-1AA</v>
          </cell>
          <cell r="B951" t="str">
            <v>FG-G</v>
          </cell>
          <cell r="J951" t="str">
            <v>NV® 65 X-FLEX</v>
          </cell>
        </row>
        <row r="952">
          <cell r="A952" t="str">
            <v>AX191-WR-1AA</v>
          </cell>
          <cell r="B952" t="str">
            <v>FG-G</v>
          </cell>
          <cell r="J952" t="str">
            <v>NV® 75 R-FLEX</v>
          </cell>
        </row>
        <row r="953">
          <cell r="A953" t="str">
            <v>AX191-WS-1AA</v>
          </cell>
          <cell r="B953" t="str">
            <v>FG-G</v>
          </cell>
          <cell r="J953" t="str">
            <v>NV® 75 S-FLEX</v>
          </cell>
        </row>
        <row r="954">
          <cell r="A954" t="str">
            <v>AX191-WX-1AA</v>
          </cell>
          <cell r="B954" t="str">
            <v>FG-G</v>
          </cell>
          <cell r="J954" t="str">
            <v>NV® 75 X-FLEX</v>
          </cell>
        </row>
        <row r="955">
          <cell r="A955" t="str">
            <v>AX192-WS-1AA</v>
          </cell>
          <cell r="B955" t="str">
            <v>FG-G</v>
          </cell>
          <cell r="J955" t="str">
            <v>NV® 85 S-FLEX</v>
          </cell>
        </row>
        <row r="956">
          <cell r="A956" t="str">
            <v>AX192-WX-1AA</v>
          </cell>
          <cell r="B956" t="str">
            <v>FG-G</v>
          </cell>
          <cell r="J956" t="str">
            <v>NV® 85 X-FLEX</v>
          </cell>
        </row>
        <row r="957">
          <cell r="A957" t="str">
            <v>AX193-IL-1AA</v>
          </cell>
          <cell r="B957" t="str">
            <v>FG-G</v>
          </cell>
          <cell r="J957" t="str">
            <v>NV® HYB R-FLEXID 55 L-FLEX</v>
          </cell>
        </row>
        <row r="958">
          <cell r="A958" t="str">
            <v>AX194-IR-1AA</v>
          </cell>
          <cell r="B958" t="str">
            <v>FG-G</v>
          </cell>
          <cell r="J958" t="str">
            <v>NV® HYB R-FLEXID 85 R-FLEX</v>
          </cell>
        </row>
        <row r="959">
          <cell r="A959" t="str">
            <v>AX194-IS-1AA</v>
          </cell>
          <cell r="B959" t="str">
            <v>FG-G</v>
          </cell>
          <cell r="J959" t="str">
            <v>NV® HYB R-FLEXID 85 S-FLEX</v>
          </cell>
        </row>
        <row r="960">
          <cell r="A960" t="str">
            <v>AX194-IX-1AA</v>
          </cell>
          <cell r="B960" t="str">
            <v>FG-G</v>
          </cell>
          <cell r="J960" t="str">
            <v>NV® HYB R-FLEXID 85 X-FLEX</v>
          </cell>
        </row>
        <row r="961">
          <cell r="A961" t="str">
            <v>AX195-IR-1AA</v>
          </cell>
          <cell r="B961" t="str">
            <v>FG-G</v>
          </cell>
          <cell r="J961" t="str">
            <v>NVS HYB R-FLEXID 85 R-FLEX</v>
          </cell>
        </row>
        <row r="962">
          <cell r="A962" t="str">
            <v>AX195-IS-1AA</v>
          </cell>
          <cell r="B962" t="str">
            <v>FG-G</v>
          </cell>
          <cell r="J962" t="str">
            <v>NVS HYB R-FLEXID 85 S-FLEX</v>
          </cell>
        </row>
        <row r="963">
          <cell r="A963" t="str">
            <v>MX931-IS-PA</v>
          </cell>
          <cell r="B963" t="str">
            <v>FG-G</v>
          </cell>
          <cell r="J963" t="str">
            <v>Diamana Thump WEDGE 105</v>
          </cell>
        </row>
        <row r="964">
          <cell r="A964" t="str">
            <v>MX906-IS-1A</v>
          </cell>
          <cell r="B964" t="str">
            <v>FG-G</v>
          </cell>
          <cell r="J964" t="str">
            <v>Diamana Thump '23 HYB 370 90S</v>
          </cell>
        </row>
        <row r="965">
          <cell r="A965" t="str">
            <v>MX906-IX-1A</v>
          </cell>
          <cell r="B965" t="str">
            <v>FG-G</v>
          </cell>
          <cell r="J965" t="str">
            <v>Diamana Thump '23 HYB 370 90X</v>
          </cell>
        </row>
        <row r="966">
          <cell r="A966" t="str">
            <v>MX907-IX-1A</v>
          </cell>
          <cell r="B966" t="str">
            <v>FG-G</v>
          </cell>
          <cell r="J966" t="str">
            <v>Diamana Thump '23 HYB 370 100X</v>
          </cell>
        </row>
        <row r="967">
          <cell r="A967" t="str">
            <v>MX912-IS-1A</v>
          </cell>
          <cell r="B967" t="str">
            <v>FG-G</v>
          </cell>
          <cell r="J967" t="str">
            <v>Diamana Thump '23 HYB 90S</v>
          </cell>
        </row>
        <row r="968">
          <cell r="A968" t="str">
            <v>MX912-IX-1A</v>
          </cell>
          <cell r="B968" t="str">
            <v>FG-G</v>
          </cell>
          <cell r="J968" t="str">
            <v>Diamana Thump '23 HYB 90X</v>
          </cell>
        </row>
        <row r="969">
          <cell r="A969" t="str">
            <v>MX932-IS-PA</v>
          </cell>
          <cell r="B969" t="str">
            <v>FG-G</v>
          </cell>
          <cell r="J969" t="str">
            <v>Diamana Thump WEDGE 115</v>
          </cell>
        </row>
        <row r="970">
          <cell r="A970" t="str">
            <v>SP404-US-2A</v>
          </cell>
          <cell r="B970" t="str">
            <v>FG-G</v>
          </cell>
          <cell r="J970" t="str">
            <v>OTBBUSM/CB Hybrid Flex-S</v>
          </cell>
        </row>
        <row r="971">
          <cell r="A971" t="str">
            <v>AX186-WL-1AA</v>
          </cell>
          <cell r="B971" t="str">
            <v>FG-G</v>
          </cell>
          <cell r="J971" t="str">
            <v>NVS 45 L-FLEX</v>
          </cell>
        </row>
        <row r="972">
          <cell r="A972" t="str">
            <v>MX936-WR-1A</v>
          </cell>
          <cell r="B972" t="str">
            <v>FG-G</v>
          </cell>
          <cell r="J972" t="e">
            <v>#N/A</v>
          </cell>
        </row>
        <row r="973">
          <cell r="A973" t="str">
            <v>MX936-WS-1A</v>
          </cell>
          <cell r="B973" t="str">
            <v>FG-G</v>
          </cell>
          <cell r="J973" t="e">
            <v>#N/A</v>
          </cell>
        </row>
        <row r="974">
          <cell r="A974" t="str">
            <v>MX889-WS-1Z</v>
          </cell>
          <cell r="B974" t="str">
            <v>FG-G</v>
          </cell>
          <cell r="J974" t="e">
            <v>#N/A</v>
          </cell>
        </row>
        <row r="975">
          <cell r="A975" t="str">
            <v>MX669-IS-2B</v>
          </cell>
          <cell r="B975" t="str">
            <v>FG-G</v>
          </cell>
          <cell r="J975" t="str">
            <v>MMT™ Taper 95 S-flex</v>
          </cell>
        </row>
        <row r="976">
          <cell r="A976" t="str">
            <v>MX824-WR-1BO</v>
          </cell>
          <cell r="B976" t="str">
            <v>FG-G</v>
          </cell>
          <cell r="J976" t="str">
            <v>KAI’LI BLUE 50 R-Flex</v>
          </cell>
        </row>
        <row r="977">
          <cell r="A977" t="str">
            <v>MX824-WS-1BO</v>
          </cell>
          <cell r="B977" t="str">
            <v>FG-G</v>
          </cell>
          <cell r="J977" t="str">
            <v>KAI’LI BLUE 50 S-Flex</v>
          </cell>
        </row>
        <row r="978">
          <cell r="A978" t="str">
            <v>MR126-IR-5B</v>
          </cell>
          <cell r="B978" t="str">
            <v>FG-G</v>
          </cell>
          <cell r="J978" t="str">
            <v>8470908/23 MAJESTY Royale R</v>
          </cell>
        </row>
        <row r="979">
          <cell r="A979" t="str">
            <v>MR126-IR-9B</v>
          </cell>
          <cell r="B979" t="str">
            <v>FG-G</v>
          </cell>
          <cell r="J979" t="str">
            <v>8470932/23 MAJESTY Royale R</v>
          </cell>
        </row>
        <row r="980">
          <cell r="A980" t="str">
            <v>MR126-IRA5B</v>
          </cell>
          <cell r="B980" t="str">
            <v>FG-G</v>
          </cell>
          <cell r="J980" t="e">
            <v>#N/A</v>
          </cell>
        </row>
        <row r="981">
          <cell r="A981" t="str">
            <v>MR126-IRA9B</v>
          </cell>
          <cell r="B981" t="str">
            <v>FG-G</v>
          </cell>
          <cell r="J981" t="e">
            <v>#N/A</v>
          </cell>
        </row>
        <row r="982">
          <cell r="A982" t="str">
            <v>MR126-ISR5B</v>
          </cell>
          <cell r="B982" t="str">
            <v>FG-G</v>
          </cell>
          <cell r="J982" t="str">
            <v>8470916/23 MAJESTY Royale SR</v>
          </cell>
        </row>
        <row r="983">
          <cell r="A983" t="str">
            <v>MR126-ISR9B</v>
          </cell>
          <cell r="B983" t="str">
            <v>FG-G</v>
          </cell>
          <cell r="J983" t="str">
            <v>8470940/23 MAJESTY Royale SR</v>
          </cell>
        </row>
        <row r="984">
          <cell r="A984" t="str">
            <v>MR126-UR-3B</v>
          </cell>
          <cell r="B984" t="str">
            <v>FG-G</v>
          </cell>
          <cell r="J984" t="e">
            <v>#N/A</v>
          </cell>
        </row>
        <row r="985">
          <cell r="A985" t="str">
            <v>MR126-URA3B</v>
          </cell>
          <cell r="B985" t="str">
            <v>FG-G</v>
          </cell>
          <cell r="J985" t="e">
            <v>#N/A</v>
          </cell>
        </row>
        <row r="986">
          <cell r="A986" t="str">
            <v>MR126-US-3B</v>
          </cell>
          <cell r="B986" t="str">
            <v>FG-G</v>
          </cell>
          <cell r="J986" t="e">
            <v>#N/A</v>
          </cell>
        </row>
        <row r="987">
          <cell r="A987" t="str">
            <v>MR126-USR3B</v>
          </cell>
          <cell r="B987" t="str">
            <v>FG-G</v>
          </cell>
          <cell r="J987" t="str">
            <v>8470874/23 MAJESTY Royale SR</v>
          </cell>
        </row>
        <row r="988">
          <cell r="A988" t="str">
            <v>MR126-WR-1B</v>
          </cell>
          <cell r="B988" t="str">
            <v>FG-G</v>
          </cell>
          <cell r="J988" t="str">
            <v>8470783/23 MAJESTY Royale R</v>
          </cell>
        </row>
        <row r="989">
          <cell r="A989" t="str">
            <v>MR126-WR-3B</v>
          </cell>
          <cell r="B989" t="str">
            <v>FG-G</v>
          </cell>
          <cell r="J989" t="e">
            <v>#N/A</v>
          </cell>
        </row>
        <row r="990">
          <cell r="A990" t="str">
            <v>MR126-WRA1B</v>
          </cell>
          <cell r="B990" t="str">
            <v>FG-G</v>
          </cell>
          <cell r="J990" t="e">
            <v>#N/A</v>
          </cell>
        </row>
        <row r="991">
          <cell r="A991" t="str">
            <v>MR126-WRA3B</v>
          </cell>
          <cell r="B991" t="str">
            <v>FG-G</v>
          </cell>
          <cell r="J991" t="e">
            <v>#N/A</v>
          </cell>
        </row>
        <row r="992">
          <cell r="A992" t="str">
            <v>MR126-WS-1B</v>
          </cell>
          <cell r="B992" t="str">
            <v>FG-G</v>
          </cell>
          <cell r="J992" t="str">
            <v>8470809/23 MAJESTY Royale S</v>
          </cell>
        </row>
        <row r="993">
          <cell r="A993" t="str">
            <v>MR126-WS-3B</v>
          </cell>
          <cell r="B993" t="str">
            <v>FG-G</v>
          </cell>
          <cell r="J993" t="e">
            <v>#N/A</v>
          </cell>
        </row>
        <row r="994">
          <cell r="A994" t="str">
            <v>MR126-WSR1B</v>
          </cell>
          <cell r="B994" t="str">
            <v>FG-G</v>
          </cell>
          <cell r="J994" t="str">
            <v>8470791/23 MAJESTY Royale SR</v>
          </cell>
        </row>
        <row r="995">
          <cell r="A995" t="str">
            <v>MR126-WSR3B</v>
          </cell>
          <cell r="B995" t="str">
            <v>FG-G</v>
          </cell>
          <cell r="J995" t="str">
            <v>8470833/23 MAJESTY Royale SR</v>
          </cell>
        </row>
        <row r="996">
          <cell r="A996" t="str">
            <v>CW147-WS-1AY</v>
          </cell>
          <cell r="B996" t="str">
            <v>FG-G</v>
          </cell>
          <cell r="J996" t="e">
            <v>#N/A</v>
          </cell>
        </row>
        <row r="997">
          <cell r="A997" t="str">
            <v>CW147-WX-1AY</v>
          </cell>
          <cell r="B997" t="str">
            <v>FG-G</v>
          </cell>
          <cell r="J997" t="e">
            <v>#N/A</v>
          </cell>
        </row>
        <row r="998">
          <cell r="A998" t="str">
            <v>MX892-IX-1A</v>
          </cell>
          <cell r="B998" t="str">
            <v>FG-G</v>
          </cell>
          <cell r="J998" t="e">
            <v>#N/A</v>
          </cell>
        </row>
        <row r="999">
          <cell r="A999" t="str">
            <v>MX876-WR-1AO</v>
          </cell>
          <cell r="B999" t="str">
            <v>FG-G</v>
          </cell>
          <cell r="J999" t="e">
            <v>#N/A</v>
          </cell>
        </row>
        <row r="1000">
          <cell r="A1000" t="str">
            <v>MX876-WS-1AO</v>
          </cell>
          <cell r="B1000" t="str">
            <v>FG-G</v>
          </cell>
          <cell r="J1000" t="e">
            <v>#N/A</v>
          </cell>
        </row>
        <row r="1001">
          <cell r="A1001" t="str">
            <v>MX876-WX-1AO</v>
          </cell>
          <cell r="B1001" t="str">
            <v>FG-G</v>
          </cell>
          <cell r="J1001" t="e">
            <v>#N/A</v>
          </cell>
        </row>
        <row r="1002">
          <cell r="A1002" t="str">
            <v>MX877-WS-1AO</v>
          </cell>
          <cell r="B1002" t="str">
            <v>FG-G</v>
          </cell>
          <cell r="J1002" t="e">
            <v>#N/A</v>
          </cell>
        </row>
        <row r="1003">
          <cell r="A1003" t="str">
            <v>MX877-WX-1AO</v>
          </cell>
          <cell r="B1003" t="str">
            <v>FG-G</v>
          </cell>
          <cell r="J1003" t="e">
            <v>#N/A</v>
          </cell>
        </row>
        <row r="1004">
          <cell r="A1004" t="str">
            <v>MX936-WA-1AO</v>
          </cell>
          <cell r="B1004" t="str">
            <v>FG-G</v>
          </cell>
          <cell r="J1004" t="str">
            <v>KAILI RED 50 A-FLEX</v>
          </cell>
        </row>
        <row r="1005">
          <cell r="A1005" t="str">
            <v>MX936-WR-1AO</v>
          </cell>
          <cell r="B1005" t="str">
            <v>FG-G</v>
          </cell>
          <cell r="J1005" t="str">
            <v>KAILI RED 50 R-FLEX</v>
          </cell>
        </row>
        <row r="1006">
          <cell r="A1006" t="str">
            <v>MX936-WS-1AO</v>
          </cell>
          <cell r="B1006" t="str">
            <v>FG-G</v>
          </cell>
          <cell r="J1006" t="e">
            <v>#N/A</v>
          </cell>
        </row>
        <row r="1007">
          <cell r="A1007" t="str">
            <v>MX892-IS-1AO</v>
          </cell>
          <cell r="B1007" t="str">
            <v>FG-G</v>
          </cell>
          <cell r="J1007" t="str">
            <v>KAI’LI WHITE HYB 80G S-FLEX</v>
          </cell>
        </row>
        <row r="1008">
          <cell r="A1008" t="str">
            <v>MX893-ITX1AO</v>
          </cell>
          <cell r="B1008" t="str">
            <v>FG-G</v>
          </cell>
          <cell r="J1008" t="str">
            <v>KAI’LI WHITE HYB 90G TX-FLEX</v>
          </cell>
        </row>
        <row r="1009">
          <cell r="A1009" t="str">
            <v>PG056-WR-1A</v>
          </cell>
          <cell r="B1009" t="str">
            <v>FG-G</v>
          </cell>
          <cell r="J1009" t="e">
            <v>#N/A</v>
          </cell>
        </row>
        <row r="1010">
          <cell r="A1010" t="str">
            <v>SP405-IR-3A</v>
          </cell>
          <cell r="B1010" t="str">
            <v>FG-G</v>
          </cell>
          <cell r="J1010" t="str">
            <v>MBQBIRM/23 JAPANET IRON FLEX-R</v>
          </cell>
        </row>
        <row r="1011">
          <cell r="A1011" t="str">
            <v>SP405-IS-3A</v>
          </cell>
          <cell r="B1011" t="str">
            <v>FG-G</v>
          </cell>
          <cell r="J1011" t="str">
            <v>MBQBISM/23 JAPANET IRON FLEX-S</v>
          </cell>
        </row>
        <row r="1012">
          <cell r="A1012" t="str">
            <v>SP405-ISR3A</v>
          </cell>
          <cell r="B1012" t="str">
            <v>FG-G</v>
          </cell>
          <cell r="J1012" t="str">
            <v>MBQBIMM/23 JAPANET IRON FLEX-SR</v>
          </cell>
        </row>
        <row r="1013">
          <cell r="A1013" t="str">
            <v>SP405-UR-2A</v>
          </cell>
          <cell r="B1013" t="str">
            <v>FG-G</v>
          </cell>
          <cell r="J1013" t="str">
            <v>MBQBURM/23 JAPANET HYBRID FLEX-R</v>
          </cell>
        </row>
        <row r="1014">
          <cell r="A1014" t="str">
            <v>SP405-US-2A</v>
          </cell>
          <cell r="B1014" t="str">
            <v>FG-G</v>
          </cell>
          <cell r="J1014" t="str">
            <v>MBQBUSM/23 JAPANET HYBRID FLEX-S</v>
          </cell>
        </row>
        <row r="1015">
          <cell r="A1015" t="str">
            <v>SP405-USR2A</v>
          </cell>
          <cell r="B1015" t="str">
            <v>FG-G</v>
          </cell>
          <cell r="J1015" t="str">
            <v>MBQBUMM/23 JAPANET HYBRID FLEX-SR</v>
          </cell>
        </row>
        <row r="1016">
          <cell r="A1016" t="str">
            <v>SP405-WR-1A</v>
          </cell>
          <cell r="B1016" t="str">
            <v>FG-G</v>
          </cell>
          <cell r="J1016" t="str">
            <v>MBQBWRM/23 JAPANET WOOD FLEX-R</v>
          </cell>
        </row>
        <row r="1017">
          <cell r="A1017" t="str">
            <v>SP405-WS-1A</v>
          </cell>
          <cell r="B1017" t="str">
            <v>FG-G</v>
          </cell>
          <cell r="J1017" t="str">
            <v>MBQBWSM/23 JAPANET WOOD FLEX-S</v>
          </cell>
        </row>
        <row r="1018">
          <cell r="A1018" t="str">
            <v>SP405-WSR1A</v>
          </cell>
          <cell r="B1018" t="str">
            <v>FG-G</v>
          </cell>
          <cell r="J1018" t="str">
            <v>MBQBWMM/23 JAPANET WOOD FLEX-SR</v>
          </cell>
        </row>
        <row r="1019">
          <cell r="A1019" t="str">
            <v>MX936-WA-1A</v>
          </cell>
          <cell r="B1019" t="str">
            <v>FG-G</v>
          </cell>
          <cell r="J1019" t="e">
            <v>#N/A</v>
          </cell>
        </row>
        <row r="1020">
          <cell r="A1020" t="str">
            <v>XG041-IS-1A</v>
          </cell>
          <cell r="B1020" t="str">
            <v>FG-G</v>
          </cell>
          <cell r="J1020" t="str">
            <v>S-TENSEIAV-HYB-WHT-85-S/Tensei AV Xlink White HYB 85-S-FLEX</v>
          </cell>
        </row>
        <row r="1021">
          <cell r="A1021" t="str">
            <v>MX761-WX-1BO</v>
          </cell>
          <cell r="B1021" t="str">
            <v>FG-G</v>
          </cell>
          <cell r="J1021" t="str">
            <v>KAI’LI BLUE 80 X-Flex (ACP)</v>
          </cell>
        </row>
        <row r="1022">
          <cell r="A1022" t="str">
            <v>MX920-WS-1A</v>
          </cell>
          <cell r="B1022" t="str">
            <v>FG-G</v>
          </cell>
          <cell r="J1022" t="str">
            <v>TENSEI™ AV Series Red 65 S-flex</v>
          </cell>
        </row>
        <row r="1023">
          <cell r="A1023" t="str">
            <v>XG011-WR-1B</v>
          </cell>
          <cell r="B1023" t="str">
            <v>FG-G</v>
          </cell>
          <cell r="J1023" t="str">
            <v>S-DIAM-2023-SPLUS-60R/Diamana 2023 S+  60 R-FLEX</v>
          </cell>
        </row>
        <row r="1024">
          <cell r="A1024" t="str">
            <v>XG011-WS-1B</v>
          </cell>
          <cell r="B1024" t="str">
            <v>FG-G</v>
          </cell>
          <cell r="J1024" t="str">
            <v>S-DIAM-2023-SPLUS-60S/Diamana 2023 S+  60 S-FLEX</v>
          </cell>
        </row>
        <row r="1025">
          <cell r="A1025" t="str">
            <v>XG012-WS-1B</v>
          </cell>
          <cell r="B1025" t="str">
            <v>FG-G</v>
          </cell>
          <cell r="J1025" t="str">
            <v>S-DIAM-2023-SPLUS-70S/Diamana 2023 S+  70 S-FLEX</v>
          </cell>
        </row>
        <row r="1026">
          <cell r="A1026" t="str">
            <v>SF244-IS-3C</v>
          </cell>
          <cell r="B1026" t="str">
            <v>FG-G</v>
          </cell>
          <cell r="J1026" t="e">
            <v>#N/A</v>
          </cell>
        </row>
        <row r="1027">
          <cell r="A1027" t="str">
            <v>SF245-WR-1G</v>
          </cell>
          <cell r="B1027" t="str">
            <v>FG-G</v>
          </cell>
          <cell r="J1027" t="e">
            <v>#N/A</v>
          </cell>
        </row>
        <row r="1028">
          <cell r="A1028" t="str">
            <v>SF250-IS-3C</v>
          </cell>
          <cell r="B1028" t="str">
            <v>FG-G</v>
          </cell>
          <cell r="J1028" t="e">
            <v>#N/A</v>
          </cell>
        </row>
        <row r="1029">
          <cell r="A1029" t="str">
            <v>MR134-IL-5A</v>
          </cell>
          <cell r="B1029" t="str">
            <v>FG-G</v>
          </cell>
          <cell r="J1029" t="e">
            <v>#N/A</v>
          </cell>
        </row>
        <row r="1030">
          <cell r="A1030" t="str">
            <v>MR134-UL-3A</v>
          </cell>
          <cell r="B1030" t="str">
            <v>FG-G</v>
          </cell>
          <cell r="J1030" t="e">
            <v>#N/A</v>
          </cell>
        </row>
        <row r="1031">
          <cell r="A1031" t="str">
            <v>MR134-WL-1A</v>
          </cell>
          <cell r="B1031" t="str">
            <v>FG-G</v>
          </cell>
          <cell r="J1031" t="e">
            <v>#N/A</v>
          </cell>
        </row>
        <row r="1032">
          <cell r="A1032" t="str">
            <v>MR134-WL-3A</v>
          </cell>
          <cell r="B1032" t="str">
            <v>FG-G</v>
          </cell>
          <cell r="J1032" t="e">
            <v>#N/A</v>
          </cell>
        </row>
        <row r="1033">
          <cell r="A1033" t="str">
            <v>MX919-WR-1A</v>
          </cell>
          <cell r="B1033" t="str">
            <v>FG-G</v>
          </cell>
          <cell r="J1033" t="str">
            <v>TENSEI™ AV Series Red 55 R-flex</v>
          </cell>
        </row>
        <row r="1034">
          <cell r="A1034" t="str">
            <v>MR137-IL-5A</v>
          </cell>
          <cell r="B1034" t="str">
            <v>FG-G</v>
          </cell>
          <cell r="J1034" t="e">
            <v>#N/A</v>
          </cell>
        </row>
        <row r="1035">
          <cell r="A1035" t="str">
            <v>MR137-UL-1A</v>
          </cell>
          <cell r="B1035" t="str">
            <v>FG-G</v>
          </cell>
          <cell r="J1035" t="e">
            <v>#N/A</v>
          </cell>
        </row>
        <row r="1036">
          <cell r="A1036" t="str">
            <v>MR137-WL-1A</v>
          </cell>
          <cell r="B1036" t="str">
            <v>FG-G</v>
          </cell>
          <cell r="J1036" t="e">
            <v>#N/A</v>
          </cell>
        </row>
        <row r="1037">
          <cell r="A1037" t="str">
            <v>MR137-WL-3A</v>
          </cell>
          <cell r="B1037" t="str">
            <v>FG-G</v>
          </cell>
          <cell r="J1037" t="e">
            <v>#N/A</v>
          </cell>
        </row>
        <row r="1038">
          <cell r="A1038" t="str">
            <v>SF283-WX-1A</v>
          </cell>
          <cell r="B1038" t="str">
            <v>FG-G</v>
          </cell>
          <cell r="J1038" t="e">
            <v>#N/A</v>
          </cell>
        </row>
        <row r="1039">
          <cell r="A1039" t="str">
            <v>MR135-IL-5A</v>
          </cell>
          <cell r="B1039" t="str">
            <v>FG-G</v>
          </cell>
          <cell r="J1039" t="e">
            <v>#N/A</v>
          </cell>
        </row>
        <row r="1040">
          <cell r="A1040" t="str">
            <v>MR135-UL-3A</v>
          </cell>
          <cell r="B1040" t="str">
            <v>FG-G</v>
          </cell>
          <cell r="J1040" t="e">
            <v>#N/A</v>
          </cell>
        </row>
        <row r="1041">
          <cell r="A1041" t="str">
            <v>MR135-WL-1A</v>
          </cell>
          <cell r="B1041" t="str">
            <v>FG-G</v>
          </cell>
          <cell r="J1041" t="e">
            <v>#N/A</v>
          </cell>
        </row>
        <row r="1042">
          <cell r="A1042" t="str">
            <v>MR135-WL-3A</v>
          </cell>
          <cell r="B1042" t="str">
            <v>FG-G</v>
          </cell>
          <cell r="J1042" t="e">
            <v>#N/A</v>
          </cell>
        </row>
        <row r="1043">
          <cell r="A1043" t="str">
            <v>AX204-WA-1SA</v>
          </cell>
          <cell r="B1043" t="str">
            <v>FG-G</v>
          </cell>
          <cell r="J1043" t="str">
            <v>11238396/ASCENT PL 40 A-flex</v>
          </cell>
        </row>
        <row r="1044">
          <cell r="A1044" t="str">
            <v>AX204-WL-1SA</v>
          </cell>
          <cell r="B1044" t="str">
            <v>FG-G</v>
          </cell>
          <cell r="J1044" t="str">
            <v>11238397/ASCENT PL 40 L-flex</v>
          </cell>
        </row>
        <row r="1045">
          <cell r="A1045" t="str">
            <v>AX205-IL-1SA</v>
          </cell>
          <cell r="B1045" t="str">
            <v>FG-G</v>
          </cell>
          <cell r="J1045" t="str">
            <v>11238401/ASCENT PL Hybrid 40 L-flex</v>
          </cell>
        </row>
        <row r="1046">
          <cell r="A1046" t="str">
            <v>AX207-IA-1SA</v>
          </cell>
          <cell r="B1046" t="str">
            <v>FG-G</v>
          </cell>
          <cell r="J1046" t="str">
            <v>11238400/ASCENT PL Hybrid 50 A-flex</v>
          </cell>
        </row>
        <row r="1047">
          <cell r="A1047" t="str">
            <v>AX204-WR-1SA</v>
          </cell>
          <cell r="B1047" t="str">
            <v>FG-G</v>
          </cell>
          <cell r="J1047" t="str">
            <v>11238395/ASCENT PL 40 R-flex</v>
          </cell>
        </row>
        <row r="1048">
          <cell r="A1048" t="str">
            <v>AX204-WS-1SA</v>
          </cell>
          <cell r="B1048" t="str">
            <v>FG-G</v>
          </cell>
          <cell r="J1048" t="str">
            <v>11238394/ASCENT PL 40 S-flex</v>
          </cell>
        </row>
        <row r="1049">
          <cell r="A1049" t="str">
            <v>MX784-WX-1B</v>
          </cell>
          <cell r="B1049" t="str">
            <v>FG-G</v>
          </cell>
          <cell r="J1049" t="e">
            <v>#N/A</v>
          </cell>
        </row>
        <row r="1050">
          <cell r="A1050" t="str">
            <v>MX933-IS-1A</v>
          </cell>
          <cell r="B1050" t="str">
            <v>FG-G</v>
          </cell>
          <cell r="J1050" t="str">
            <v>Tensei 1K Black Hybrid 85g S-Flex</v>
          </cell>
        </row>
        <row r="1051">
          <cell r="A1051" t="str">
            <v>MX933-IX-1A</v>
          </cell>
          <cell r="B1051" t="str">
            <v>FG-G</v>
          </cell>
          <cell r="J1051" t="str">
            <v>Tensei 1K Black Hybrid 85g X-Flex</v>
          </cell>
        </row>
        <row r="1052">
          <cell r="A1052" t="str">
            <v>MX934-IS-1A</v>
          </cell>
          <cell r="B1052" t="str">
            <v>FG-G</v>
          </cell>
          <cell r="J1052" t="str">
            <v>Tensei 1K Black Hybrid 95g S-Flex</v>
          </cell>
        </row>
        <row r="1053">
          <cell r="A1053" t="str">
            <v>MX934-IX-1A</v>
          </cell>
          <cell r="B1053" t="str">
            <v>FG-G</v>
          </cell>
          <cell r="J1053" t="str">
            <v>Tensei 1K Black Hybrid 95g X-Flex</v>
          </cell>
        </row>
        <row r="1054">
          <cell r="A1054" t="str">
            <v>YR088-WR-1Z</v>
          </cell>
          <cell r="B1054" t="str">
            <v>FG-G</v>
          </cell>
          <cell r="J1054" t="e">
            <v>#N/A</v>
          </cell>
        </row>
        <row r="1055">
          <cell r="A1055" t="str">
            <v>YR181-WR-1Z</v>
          </cell>
          <cell r="B1055" t="str">
            <v>FG-G</v>
          </cell>
          <cell r="J1055" t="str">
            <v>PRGR Durable shaft Tip OD 9.2mm</v>
          </cell>
        </row>
        <row r="1056">
          <cell r="A1056" t="str">
            <v>AX202-WR-1EA</v>
          </cell>
          <cell r="B1056" t="str">
            <v>FG-G</v>
          </cell>
          <cell r="J1056" t="str">
            <v>YA4WGR01/ALDILA ASCENT PL 50R GRAPH WOOD SHAFT R-FLEX</v>
          </cell>
        </row>
        <row r="1057">
          <cell r="A1057" t="str">
            <v>AX202-WS-1EA</v>
          </cell>
          <cell r="B1057" t="str">
            <v>FG-G</v>
          </cell>
          <cell r="J1057" t="str">
            <v>YA4WGS01/ALDILA ASCENT PL 55S GRAPH WOOD SHAFT S-FLEX</v>
          </cell>
        </row>
        <row r="1058">
          <cell r="A1058" t="str">
            <v>AX203-IR-1EA</v>
          </cell>
          <cell r="B1058" t="str">
            <v>FG-G</v>
          </cell>
          <cell r="J1058" t="str">
            <v>YA4IGR01/ALDILA ASCENT PL 55R GRAPH IRON SHAFT R-FLEX</v>
          </cell>
        </row>
        <row r="1059">
          <cell r="A1059" t="str">
            <v>AX203-IS-1EA</v>
          </cell>
          <cell r="B1059" t="str">
            <v>FG-G</v>
          </cell>
          <cell r="J1059" t="str">
            <v>YA4IGS01/ALDILA ASCENT PL 60S GRAPH IRON SHAFT S-FLEX</v>
          </cell>
        </row>
        <row r="1060">
          <cell r="A1060" t="str">
            <v>CW158-IS-2A</v>
          </cell>
          <cell r="B1060" t="str">
            <v>FG-G</v>
          </cell>
          <cell r="J1060" t="str">
            <v>3553S3/SF WD MCA TENSEI 70 GR STF JV (S-FLEX)</v>
          </cell>
        </row>
        <row r="1061">
          <cell r="A1061" t="str">
            <v>YM127-WS-3A</v>
          </cell>
          <cell r="B1061" t="str">
            <v>FG-G</v>
          </cell>
          <cell r="J1061" t="str">
            <v>VGZ1280/24RMX ATHLETE Wood #3 S</v>
          </cell>
        </row>
        <row r="1062">
          <cell r="A1062" t="str">
            <v>YM128-IR-7A</v>
          </cell>
          <cell r="B1062" t="str">
            <v>FG-G</v>
          </cell>
          <cell r="J1062" t="str">
            <v>VGY7960/24RMX IRON #7 R</v>
          </cell>
        </row>
        <row r="1063">
          <cell r="A1063" t="str">
            <v>YM128-ISR7A</v>
          </cell>
          <cell r="B1063" t="str">
            <v>FG-G</v>
          </cell>
          <cell r="J1063" t="str">
            <v>VGY8020/24RMX IRON #7 SR</v>
          </cell>
        </row>
        <row r="1064">
          <cell r="A1064" t="str">
            <v>YM128-UR-2A</v>
          </cell>
          <cell r="B1064" t="str">
            <v>FG-G</v>
          </cell>
          <cell r="J1064" t="str">
            <v>VGZ1450/24RMX UTILITY #2 R</v>
          </cell>
        </row>
        <row r="1065">
          <cell r="A1065" t="str">
            <v>YM128-US-2A</v>
          </cell>
          <cell r="B1065" t="str">
            <v>FG-G</v>
          </cell>
          <cell r="J1065" t="str">
            <v>VGZ1460/24RMX UTILITY #2 S</v>
          </cell>
        </row>
        <row r="1066">
          <cell r="A1066" t="str">
            <v>YM128-USR2A</v>
          </cell>
          <cell r="B1066" t="str">
            <v>FG-G</v>
          </cell>
          <cell r="J1066" t="str">
            <v>VGZ1470/24RMX UTILITY #2 SR</v>
          </cell>
        </row>
        <row r="1067">
          <cell r="A1067" t="str">
            <v>YM128-WR-1A</v>
          </cell>
          <cell r="B1067" t="str">
            <v>FG-G</v>
          </cell>
          <cell r="J1067" t="str">
            <v>VGZ7250/24RMX Wood #1 R</v>
          </cell>
        </row>
        <row r="1068">
          <cell r="A1068" t="str">
            <v>YM128-WR-3A</v>
          </cell>
          <cell r="B1068" t="str">
            <v>FG-G</v>
          </cell>
          <cell r="J1068" t="str">
            <v>VGZ1290/24RMX Wood #3 R</v>
          </cell>
        </row>
        <row r="1069">
          <cell r="A1069" t="str">
            <v>YM128-WS-1A</v>
          </cell>
          <cell r="B1069" t="str">
            <v>FG-G</v>
          </cell>
          <cell r="J1069" t="str">
            <v>VGZ7230/24RMX Wood #1 S</v>
          </cell>
        </row>
        <row r="1070">
          <cell r="A1070" t="str">
            <v>YM128-WS-3A</v>
          </cell>
          <cell r="B1070" t="str">
            <v>FG-G</v>
          </cell>
          <cell r="J1070" t="str">
            <v>VGZ1300/24RMX Wood #3 S</v>
          </cell>
        </row>
        <row r="1071">
          <cell r="A1071" t="str">
            <v>YM128-WSR1A</v>
          </cell>
          <cell r="B1071" t="str">
            <v>FG-G</v>
          </cell>
          <cell r="J1071" t="str">
            <v>VGZ7240/24RMX Wood #1 SR</v>
          </cell>
        </row>
        <row r="1072">
          <cell r="A1072" t="str">
            <v>YM128-WSR3A</v>
          </cell>
          <cell r="B1072" t="str">
            <v>FG-G</v>
          </cell>
          <cell r="J1072" t="str">
            <v>VGZ1310/24RMX Wood #3 SR</v>
          </cell>
        </row>
        <row r="1073">
          <cell r="A1073" t="str">
            <v>YM127-US-2A</v>
          </cell>
          <cell r="B1073" t="str">
            <v>FG-G</v>
          </cell>
          <cell r="J1073" t="e">
            <v>#N/A</v>
          </cell>
        </row>
        <row r="1074">
          <cell r="A1074" t="str">
            <v>YM128-IR-5A</v>
          </cell>
          <cell r="B1074" t="str">
            <v>FG-G</v>
          </cell>
          <cell r="J1074" t="str">
            <v>VGY7940/24RMX IRON #5 R</v>
          </cell>
        </row>
        <row r="1075">
          <cell r="A1075" t="str">
            <v>YM128-IR-6A</v>
          </cell>
          <cell r="B1075" t="str">
            <v>FG-G</v>
          </cell>
          <cell r="J1075" t="str">
            <v>VGY7950/24RMX IRON #6 R</v>
          </cell>
        </row>
        <row r="1076">
          <cell r="A1076" t="str">
            <v>YM128-IR-8A</v>
          </cell>
          <cell r="B1076" t="str">
            <v>FG-G</v>
          </cell>
          <cell r="J1076" t="str">
            <v>VGY7970/24RMX IRON #8 R</v>
          </cell>
        </row>
        <row r="1077">
          <cell r="A1077" t="str">
            <v>YM128-IR-9A</v>
          </cell>
          <cell r="B1077" t="str">
            <v>FG-G</v>
          </cell>
          <cell r="J1077" t="str">
            <v>VGY7980/24RMX IRON #9 R</v>
          </cell>
        </row>
        <row r="1078">
          <cell r="A1078" t="str">
            <v>YM128-IR-PA</v>
          </cell>
          <cell r="B1078" t="str">
            <v>FG-G</v>
          </cell>
          <cell r="J1078" t="str">
            <v>VGY7990/24RMX IRON #P R</v>
          </cell>
        </row>
        <row r="1079">
          <cell r="A1079" t="str">
            <v>YM128-ISR5A</v>
          </cell>
          <cell r="B1079" t="str">
            <v>FG-G</v>
          </cell>
          <cell r="J1079" t="str">
            <v>VGY8000/24RMX IRON #5 SR</v>
          </cell>
        </row>
        <row r="1080">
          <cell r="A1080" t="str">
            <v>YM128-ISR6A</v>
          </cell>
          <cell r="B1080" t="str">
            <v>FG-G</v>
          </cell>
          <cell r="J1080" t="str">
            <v>VGY8010/24RMX IRON #6 SR</v>
          </cell>
        </row>
        <row r="1081">
          <cell r="A1081" t="str">
            <v>YM128-ISR8A</v>
          </cell>
          <cell r="B1081" t="str">
            <v>FG-G</v>
          </cell>
          <cell r="J1081" t="str">
            <v>VGY8030/24RMX IRON #8 SR</v>
          </cell>
        </row>
        <row r="1082">
          <cell r="A1082" t="str">
            <v>YM128-ISR9A</v>
          </cell>
          <cell r="B1082" t="str">
            <v>FG-G</v>
          </cell>
          <cell r="J1082" t="str">
            <v>VGY8040/24RMX IRON #9 SR</v>
          </cell>
        </row>
        <row r="1083">
          <cell r="A1083" t="str">
            <v>YM128-ISRPA</v>
          </cell>
          <cell r="B1083" t="str">
            <v>FG-G</v>
          </cell>
          <cell r="J1083" t="str">
            <v>VGY8050/24RMX IRON #P SR</v>
          </cell>
        </row>
        <row r="1084">
          <cell r="A1084" t="str">
            <v>CW158-ISR2A</v>
          </cell>
          <cell r="B1084" t="str">
            <v>FG-G</v>
          </cell>
          <cell r="J1084" t="str">
            <v>3553S5/SF WD MCA TENSEI 70 GR SR JV (SR-FLEX)</v>
          </cell>
        </row>
        <row r="1085">
          <cell r="A1085" t="str">
            <v>CW158-IR-2A</v>
          </cell>
          <cell r="B1085" t="str">
            <v>FG-G</v>
          </cell>
          <cell r="J1085" t="str">
            <v>3553S2/SF WD MCA TENSEI 70 GR REG JV (R-FLEX)</v>
          </cell>
        </row>
        <row r="1086">
          <cell r="A1086" t="str">
            <v>SF283-WR-1A</v>
          </cell>
          <cell r="B1086" t="str">
            <v>FG-G</v>
          </cell>
          <cell r="J1086" t="e">
            <v>#N/A</v>
          </cell>
        </row>
        <row r="1087">
          <cell r="A1087" t="str">
            <v>R-MX903-IS-2A</v>
          </cell>
          <cell r="B1087" t="str">
            <v>FG-G</v>
          </cell>
          <cell r="J1087" t="e">
            <v>#N/A</v>
          </cell>
        </row>
        <row r="1088">
          <cell r="A1088" t="str">
            <v>R-MX903-IS-3A</v>
          </cell>
          <cell r="B1088" t="str">
            <v>FG-G</v>
          </cell>
          <cell r="J1088" t="e">
            <v>#N/A</v>
          </cell>
        </row>
        <row r="1089">
          <cell r="A1089" t="str">
            <v>R-MX903-IS-4A</v>
          </cell>
          <cell r="B1089" t="str">
            <v>FG-G</v>
          </cell>
          <cell r="J1089" t="e">
            <v>#N/A</v>
          </cell>
        </row>
        <row r="1090">
          <cell r="A1090" t="str">
            <v>R-MX903-IS-5A</v>
          </cell>
          <cell r="B1090" t="str">
            <v>FG-G</v>
          </cell>
          <cell r="J1090" t="e">
            <v>#N/A</v>
          </cell>
        </row>
        <row r="1091">
          <cell r="A1091" t="str">
            <v>R-MX903-IS-6A</v>
          </cell>
          <cell r="B1091" t="str">
            <v>FG-G</v>
          </cell>
          <cell r="J1091" t="e">
            <v>#N/A</v>
          </cell>
        </row>
        <row r="1092">
          <cell r="A1092" t="str">
            <v>R-MX903-IS-7A</v>
          </cell>
          <cell r="B1092" t="str">
            <v>FG-G</v>
          </cell>
          <cell r="J1092" t="e">
            <v>#N/A</v>
          </cell>
        </row>
        <row r="1093">
          <cell r="A1093" t="str">
            <v>R-MX903-IS-8A</v>
          </cell>
          <cell r="B1093" t="str">
            <v>FG-G</v>
          </cell>
          <cell r="J1093" t="e">
            <v>#N/A</v>
          </cell>
        </row>
        <row r="1094">
          <cell r="A1094" t="str">
            <v>R-MX903-IS-9A</v>
          </cell>
          <cell r="B1094" t="str">
            <v>FG-G</v>
          </cell>
          <cell r="J1094" t="e">
            <v>#N/A</v>
          </cell>
        </row>
        <row r="1095">
          <cell r="A1095" t="str">
            <v>R-MX903-IS-PA</v>
          </cell>
          <cell r="B1095" t="str">
            <v>FG-G</v>
          </cell>
          <cell r="J1095" t="e">
            <v>#N/A</v>
          </cell>
        </row>
        <row r="1096">
          <cell r="A1096" t="str">
            <v>R-MX904-IS-2A</v>
          </cell>
          <cell r="B1096" t="str">
            <v>FG-G</v>
          </cell>
          <cell r="J1096" t="e">
            <v>#N/A</v>
          </cell>
        </row>
        <row r="1097">
          <cell r="A1097" t="str">
            <v>R-MX904-IS-3A</v>
          </cell>
          <cell r="B1097" t="str">
            <v>FG-G</v>
          </cell>
          <cell r="J1097" t="e">
            <v>#N/A</v>
          </cell>
        </row>
        <row r="1098">
          <cell r="A1098" t="str">
            <v>R-MX904-IS-4A</v>
          </cell>
          <cell r="B1098" t="str">
            <v>FG-G</v>
          </cell>
          <cell r="J1098" t="e">
            <v>#N/A</v>
          </cell>
        </row>
        <row r="1099">
          <cell r="A1099" t="str">
            <v>R-MX904-IS-5A</v>
          </cell>
          <cell r="B1099" t="str">
            <v>FG-G</v>
          </cell>
          <cell r="J1099" t="e">
            <v>#N/A</v>
          </cell>
        </row>
        <row r="1100">
          <cell r="A1100" t="str">
            <v>R-MX904-IS-6A</v>
          </cell>
          <cell r="B1100" t="str">
            <v>FG-G</v>
          </cell>
          <cell r="J1100" t="e">
            <v>#N/A</v>
          </cell>
        </row>
        <row r="1101">
          <cell r="A1101" t="str">
            <v>R-MX904-IS-7A</v>
          </cell>
          <cell r="B1101" t="str">
            <v>FG-G</v>
          </cell>
          <cell r="J1101" t="e">
            <v>#N/A</v>
          </cell>
        </row>
        <row r="1102">
          <cell r="A1102" t="str">
            <v>R-MX904-IS-8A</v>
          </cell>
          <cell r="B1102" t="str">
            <v>FG-G</v>
          </cell>
          <cell r="J1102" t="e">
            <v>#N/A</v>
          </cell>
        </row>
        <row r="1103">
          <cell r="A1103" t="str">
            <v>R-MX904-IS-9A</v>
          </cell>
          <cell r="B1103" t="str">
            <v>FG-G</v>
          </cell>
          <cell r="J1103" t="e">
            <v>#N/A</v>
          </cell>
        </row>
        <row r="1104">
          <cell r="A1104" t="str">
            <v>R-MX904-IS-PA</v>
          </cell>
          <cell r="B1104" t="str">
            <v>FG-G</v>
          </cell>
          <cell r="J1104" t="e">
            <v>#N/A</v>
          </cell>
        </row>
        <row r="1105">
          <cell r="A1105" t="str">
            <v>R-MX904-IX-2A</v>
          </cell>
          <cell r="B1105" t="str">
            <v>FG-G</v>
          </cell>
          <cell r="J1105" t="e">
            <v>#N/A</v>
          </cell>
        </row>
        <row r="1106">
          <cell r="A1106" t="str">
            <v>R-MX904-IX-3A</v>
          </cell>
          <cell r="B1106" t="str">
            <v>FG-G</v>
          </cell>
          <cell r="J1106" t="e">
            <v>#N/A</v>
          </cell>
        </row>
        <row r="1107">
          <cell r="A1107" t="str">
            <v>R-MX904-IX-4A</v>
          </cell>
          <cell r="B1107" t="str">
            <v>FG-G</v>
          </cell>
          <cell r="J1107" t="e">
            <v>#N/A</v>
          </cell>
        </row>
        <row r="1108">
          <cell r="A1108" t="str">
            <v>R-MX904-IX-5A</v>
          </cell>
          <cell r="B1108" t="str">
            <v>FG-G</v>
          </cell>
          <cell r="J1108" t="e">
            <v>#N/A</v>
          </cell>
        </row>
        <row r="1109">
          <cell r="A1109" t="str">
            <v>R-MX904-IX-6A</v>
          </cell>
          <cell r="B1109" t="str">
            <v>FG-G</v>
          </cell>
          <cell r="J1109" t="e">
            <v>#N/A</v>
          </cell>
        </row>
        <row r="1110">
          <cell r="A1110" t="str">
            <v>R-MX904-IX-7A</v>
          </cell>
          <cell r="B1110" t="str">
            <v>FG-G</v>
          </cell>
          <cell r="J1110" t="e">
            <v>#N/A</v>
          </cell>
        </row>
        <row r="1111">
          <cell r="A1111" t="str">
            <v>R-MX904-IX-8A</v>
          </cell>
          <cell r="B1111" t="str">
            <v>FG-G</v>
          </cell>
          <cell r="J1111" t="e">
            <v>#N/A</v>
          </cell>
        </row>
        <row r="1112">
          <cell r="A1112" t="str">
            <v>R-MX904-IX-9A</v>
          </cell>
          <cell r="B1112" t="str">
            <v>FG-G</v>
          </cell>
          <cell r="J1112" t="e">
            <v>#N/A</v>
          </cell>
        </row>
        <row r="1113">
          <cell r="A1113" t="str">
            <v>R-MX904-IX-PA</v>
          </cell>
          <cell r="B1113" t="str">
            <v>FG-G</v>
          </cell>
          <cell r="J1113" t="e">
            <v>#N/A</v>
          </cell>
        </row>
        <row r="1114">
          <cell r="A1114" t="str">
            <v>R-MX905-IX-2A</v>
          </cell>
          <cell r="B1114" t="str">
            <v>FG-G</v>
          </cell>
          <cell r="J1114" t="e">
            <v>#N/A</v>
          </cell>
        </row>
        <row r="1115">
          <cell r="A1115" t="str">
            <v>R-MX905-IX-4A</v>
          </cell>
          <cell r="B1115" t="str">
            <v>FG-G</v>
          </cell>
          <cell r="J1115" t="e">
            <v>#N/A</v>
          </cell>
        </row>
        <row r="1116">
          <cell r="A1116" t="str">
            <v>R-MX905-IX-5A</v>
          </cell>
          <cell r="B1116" t="str">
            <v>FG-G</v>
          </cell>
          <cell r="J1116" t="e">
            <v>#N/A</v>
          </cell>
        </row>
        <row r="1117">
          <cell r="A1117" t="str">
            <v>R-MX905-IX-6A</v>
          </cell>
          <cell r="B1117" t="str">
            <v>FG-G</v>
          </cell>
          <cell r="J1117" t="e">
            <v>#N/A</v>
          </cell>
        </row>
        <row r="1118">
          <cell r="A1118" t="str">
            <v>R-MX905-IX-7A</v>
          </cell>
          <cell r="B1118" t="str">
            <v>FG-G</v>
          </cell>
          <cell r="J1118" t="e">
            <v>#N/A</v>
          </cell>
        </row>
        <row r="1119">
          <cell r="A1119" t="str">
            <v>R-MX905-IX-8A</v>
          </cell>
          <cell r="B1119" t="str">
            <v>FG-G</v>
          </cell>
          <cell r="J1119" t="e">
            <v>#N/A</v>
          </cell>
        </row>
        <row r="1120">
          <cell r="A1120" t="str">
            <v>R-MX905-IX-9A</v>
          </cell>
          <cell r="B1120" t="str">
            <v>FG-G</v>
          </cell>
          <cell r="J1120" t="e">
            <v>#N/A</v>
          </cell>
        </row>
        <row r="1121">
          <cell r="A1121" t="str">
            <v>R-MX905-IX-PA</v>
          </cell>
          <cell r="B1121" t="str">
            <v>FG-G</v>
          </cell>
          <cell r="J1121" t="e">
            <v>#N/A</v>
          </cell>
        </row>
        <row r="1122">
          <cell r="A1122" t="str">
            <v>R-MX912-IS-1A</v>
          </cell>
          <cell r="B1122" t="str">
            <v>FG-G</v>
          </cell>
          <cell r="J1122" t="e">
            <v>#N/A</v>
          </cell>
        </row>
        <row r="1123">
          <cell r="A1123" t="str">
            <v>R-MX912-IX-1A</v>
          </cell>
          <cell r="B1123" t="str">
            <v>FG-G</v>
          </cell>
          <cell r="J1123" t="e">
            <v>#N/A</v>
          </cell>
        </row>
        <row r="1124">
          <cell r="A1124" t="str">
            <v>R-MX913-IX-1A</v>
          </cell>
          <cell r="B1124" t="str">
            <v>FG-G</v>
          </cell>
          <cell r="J1124" t="e">
            <v>#N/A</v>
          </cell>
        </row>
        <row r="1125">
          <cell r="A1125" t="str">
            <v>CW163-IS-1A</v>
          </cell>
          <cell r="B1125" t="str">
            <v>FG-G</v>
          </cell>
          <cell r="J1125" t="str">
            <v>3553Y3/MMT UT 80 S-FLEX</v>
          </cell>
        </row>
        <row r="1126">
          <cell r="A1126" t="str">
            <v>YM117SL254CF</v>
          </cell>
          <cell r="B1126" t="str">
            <v>FG-G</v>
          </cell>
          <cell r="J1126" t="str">
            <v>YM117SL254CF</v>
          </cell>
        </row>
        <row r="1127">
          <cell r="A1127" t="str">
            <v>SP408-IR-4A</v>
          </cell>
          <cell r="B1127" t="str">
            <v>FG-G</v>
          </cell>
          <cell r="J1127" t="str">
            <v>MV9BIRM/BASSARA B50 V300Ⅸ Iron Flex-R</v>
          </cell>
        </row>
        <row r="1128">
          <cell r="A1128" t="str">
            <v>SF248-IL-1D</v>
          </cell>
          <cell r="B1128" t="str">
            <v>FG-G</v>
          </cell>
          <cell r="J1128" t="str">
            <v>N9510401/SHI Eldio 2024 TM40 L</v>
          </cell>
        </row>
        <row r="1129">
          <cell r="A1129" t="str">
            <v>SF254-IS-1C</v>
          </cell>
          <cell r="B1129" t="str">
            <v>FG-G</v>
          </cell>
          <cell r="J1129" t="str">
            <v>N9510101/SHI Diamana™ Blue 2024 TM60 S</v>
          </cell>
        </row>
        <row r="1130">
          <cell r="A1130" t="str">
            <v>SF245-WS-1I</v>
          </cell>
          <cell r="B1130" t="str">
            <v>FG-G</v>
          </cell>
          <cell r="J1130" t="str">
            <v>N9512401/SHD Diamana™ BL 2024 TM50 S</v>
          </cell>
        </row>
        <row r="1131">
          <cell r="A1131" t="str">
            <v>SF245-WX-1J</v>
          </cell>
          <cell r="B1131" t="str">
            <v>FG-G</v>
          </cell>
          <cell r="J1131" t="e">
            <v>#N/A</v>
          </cell>
        </row>
        <row r="1132">
          <cell r="A1132" t="str">
            <v>CW163-IR-1A</v>
          </cell>
          <cell r="B1132" t="str">
            <v>FG-G</v>
          </cell>
          <cell r="J1132" t="str">
            <v>3553Y2/MMT UT 80 R-FLEX</v>
          </cell>
        </row>
        <row r="1133">
          <cell r="A1133" t="str">
            <v>CW165-IS-1A</v>
          </cell>
          <cell r="B1133" t="str">
            <v>FG-G</v>
          </cell>
          <cell r="J1133" t="str">
            <v>3554T4/MMT UT 90 X-FLEX</v>
          </cell>
        </row>
        <row r="1134">
          <cell r="A1134" t="str">
            <v>XG041-IX-1A</v>
          </cell>
          <cell r="B1134" t="str">
            <v>FG-G</v>
          </cell>
          <cell r="J1134" t="str">
            <v>S-TENSEIAV-HYB-WHT-85-X/Tensei AV Xlink White HYB 85 X-FLEX</v>
          </cell>
        </row>
        <row r="1135">
          <cell r="A1135" t="str">
            <v>SF292-WR-1A</v>
          </cell>
          <cell r="B1135" t="str">
            <v>FG-G</v>
          </cell>
          <cell r="J1135" t="str">
            <v>M1269801/Tensei AV Limited Blue X-Link 65gram R</v>
          </cell>
        </row>
        <row r="1136">
          <cell r="A1136" t="str">
            <v>SF292-WS-1A</v>
          </cell>
          <cell r="B1136" t="str">
            <v>FG-G</v>
          </cell>
          <cell r="J1136" t="str">
            <v>M1269701/Tensei AV Limited Blue X-Link 65gram S</v>
          </cell>
        </row>
        <row r="1137">
          <cell r="A1137" t="str">
            <v>SF292-WX-1A</v>
          </cell>
          <cell r="B1137" t="str">
            <v>FG-G</v>
          </cell>
          <cell r="J1137" t="str">
            <v>M1269601/Tensei AV Limited Blue X-Link 65gram X</v>
          </cell>
        </row>
        <row r="1138">
          <cell r="A1138" t="str">
            <v>MX944-IR-3A</v>
          </cell>
          <cell r="B1138" t="str">
            <v>FG-G</v>
          </cell>
          <cell r="J1138" t="str">
            <v>VANQUISH Iron 50 R #3</v>
          </cell>
        </row>
        <row r="1139">
          <cell r="A1139" t="str">
            <v>MX944-IR-4A</v>
          </cell>
          <cell r="B1139" t="str">
            <v>FG-G</v>
          </cell>
          <cell r="J1139" t="str">
            <v>VANQUISH Iron 50 R #4</v>
          </cell>
        </row>
        <row r="1140">
          <cell r="A1140" t="str">
            <v>MX944-IR-5A</v>
          </cell>
          <cell r="B1140" t="str">
            <v>FG-G</v>
          </cell>
          <cell r="J1140" t="str">
            <v>VANQUISH Iron 50 R #5</v>
          </cell>
        </row>
        <row r="1141">
          <cell r="A1141" t="str">
            <v>MX944-IR-6A</v>
          </cell>
          <cell r="B1141" t="str">
            <v>FG-G</v>
          </cell>
          <cell r="J1141" t="str">
            <v>VANQUISH Iron 50 R #6</v>
          </cell>
        </row>
        <row r="1142">
          <cell r="A1142" t="str">
            <v>MX944-IR-7A</v>
          </cell>
          <cell r="B1142" t="str">
            <v>FG-G</v>
          </cell>
          <cell r="J1142" t="str">
            <v>VANQUISH Iron 50 R #7</v>
          </cell>
        </row>
        <row r="1143">
          <cell r="A1143" t="str">
            <v>MX944-IR-8A</v>
          </cell>
          <cell r="B1143" t="str">
            <v>FG-G</v>
          </cell>
          <cell r="J1143" t="str">
            <v>VANQUISH Iron 50 R #8</v>
          </cell>
        </row>
        <row r="1144">
          <cell r="A1144" t="str">
            <v>MX944-IR-9A</v>
          </cell>
          <cell r="B1144" t="str">
            <v>FG-G</v>
          </cell>
          <cell r="J1144" t="str">
            <v>VANQUISH Iron 50 R #9</v>
          </cell>
        </row>
        <row r="1145">
          <cell r="A1145" t="str">
            <v>MX944-IR-PA</v>
          </cell>
          <cell r="B1145" t="str">
            <v>FG-G</v>
          </cell>
          <cell r="J1145" t="str">
            <v>VANQUISH Iron 50 R #P</v>
          </cell>
        </row>
        <row r="1146">
          <cell r="A1146" t="str">
            <v>MX944-IS-3A</v>
          </cell>
          <cell r="B1146" t="str">
            <v>FG-G</v>
          </cell>
          <cell r="J1146" t="str">
            <v>VANQUISH Iron 50 S #3</v>
          </cell>
        </row>
        <row r="1147">
          <cell r="A1147" t="str">
            <v>MX944-IS-4A</v>
          </cell>
          <cell r="B1147" t="str">
            <v>FG-G</v>
          </cell>
          <cell r="J1147" t="str">
            <v>VANQUISH Iron 50 S #4</v>
          </cell>
        </row>
        <row r="1148">
          <cell r="A1148" t="str">
            <v>MX944-IS-5A</v>
          </cell>
          <cell r="B1148" t="str">
            <v>FG-G</v>
          </cell>
          <cell r="J1148" t="str">
            <v>VANQUISH Iron 50 S #5</v>
          </cell>
        </row>
        <row r="1149">
          <cell r="A1149" t="str">
            <v>MX944-IS-6A</v>
          </cell>
          <cell r="B1149" t="str">
            <v>FG-G</v>
          </cell>
          <cell r="J1149" t="str">
            <v>VANQUISH Iron 50 S #6</v>
          </cell>
        </row>
        <row r="1150">
          <cell r="A1150" t="str">
            <v>MX944-IS-7A</v>
          </cell>
          <cell r="B1150" t="str">
            <v>FG-G</v>
          </cell>
          <cell r="J1150" t="str">
            <v>VANQUISH Iron 50 S #7</v>
          </cell>
        </row>
        <row r="1151">
          <cell r="A1151" t="str">
            <v>MX944-IS-8A</v>
          </cell>
          <cell r="B1151" t="str">
            <v>FG-G</v>
          </cell>
          <cell r="J1151" t="str">
            <v>VANQUISH Iron 50 S #8</v>
          </cell>
        </row>
        <row r="1152">
          <cell r="A1152" t="str">
            <v>MX944-IS-9A</v>
          </cell>
          <cell r="B1152" t="str">
            <v>FG-G</v>
          </cell>
          <cell r="J1152" t="str">
            <v>VANQUISH Iron 50 S #9</v>
          </cell>
        </row>
        <row r="1153">
          <cell r="A1153" t="str">
            <v>MX944-IS-PA</v>
          </cell>
          <cell r="B1153" t="str">
            <v>FG-G</v>
          </cell>
          <cell r="J1153" t="str">
            <v>VANQUISH Iron 50 S #P</v>
          </cell>
        </row>
        <row r="1154">
          <cell r="A1154" t="str">
            <v>MX944-IX-3A</v>
          </cell>
          <cell r="B1154" t="str">
            <v>FG-G</v>
          </cell>
          <cell r="J1154" t="str">
            <v>VANQUISH Iron 50 X #3</v>
          </cell>
        </row>
        <row r="1155">
          <cell r="A1155" t="str">
            <v>MX944-IX-4A</v>
          </cell>
          <cell r="B1155" t="str">
            <v>FG-G</v>
          </cell>
          <cell r="J1155" t="str">
            <v>VANQUISH Iron 50 X #4</v>
          </cell>
        </row>
        <row r="1156">
          <cell r="A1156" t="str">
            <v>MX944-IX-5A</v>
          </cell>
          <cell r="B1156" t="str">
            <v>FG-G</v>
          </cell>
          <cell r="J1156" t="str">
            <v>VANQUISH Iron 50 X #5</v>
          </cell>
        </row>
        <row r="1157">
          <cell r="A1157" t="str">
            <v>MX944-IX-6A</v>
          </cell>
          <cell r="B1157" t="str">
            <v>FG-G</v>
          </cell>
          <cell r="J1157" t="str">
            <v>VANQUISH Iron 50 X #6</v>
          </cell>
        </row>
        <row r="1158">
          <cell r="A1158" t="str">
            <v>MX944-IX-7A</v>
          </cell>
          <cell r="B1158" t="str">
            <v>FG-G</v>
          </cell>
          <cell r="J1158" t="str">
            <v>VANQUISH Iron 50 X #7</v>
          </cell>
        </row>
        <row r="1159">
          <cell r="A1159" t="str">
            <v>MX944-IX-8A</v>
          </cell>
          <cell r="B1159" t="str">
            <v>FG-G</v>
          </cell>
          <cell r="J1159" t="str">
            <v>VANQUISH Iron 50 X #8</v>
          </cell>
        </row>
        <row r="1160">
          <cell r="A1160" t="str">
            <v>MX944-IX-9A</v>
          </cell>
          <cell r="B1160" t="str">
            <v>FG-G</v>
          </cell>
          <cell r="J1160" t="str">
            <v>VANQUISH Iron 50 X #9</v>
          </cell>
        </row>
        <row r="1161">
          <cell r="A1161" t="str">
            <v>MX944-IX-PA</v>
          </cell>
          <cell r="B1161" t="str">
            <v>FG-G</v>
          </cell>
          <cell r="J1161" t="str">
            <v>VANQUISH Iron 50 X #P</v>
          </cell>
        </row>
        <row r="1162">
          <cell r="A1162" t="str">
            <v>MX945-IR-3A</v>
          </cell>
          <cell r="B1162" t="str">
            <v>FG-G</v>
          </cell>
          <cell r="J1162" t="str">
            <v>VANQUISH Iron 60 R #3</v>
          </cell>
        </row>
        <row r="1163">
          <cell r="A1163" t="str">
            <v>MX945-IR-4A</v>
          </cell>
          <cell r="B1163" t="str">
            <v>FG-G</v>
          </cell>
          <cell r="J1163" t="str">
            <v>VANQUISH Iron 60 R #4</v>
          </cell>
        </row>
        <row r="1164">
          <cell r="A1164" t="str">
            <v>MX945-IR-5A</v>
          </cell>
          <cell r="B1164" t="str">
            <v>FG-G</v>
          </cell>
          <cell r="J1164" t="str">
            <v>VANQUISH Iron 60 R #5</v>
          </cell>
        </row>
        <row r="1165">
          <cell r="A1165" t="str">
            <v>MX945-IR-6A</v>
          </cell>
          <cell r="B1165" t="str">
            <v>FG-G</v>
          </cell>
          <cell r="J1165" t="str">
            <v>VANQUISH Iron 60 R #6</v>
          </cell>
        </row>
        <row r="1166">
          <cell r="A1166" t="str">
            <v>MX945-IR-7A</v>
          </cell>
          <cell r="B1166" t="str">
            <v>FG-G</v>
          </cell>
          <cell r="J1166" t="str">
            <v>VANQUISH Iron 60 R #7</v>
          </cell>
        </row>
        <row r="1167">
          <cell r="A1167" t="str">
            <v>MX945-IR-8A</v>
          </cell>
          <cell r="B1167" t="str">
            <v>FG-G</v>
          </cell>
          <cell r="J1167" t="str">
            <v>VANQUISH Iron 60 R #8</v>
          </cell>
        </row>
        <row r="1168">
          <cell r="A1168" t="str">
            <v>MX945-IR-9A</v>
          </cell>
          <cell r="B1168" t="str">
            <v>FG-G</v>
          </cell>
          <cell r="J1168" t="str">
            <v>VANQUISH Iron 60 R #9</v>
          </cell>
        </row>
        <row r="1169">
          <cell r="A1169" t="str">
            <v>MX945-IR-PA</v>
          </cell>
          <cell r="B1169" t="str">
            <v>FG-G</v>
          </cell>
          <cell r="J1169" t="str">
            <v>VANQUISH Iron 60 R #P</v>
          </cell>
        </row>
        <row r="1170">
          <cell r="A1170" t="str">
            <v>MX945-IS-3A</v>
          </cell>
          <cell r="B1170" t="str">
            <v>FG-G</v>
          </cell>
          <cell r="J1170" t="str">
            <v>VANQUISH Iron 60 S #3</v>
          </cell>
        </row>
        <row r="1171">
          <cell r="A1171" t="str">
            <v>MX945-IS-4A</v>
          </cell>
          <cell r="B1171" t="str">
            <v>FG-G</v>
          </cell>
          <cell r="J1171" t="str">
            <v>VANQUISH Iron 60 S #4</v>
          </cell>
        </row>
        <row r="1172">
          <cell r="A1172" t="str">
            <v>MX945-IS-5A</v>
          </cell>
          <cell r="B1172" t="str">
            <v>FG-G</v>
          </cell>
          <cell r="J1172" t="str">
            <v>VANQUISH Iron 60 S #5</v>
          </cell>
        </row>
        <row r="1173">
          <cell r="A1173" t="str">
            <v>MX945-IS-6A</v>
          </cell>
          <cell r="B1173" t="str">
            <v>FG-G</v>
          </cell>
          <cell r="J1173" t="str">
            <v>VANQUISH Iron 60 S #6</v>
          </cell>
        </row>
        <row r="1174">
          <cell r="A1174" t="str">
            <v>MX945-IS-7A</v>
          </cell>
          <cell r="B1174" t="str">
            <v>FG-G</v>
          </cell>
          <cell r="J1174" t="str">
            <v>VANQUISH Iron 60 S #7</v>
          </cell>
        </row>
        <row r="1175">
          <cell r="A1175" t="str">
            <v>MX945-IS-8A</v>
          </cell>
          <cell r="B1175" t="str">
            <v>FG-G</v>
          </cell>
          <cell r="J1175" t="str">
            <v>VANQUISH Iron 60 S #8</v>
          </cell>
        </row>
        <row r="1176">
          <cell r="A1176" t="str">
            <v>MX945-IS-9A</v>
          </cell>
          <cell r="B1176" t="str">
            <v>FG-G</v>
          </cell>
          <cell r="J1176" t="str">
            <v>VANQUISH Iron 60 S #9</v>
          </cell>
        </row>
        <row r="1177">
          <cell r="A1177" t="str">
            <v>MX945-IS-PA</v>
          </cell>
          <cell r="B1177" t="str">
            <v>FG-G</v>
          </cell>
          <cell r="J1177" t="str">
            <v>VANQUISH Iron 60 S #P</v>
          </cell>
        </row>
        <row r="1178">
          <cell r="A1178" t="str">
            <v>CW152-IR-2A</v>
          </cell>
          <cell r="B1178" t="str">
            <v>FG-G</v>
          </cell>
          <cell r="J1178" t="str">
            <v>3554Y2/SF IR/HY MCA NEW TENSEI 50 GR REG JV</v>
          </cell>
        </row>
        <row r="1179">
          <cell r="A1179" t="str">
            <v>CW152-IS-2A</v>
          </cell>
          <cell r="B1179" t="str">
            <v>FG-G</v>
          </cell>
          <cell r="J1179" t="str">
            <v>3554Y3/SF IR/HY MCA NEW TENSEI 50 GR STF JV</v>
          </cell>
        </row>
        <row r="1180">
          <cell r="A1180" t="str">
            <v>CW152-ISR2A</v>
          </cell>
          <cell r="B1180" t="str">
            <v>FG-G</v>
          </cell>
          <cell r="J1180" t="str">
            <v>3554Y5/SF IR/HY MCA NEW TENSEI 50 GR SR JV</v>
          </cell>
        </row>
        <row r="1181">
          <cell r="A1181" t="str">
            <v>CW155-IR-2A</v>
          </cell>
          <cell r="B1181" t="str">
            <v>FG-G</v>
          </cell>
          <cell r="J1181" t="str">
            <v>3556X2/SF IR/HY MCA NEW TENSEI 40 GR REG JV</v>
          </cell>
        </row>
        <row r="1182">
          <cell r="A1182" t="str">
            <v>CW155-IS-2A</v>
          </cell>
          <cell r="B1182" t="str">
            <v>FG-G</v>
          </cell>
          <cell r="J1182" t="str">
            <v>3556X3/SF IR/HY MCA NEW TENSEI 40 GR STF JV</v>
          </cell>
        </row>
        <row r="1183">
          <cell r="A1183" t="str">
            <v>CW155-ISR2A</v>
          </cell>
          <cell r="B1183" t="str">
            <v>FG-G</v>
          </cell>
          <cell r="J1183" t="e">
            <v>#N/A</v>
          </cell>
        </row>
        <row r="1184">
          <cell r="A1184" t="str">
            <v>SF288-WA-1B</v>
          </cell>
          <cell r="B1184" t="str">
            <v>FG-G</v>
          </cell>
          <cell r="J1184" t="e">
            <v>#N/A</v>
          </cell>
        </row>
        <row r="1185">
          <cell r="A1185" t="str">
            <v>SF288-WL-1B</v>
          </cell>
          <cell r="B1185" t="str">
            <v>FG-G</v>
          </cell>
          <cell r="J1185" t="e">
            <v>#N/A</v>
          </cell>
        </row>
        <row r="1186">
          <cell r="A1186" t="str">
            <v>SF283-WS-1B</v>
          </cell>
          <cell r="B1186" t="str">
            <v>FG-G</v>
          </cell>
          <cell r="J1186" t="str">
            <v>N2987801/SHM-MCA DIAMANA T+ 60S</v>
          </cell>
        </row>
        <row r="1187">
          <cell r="A1187" t="str">
            <v>SF283-WX-1B</v>
          </cell>
          <cell r="B1187" t="str">
            <v>FG-G</v>
          </cell>
          <cell r="J1187" t="str">
            <v>N2987701/SHM-MCA DIAMANA T+ 60X</v>
          </cell>
        </row>
        <row r="1188">
          <cell r="A1188" t="str">
            <v>CW155-WR-1A</v>
          </cell>
          <cell r="B1188" t="str">
            <v>FG-G</v>
          </cell>
          <cell r="J1188" t="e">
            <v>#N/A</v>
          </cell>
        </row>
        <row r="1189">
          <cell r="A1189" t="str">
            <v>CW155-WS-1A</v>
          </cell>
          <cell r="B1189" t="str">
            <v>FG-G</v>
          </cell>
          <cell r="J1189" t="e">
            <v>#N/A</v>
          </cell>
        </row>
        <row r="1190">
          <cell r="A1190" t="str">
            <v>CW155-WSR1A</v>
          </cell>
          <cell r="B1190" t="str">
            <v>FG-G</v>
          </cell>
          <cell r="J1190" t="e">
            <v>#N/A</v>
          </cell>
        </row>
        <row r="1191">
          <cell r="A1191" t="str">
            <v>CW128-WR-1B</v>
          </cell>
          <cell r="B1191" t="str">
            <v>FG-G</v>
          </cell>
          <cell r="J1191" t="str">
            <v>3556O2/SF WD MCA TENSEI BLUE 65 GR REG</v>
          </cell>
        </row>
        <row r="1192">
          <cell r="A1192" t="str">
            <v>CW128-WS-1B</v>
          </cell>
          <cell r="B1192" t="str">
            <v>FG-G</v>
          </cell>
          <cell r="J1192" t="str">
            <v>3556O3/SF WD MCA TENSEI BLUE 65 GR STF</v>
          </cell>
        </row>
        <row r="1193">
          <cell r="A1193" t="str">
            <v>CW128-WX-1B</v>
          </cell>
          <cell r="B1193" t="str">
            <v>FG-G</v>
          </cell>
          <cell r="J1193" t="str">
            <v>3556O4/SF WD MCA TENSEI BLUE 65 GR XST</v>
          </cell>
        </row>
        <row r="1194">
          <cell r="A1194" t="str">
            <v>CW129-WS-1B</v>
          </cell>
          <cell r="B1194" t="str">
            <v>FG-G</v>
          </cell>
          <cell r="J1194" t="str">
            <v>3556Q3/SF WD MCA TENSEI BLUE 75 GR STF</v>
          </cell>
        </row>
        <row r="1195">
          <cell r="A1195" t="str">
            <v>SF256-IS-1E</v>
          </cell>
          <cell r="B1195" t="str">
            <v>FG-G</v>
          </cell>
          <cell r="J1195" t="e">
            <v>#N/A</v>
          </cell>
        </row>
        <row r="1196">
          <cell r="A1196" t="str">
            <v>CW156-IL-2A</v>
          </cell>
          <cell r="B1196" t="str">
            <v>FG-G</v>
          </cell>
          <cell r="J1196" t="str">
            <v>3556Y1/SF IR/HY MCA NEW ELDIO 40 GR LDY JV</v>
          </cell>
        </row>
        <row r="1197">
          <cell r="A1197" t="str">
            <v>SF288-WL-1A</v>
          </cell>
          <cell r="B1197" t="str">
            <v>FG-G</v>
          </cell>
          <cell r="J1197" t="str">
            <v>N9512701/SHD ELDIO™ 2024 TM40 L</v>
          </cell>
        </row>
        <row r="1198">
          <cell r="A1198" t="str">
            <v>SF288-WA-1A</v>
          </cell>
          <cell r="B1198" t="str">
            <v>FG-G</v>
          </cell>
          <cell r="J1198" t="str">
            <v>N9512801/SHD ELDIO™ 2024 TM40 A</v>
          </cell>
        </row>
        <row r="1199">
          <cell r="A1199" t="str">
            <v>CW152-WR-1A</v>
          </cell>
          <cell r="B1199" t="str">
            <v>FG-G</v>
          </cell>
          <cell r="J1199" t="e">
            <v>#N/A</v>
          </cell>
        </row>
        <row r="1200">
          <cell r="A1200" t="str">
            <v>CW152-WS-1A</v>
          </cell>
          <cell r="B1200" t="str">
            <v>FG-G</v>
          </cell>
          <cell r="J1200" t="e">
            <v>#N/A</v>
          </cell>
        </row>
        <row r="1201">
          <cell r="A1201" t="str">
            <v>CW152-WSR1A</v>
          </cell>
          <cell r="B1201" t="str">
            <v>FG-G</v>
          </cell>
          <cell r="J1201" t="e">
            <v>#N/A</v>
          </cell>
        </row>
        <row r="1202">
          <cell r="A1202" t="str">
            <v>CW153-WS-1A</v>
          </cell>
          <cell r="B1202" t="str">
            <v>FG-G</v>
          </cell>
          <cell r="J1202" t="e">
            <v>#N/A</v>
          </cell>
        </row>
        <row r="1203">
          <cell r="A1203" t="str">
            <v>CW153-WSR1A</v>
          </cell>
          <cell r="B1203" t="str">
            <v>FG-G</v>
          </cell>
          <cell r="J1203" t="e">
            <v>#N/A</v>
          </cell>
        </row>
        <row r="1204">
          <cell r="A1204" t="str">
            <v>CW156-WA-1A</v>
          </cell>
          <cell r="B1204" t="str">
            <v>FG-G</v>
          </cell>
          <cell r="J1204" t="str">
            <v>3555S7/SF WD MCA NEW ELDIO 40 GR LDY A JV</v>
          </cell>
        </row>
        <row r="1205">
          <cell r="A1205" t="str">
            <v>CW156-WL-1A</v>
          </cell>
          <cell r="B1205" t="str">
            <v>FG-G</v>
          </cell>
          <cell r="J1205" t="str">
            <v>3555S1/SF WD MCA NEW ELDIO 40 GR LDY JV</v>
          </cell>
        </row>
        <row r="1206">
          <cell r="A1206" t="str">
            <v>CW154-WRA1A</v>
          </cell>
          <cell r="B1206" t="str">
            <v>FG-G</v>
          </cell>
          <cell r="J1206" t="e">
            <v>#N/A</v>
          </cell>
        </row>
        <row r="1207">
          <cell r="A1207" t="str">
            <v>CW156-IA-2A</v>
          </cell>
          <cell r="B1207" t="str">
            <v>FG-G</v>
          </cell>
          <cell r="J1207" t="str">
            <v>3556Y7/SF IR/HY MCA NEW ELDIO 40 GR LDY A JV</v>
          </cell>
        </row>
        <row r="1208">
          <cell r="A1208" t="str">
            <v>SF245-WR-1I</v>
          </cell>
          <cell r="B1208" t="str">
            <v>FG-G</v>
          </cell>
          <cell r="J1208" t="str">
            <v>N9512601/SHD Diamana™ BL 2024 TM50 R</v>
          </cell>
        </row>
        <row r="1209">
          <cell r="A1209" t="str">
            <v>SF245-WSR1I</v>
          </cell>
          <cell r="B1209" t="str">
            <v>FG-G</v>
          </cell>
          <cell r="J1209" t="str">
            <v>N9512501/SHD Diamana™ BL 2024 TM50 SR</v>
          </cell>
        </row>
        <row r="1210">
          <cell r="A1210" t="str">
            <v>MX945-IX-3A</v>
          </cell>
          <cell r="B1210" t="str">
            <v>FG-G</v>
          </cell>
          <cell r="J1210" t="str">
            <v>VANQUISH Iron 60 X #3</v>
          </cell>
        </row>
        <row r="1211">
          <cell r="A1211" t="str">
            <v>MX945-IX-4A</v>
          </cell>
          <cell r="B1211" t="str">
            <v>FG-G</v>
          </cell>
          <cell r="J1211" t="str">
            <v>VANQUISH Iron 60 X #4</v>
          </cell>
        </row>
        <row r="1212">
          <cell r="A1212" t="str">
            <v>MX945-IX-5A</v>
          </cell>
          <cell r="B1212" t="str">
            <v>FG-G</v>
          </cell>
          <cell r="J1212" t="str">
            <v>VANQUISH Iron 60 X #5</v>
          </cell>
        </row>
        <row r="1213">
          <cell r="A1213" t="str">
            <v>MX945-IX-6A</v>
          </cell>
          <cell r="B1213" t="str">
            <v>FG-G</v>
          </cell>
          <cell r="J1213" t="str">
            <v>VANQUISH Iron 60 X #6</v>
          </cell>
        </row>
        <row r="1214">
          <cell r="A1214" t="str">
            <v>MX945-IX-7A</v>
          </cell>
          <cell r="B1214" t="str">
            <v>FG-G</v>
          </cell>
          <cell r="J1214" t="str">
            <v>VANQUISH Iron 60 X #7</v>
          </cell>
        </row>
        <row r="1215">
          <cell r="A1215" t="str">
            <v>MX945-IX-8A</v>
          </cell>
          <cell r="B1215" t="str">
            <v>FG-G</v>
          </cell>
          <cell r="J1215" t="str">
            <v>VANQUISH Iron 60 X #8</v>
          </cell>
        </row>
        <row r="1216">
          <cell r="A1216" t="str">
            <v>MX945-IX-9A</v>
          </cell>
          <cell r="B1216" t="str">
            <v>FG-G</v>
          </cell>
          <cell r="J1216" t="str">
            <v>VANQUISH Iron 60 X #9</v>
          </cell>
        </row>
        <row r="1217">
          <cell r="A1217" t="str">
            <v>MX945-IX-PA</v>
          </cell>
          <cell r="B1217" t="str">
            <v>FG-G</v>
          </cell>
          <cell r="J1217" t="str">
            <v>VANQUISH Iron 60 X #P</v>
          </cell>
        </row>
        <row r="1218">
          <cell r="A1218" t="str">
            <v>SF254-IA-1C</v>
          </cell>
          <cell r="B1218" t="str">
            <v>FG-G</v>
          </cell>
          <cell r="J1218" t="str">
            <v>N9510301/SHI Diamana™ Blue 2024 TM60 R</v>
          </cell>
        </row>
        <row r="1219">
          <cell r="A1219" t="str">
            <v>SF254-IR-1C</v>
          </cell>
          <cell r="B1219" t="str">
            <v>FG-G</v>
          </cell>
          <cell r="J1219" t="str">
            <v>N9510201/SHI Diamana™ Blue 2024 TM60 SR</v>
          </cell>
        </row>
        <row r="1220">
          <cell r="A1220" t="str">
            <v>CB043-WX-1A</v>
          </cell>
          <cell r="B1220" t="str">
            <v>FG-G</v>
          </cell>
          <cell r="J1220" t="str">
            <v>SD22GX190460/TENSEI 1K BLACK 65G X-FLEX</v>
          </cell>
        </row>
        <row r="1221">
          <cell r="A1221" t="str">
            <v>SF245-WS-1J</v>
          </cell>
          <cell r="B1221" t="str">
            <v>FG-G</v>
          </cell>
          <cell r="J1221" t="e">
            <v>#N/A</v>
          </cell>
        </row>
        <row r="1222">
          <cell r="A1222" t="str">
            <v>SF245-WSR1J</v>
          </cell>
          <cell r="B1222" t="str">
            <v>FG-G</v>
          </cell>
          <cell r="J1222" t="e">
            <v>#N/A</v>
          </cell>
        </row>
        <row r="1223">
          <cell r="A1223" t="str">
            <v>MX944-WR-3A</v>
          </cell>
          <cell r="B1223" t="str">
            <v>FG-G</v>
          </cell>
          <cell r="J1223" t="str">
            <v>VANQUISH FW 50R</v>
          </cell>
        </row>
        <row r="1224">
          <cell r="A1224" t="str">
            <v>MX944-WS-3A</v>
          </cell>
          <cell r="B1224" t="str">
            <v>FG-G</v>
          </cell>
          <cell r="J1224" t="str">
            <v>VANQUISH  FW 50S</v>
          </cell>
        </row>
        <row r="1225">
          <cell r="A1225" t="str">
            <v>MX944-WX-3A</v>
          </cell>
          <cell r="B1225" t="str">
            <v>FG-G</v>
          </cell>
          <cell r="J1225" t="str">
            <v>VANQUISH  FW 50X</v>
          </cell>
        </row>
        <row r="1226">
          <cell r="A1226" t="str">
            <v>MX945-UR-1A</v>
          </cell>
          <cell r="B1226" t="str">
            <v>FG-G</v>
          </cell>
          <cell r="J1226" t="str">
            <v>VANQUISH  HYBRID 370 (9.5mm) 60R</v>
          </cell>
        </row>
        <row r="1227">
          <cell r="A1227" t="str">
            <v>MX945-US-1A</v>
          </cell>
          <cell r="B1227" t="str">
            <v>FG-G</v>
          </cell>
          <cell r="J1227" t="str">
            <v>VANQUISH  HYBRID 370 (9.5mm) 60S</v>
          </cell>
        </row>
        <row r="1228">
          <cell r="A1228" t="str">
            <v>MX945-UX-1A</v>
          </cell>
          <cell r="B1228" t="str">
            <v>FG-G</v>
          </cell>
          <cell r="J1228" t="str">
            <v>VANQUISH  HYBRID 370 (9.5mm) 60X</v>
          </cell>
        </row>
        <row r="1229">
          <cell r="A1229" t="str">
            <v>MX945-WX-3A</v>
          </cell>
          <cell r="B1229" t="str">
            <v>FG-G</v>
          </cell>
          <cell r="J1229" t="str">
            <v>VANQUISH  FW 60X</v>
          </cell>
        </row>
        <row r="1230">
          <cell r="A1230" t="str">
            <v>MX965-UR-1A</v>
          </cell>
          <cell r="B1230" t="str">
            <v>FG-G</v>
          </cell>
          <cell r="J1230" t="str">
            <v>VANQUISH  HYBRID 355 (9.0mm) 50R</v>
          </cell>
        </row>
        <row r="1231">
          <cell r="A1231" t="str">
            <v>MX965-US-1A</v>
          </cell>
          <cell r="B1231" t="str">
            <v>FG-G</v>
          </cell>
          <cell r="J1231" t="str">
            <v>VANQUISH  HYBRID 355 (9.0mm) 50S</v>
          </cell>
        </row>
        <row r="1232">
          <cell r="A1232" t="str">
            <v>MX965-UX-1A</v>
          </cell>
          <cell r="B1232" t="str">
            <v>FG-G</v>
          </cell>
          <cell r="J1232" t="str">
            <v>VANQUISH  HYBRID 355 (9.0mm) 50X</v>
          </cell>
        </row>
        <row r="1233">
          <cell r="A1233" t="str">
            <v>MX966-UR-1A</v>
          </cell>
          <cell r="B1233" t="str">
            <v>FG-G</v>
          </cell>
          <cell r="J1233" t="str">
            <v>VANQUISH  HYBRID 355 (9.0mm) 60R</v>
          </cell>
        </row>
        <row r="1234">
          <cell r="A1234" t="str">
            <v>MX966-US-1A</v>
          </cell>
          <cell r="B1234" t="str">
            <v>FG-G</v>
          </cell>
          <cell r="J1234" t="str">
            <v>VANQUISH  HYBRID 355 (9.0mm) 60S</v>
          </cell>
        </row>
        <row r="1235">
          <cell r="A1235" t="str">
            <v>MX966-UX-1A</v>
          </cell>
          <cell r="B1235" t="str">
            <v>FG-G</v>
          </cell>
          <cell r="J1235" t="str">
            <v>VANQUISH  HYBRID 355 (9.0mm) 60X</v>
          </cell>
        </row>
        <row r="1236">
          <cell r="A1236" t="str">
            <v>MX944-UR-1A</v>
          </cell>
          <cell r="B1236" t="str">
            <v>FG-G</v>
          </cell>
          <cell r="J1236" t="str">
            <v>VANQUISH  HYBRID 370 (9.5mm) 50R</v>
          </cell>
        </row>
        <row r="1237">
          <cell r="A1237" t="str">
            <v>MX944-US-1A</v>
          </cell>
          <cell r="B1237" t="str">
            <v>FG-G</v>
          </cell>
          <cell r="J1237" t="str">
            <v>VANQUISH  HYBRID 370 (9.5mm) 50S</v>
          </cell>
        </row>
        <row r="1238">
          <cell r="A1238" t="str">
            <v>MX944-UX-1A</v>
          </cell>
          <cell r="B1238" t="str">
            <v>FG-G</v>
          </cell>
          <cell r="J1238" t="str">
            <v>VANQUISH  HYBRID 370 (9.5mm) 50X</v>
          </cell>
        </row>
        <row r="1239">
          <cell r="A1239" t="str">
            <v>SF283-WR-1B</v>
          </cell>
          <cell r="B1239" t="str">
            <v>FG-G</v>
          </cell>
          <cell r="J1239" t="str">
            <v>N2987901/SHM-MCA DIAMANA T+ 60R</v>
          </cell>
        </row>
        <row r="1240">
          <cell r="A1240" t="str">
            <v>SF244-IR-3D</v>
          </cell>
          <cell r="B1240" t="str">
            <v>FG-G</v>
          </cell>
          <cell r="J1240" t="str">
            <v>N3139001/Tensei AV Limited Blue HY 65 R</v>
          </cell>
        </row>
        <row r="1241">
          <cell r="A1241" t="str">
            <v>SF248-IA-1D</v>
          </cell>
          <cell r="B1241" t="str">
            <v>FG-G</v>
          </cell>
          <cell r="J1241" t="str">
            <v>N9510501/SHI Eldio 2024 TM40 A</v>
          </cell>
        </row>
        <row r="1242">
          <cell r="A1242" t="str">
            <v>SF250-IS-3D</v>
          </cell>
          <cell r="B1242" t="str">
            <v>FG-G</v>
          </cell>
          <cell r="J1242" t="str">
            <v>N3138801/Tensei AV Limited Blue HY 85 X</v>
          </cell>
        </row>
        <row r="1243">
          <cell r="A1243" t="str">
            <v>SF256-IR-1E</v>
          </cell>
          <cell r="B1243" t="str">
            <v>FG-G</v>
          </cell>
          <cell r="J1243" t="str">
            <v>N9511201/SHI Diamana™ SV 2024 TM70 R</v>
          </cell>
        </row>
        <row r="1244">
          <cell r="A1244" t="str">
            <v>SF282-WR-3B</v>
          </cell>
          <cell r="B1244" t="str">
            <v>FG-G</v>
          </cell>
          <cell r="J1244" t="e">
            <v>#N/A</v>
          </cell>
        </row>
        <row r="1245">
          <cell r="A1245" t="str">
            <v>SF282-WX-3B</v>
          </cell>
          <cell r="B1245" t="str">
            <v>FG-G</v>
          </cell>
          <cell r="J1245" t="e">
            <v>#N/A</v>
          </cell>
        </row>
        <row r="1246">
          <cell r="A1246" t="str">
            <v>MX783-WS-1BW</v>
          </cell>
          <cell r="B1246" t="str">
            <v>FG-G</v>
          </cell>
          <cell r="J1246" t="e">
            <v>#N/A</v>
          </cell>
        </row>
        <row r="1247">
          <cell r="A1247" t="str">
            <v>MX783-WX-1BW</v>
          </cell>
          <cell r="B1247" t="str">
            <v>FG-G</v>
          </cell>
          <cell r="J1247" t="e">
            <v>#N/A</v>
          </cell>
        </row>
        <row r="1248">
          <cell r="A1248" t="str">
            <v>MX681-IS-5AO</v>
          </cell>
          <cell r="B1248" t="str">
            <v>FG-G</v>
          </cell>
          <cell r="J1248" t="str">
            <v>MMT 105 S #5 38.0</v>
          </cell>
        </row>
        <row r="1249">
          <cell r="A1249" t="str">
            <v>MX681-IS-6AO</v>
          </cell>
          <cell r="B1249" t="str">
            <v>FG-G</v>
          </cell>
          <cell r="J1249" t="str">
            <v>MMT 105 S #6 37.5</v>
          </cell>
        </row>
        <row r="1250">
          <cell r="A1250" t="str">
            <v>MX681-IS-7AO</v>
          </cell>
          <cell r="B1250" t="str">
            <v>FG-G</v>
          </cell>
          <cell r="J1250" t="str">
            <v>MMT 105 S #7 37.0</v>
          </cell>
        </row>
        <row r="1251">
          <cell r="A1251" t="str">
            <v>MX681-IS-8AO</v>
          </cell>
          <cell r="B1251" t="str">
            <v>FG-G</v>
          </cell>
          <cell r="J1251" t="str">
            <v>MMT 105 S #8 36.5</v>
          </cell>
        </row>
        <row r="1252">
          <cell r="A1252" t="str">
            <v>MX681-IS-9AO</v>
          </cell>
          <cell r="B1252" t="str">
            <v>FG-G</v>
          </cell>
          <cell r="J1252" t="str">
            <v>MMT 105 S #9 36.0</v>
          </cell>
        </row>
        <row r="1253">
          <cell r="A1253" t="str">
            <v>MX681-IS-PAO</v>
          </cell>
          <cell r="B1253" t="str">
            <v>FG-G</v>
          </cell>
          <cell r="J1253" t="str">
            <v>MMT 105 S PW 35.5</v>
          </cell>
        </row>
        <row r="1254">
          <cell r="A1254" t="str">
            <v>MX726-IR-5AO</v>
          </cell>
          <cell r="B1254" t="str">
            <v>FG-G</v>
          </cell>
          <cell r="J1254" t="str">
            <v>MMT 85 TAPER GR 38.0</v>
          </cell>
        </row>
        <row r="1255">
          <cell r="A1255" t="str">
            <v>MX726-IR-6AO</v>
          </cell>
          <cell r="B1255" t="str">
            <v>FG-G</v>
          </cell>
          <cell r="J1255" t="str">
            <v>MMT 85 TAPER GR 37.5</v>
          </cell>
        </row>
        <row r="1256">
          <cell r="A1256" t="str">
            <v>MX726-IR-7AO</v>
          </cell>
          <cell r="B1256" t="str">
            <v>FG-G</v>
          </cell>
          <cell r="J1256" t="str">
            <v>MMT 85 TAPER GR 37.0</v>
          </cell>
        </row>
        <row r="1257">
          <cell r="A1257" t="str">
            <v>MX726-IR-8AO</v>
          </cell>
          <cell r="B1257" t="str">
            <v>FG-G</v>
          </cell>
          <cell r="J1257" t="str">
            <v>MMT 85 TAPER GR 36.5</v>
          </cell>
        </row>
        <row r="1258">
          <cell r="A1258" t="str">
            <v>MX726-IR-9AO</v>
          </cell>
          <cell r="B1258" t="str">
            <v>FG-G</v>
          </cell>
          <cell r="J1258" t="str">
            <v>MMT 85 TAPER GR 36.0</v>
          </cell>
        </row>
        <row r="1259">
          <cell r="A1259" t="str">
            <v>MX726-IR-PAO</v>
          </cell>
          <cell r="B1259" t="str">
            <v>FG-G</v>
          </cell>
          <cell r="J1259" t="str">
            <v>MMT 85 TAPER GR 35.5</v>
          </cell>
        </row>
        <row r="1260">
          <cell r="A1260" t="str">
            <v>CW155-IRA2A</v>
          </cell>
          <cell r="B1260" t="str">
            <v>FG-G</v>
          </cell>
          <cell r="J1260" t="e">
            <v>#N/A</v>
          </cell>
        </row>
        <row r="1261">
          <cell r="A1261" t="str">
            <v>CW154-IR-2A</v>
          </cell>
          <cell r="B1261" t="str">
            <v>FG-G</v>
          </cell>
          <cell r="J1261" t="str">
            <v>3561S2/SF IR/HY MCA TENSEI SLV 45 GR R JV</v>
          </cell>
        </row>
        <row r="1262">
          <cell r="A1262" t="str">
            <v>CW154-IRA2A</v>
          </cell>
          <cell r="B1262" t="str">
            <v>FG-G</v>
          </cell>
          <cell r="J1262" t="str">
            <v>3561S1/SF IR/HY MCA TENSEI SLV 45 GR R2 JV</v>
          </cell>
        </row>
        <row r="1263">
          <cell r="A1263" t="str">
            <v>CW154-IS-2A</v>
          </cell>
          <cell r="B1263" t="str">
            <v>FG-G</v>
          </cell>
          <cell r="J1263" t="str">
            <v>3561S3/SF IR/HY MCA TENSEI SLV 45 GR S JV</v>
          </cell>
        </row>
        <row r="1264">
          <cell r="A1264" t="str">
            <v>CW154-ISR2A</v>
          </cell>
          <cell r="B1264" t="str">
            <v>FG-G</v>
          </cell>
          <cell r="J1264" t="str">
            <v>3561S5/SF IR/HY MCA TENSEI SLV 45 GR SR JV</v>
          </cell>
        </row>
        <row r="1265">
          <cell r="A1265" t="str">
            <v>CW154-WR-1A</v>
          </cell>
          <cell r="B1265" t="str">
            <v>FG-G</v>
          </cell>
          <cell r="J1265" t="e">
            <v>#N/A</v>
          </cell>
        </row>
        <row r="1266">
          <cell r="A1266" t="str">
            <v>CW154-WS-1A</v>
          </cell>
          <cell r="B1266" t="str">
            <v>FG-G</v>
          </cell>
          <cell r="J1266" t="e">
            <v>#N/A</v>
          </cell>
        </row>
        <row r="1267">
          <cell r="A1267" t="str">
            <v>CW154-WSR1A</v>
          </cell>
          <cell r="B1267" t="str">
            <v>FG-G</v>
          </cell>
          <cell r="J1267" t="e">
            <v>#N/A</v>
          </cell>
        </row>
        <row r="1268">
          <cell r="A1268" t="str">
            <v>CW155-WRA1A</v>
          </cell>
          <cell r="B1268" t="str">
            <v>FG-G</v>
          </cell>
          <cell r="J1268" t="e">
            <v>#N/A</v>
          </cell>
        </row>
        <row r="1269">
          <cell r="A1269" t="str">
            <v>SF282-WS-3B</v>
          </cell>
          <cell r="B1269" t="str">
            <v>FG-G</v>
          </cell>
          <cell r="J1269" t="e">
            <v>#N/A</v>
          </cell>
        </row>
        <row r="1270">
          <cell r="A1270" t="str">
            <v>CW129-WX-1B</v>
          </cell>
          <cell r="B1270" t="str">
            <v>FG-G</v>
          </cell>
          <cell r="J1270" t="str">
            <v>3556Q4/SF WD MCA TENSEI BLUE 75 GR XST</v>
          </cell>
        </row>
        <row r="1271">
          <cell r="A1271" t="str">
            <v>MX669-IS-3C</v>
          </cell>
          <cell r="B1271" t="str">
            <v>FG-G</v>
          </cell>
          <cell r="J1271" t="str">
            <v>MMT Taper Iron 95 S-flex (0.355 taper) 39" w/tip prep</v>
          </cell>
        </row>
        <row r="1272">
          <cell r="A1272" t="str">
            <v>MX669-IS-4C</v>
          </cell>
          <cell r="B1272" t="str">
            <v>FG-G</v>
          </cell>
          <cell r="J1272" t="e">
            <v>#N/A</v>
          </cell>
        </row>
        <row r="1273">
          <cell r="A1273" t="str">
            <v>MX669-IS-5C</v>
          </cell>
          <cell r="B1273" t="str">
            <v>FG-G</v>
          </cell>
          <cell r="J1273" t="e">
            <v>#N/A</v>
          </cell>
        </row>
        <row r="1274">
          <cell r="A1274" t="str">
            <v>MX669-IS-6C</v>
          </cell>
          <cell r="B1274" t="str">
            <v>FG-G</v>
          </cell>
          <cell r="J1274" t="e">
            <v>#N/A</v>
          </cell>
        </row>
        <row r="1275">
          <cell r="A1275" t="str">
            <v>MX669-IS-7C</v>
          </cell>
          <cell r="B1275" t="str">
            <v>FG-G</v>
          </cell>
          <cell r="J1275" t="e">
            <v>#N/A</v>
          </cell>
        </row>
        <row r="1276">
          <cell r="A1276" t="str">
            <v>MX669-IS-8C</v>
          </cell>
          <cell r="B1276" t="str">
            <v>FG-G</v>
          </cell>
          <cell r="J1276" t="e">
            <v>#N/A</v>
          </cell>
        </row>
        <row r="1277">
          <cell r="A1277" t="str">
            <v>MX669-IS-9C</v>
          </cell>
          <cell r="B1277" t="str">
            <v>FG-G</v>
          </cell>
          <cell r="J1277" t="e">
            <v>#N/A</v>
          </cell>
        </row>
        <row r="1278">
          <cell r="A1278" t="str">
            <v>MX669-IS-PC</v>
          </cell>
          <cell r="B1278" t="str">
            <v>FG-G</v>
          </cell>
          <cell r="J1278" t="e">
            <v>#N/A</v>
          </cell>
        </row>
        <row r="1279">
          <cell r="A1279" t="str">
            <v>MX721-ITX3C</v>
          </cell>
          <cell r="B1279" t="str">
            <v>FG-G</v>
          </cell>
          <cell r="J1279" t="e">
            <v>#N/A</v>
          </cell>
        </row>
        <row r="1280">
          <cell r="A1280" t="str">
            <v>MX721-ITX4C</v>
          </cell>
          <cell r="B1280" t="str">
            <v>FG-G</v>
          </cell>
          <cell r="J1280" t="e">
            <v>#N/A</v>
          </cell>
        </row>
        <row r="1281">
          <cell r="A1281" t="str">
            <v>MX721-ITX5C</v>
          </cell>
          <cell r="B1281" t="str">
            <v>FG-G</v>
          </cell>
          <cell r="J1281" t="e">
            <v>#N/A</v>
          </cell>
        </row>
        <row r="1282">
          <cell r="A1282" t="str">
            <v>MX721-ITX6C</v>
          </cell>
          <cell r="B1282" t="str">
            <v>FG-G</v>
          </cell>
          <cell r="J1282" t="e">
            <v>#N/A</v>
          </cell>
        </row>
        <row r="1283">
          <cell r="A1283" t="str">
            <v>MX721-ITX7C</v>
          </cell>
          <cell r="B1283" t="str">
            <v>FG-G</v>
          </cell>
          <cell r="J1283" t="e">
            <v>#N/A</v>
          </cell>
        </row>
        <row r="1284">
          <cell r="A1284" t="str">
            <v>MX721-ITX8C</v>
          </cell>
          <cell r="B1284" t="str">
            <v>FG-G</v>
          </cell>
          <cell r="J1284" t="e">
            <v>#N/A</v>
          </cell>
        </row>
        <row r="1285">
          <cell r="A1285" t="str">
            <v>MX721-ITX9C</v>
          </cell>
          <cell r="B1285" t="str">
            <v>FG-G</v>
          </cell>
          <cell r="J1285" t="e">
            <v>#N/A</v>
          </cell>
        </row>
        <row r="1286">
          <cell r="A1286" t="str">
            <v>MX721-ITXPC</v>
          </cell>
          <cell r="B1286" t="str">
            <v>FG-G</v>
          </cell>
          <cell r="J1286" t="e">
            <v>#N/A</v>
          </cell>
        </row>
        <row r="1287">
          <cell r="A1287" t="str">
            <v>CB043-WR-1A</v>
          </cell>
          <cell r="B1287" t="str">
            <v>FG-G</v>
          </cell>
          <cell r="J1287" t="str">
            <v>SD22GR120460/TENSEI 1K BLACK 65G R-FLEX</v>
          </cell>
        </row>
        <row r="1288">
          <cell r="A1288" t="str">
            <v>CB043-WS-1A</v>
          </cell>
          <cell r="B1288" t="str">
            <v>FG-G</v>
          </cell>
          <cell r="J1288" t="str">
            <v>SD22GS190460/TENSEI 1K BLACK 65G S-FLEX</v>
          </cell>
        </row>
        <row r="1289">
          <cell r="A1289" t="str">
            <v>SF244-IS-3D</v>
          </cell>
          <cell r="B1289" t="str">
            <v>FG-G</v>
          </cell>
          <cell r="J1289" t="e">
            <v>#N/A</v>
          </cell>
        </row>
        <row r="1290">
          <cell r="A1290" t="str">
            <v>SF287-IL-PA</v>
          </cell>
          <cell r="B1290" t="str">
            <v>FG-G</v>
          </cell>
          <cell r="J1290" t="str">
            <v>N9513401/Diamana 50 TM PW L</v>
          </cell>
        </row>
        <row r="1291">
          <cell r="A1291" t="str">
            <v>SF287-IL-6A</v>
          </cell>
          <cell r="B1291" t="str">
            <v>FG-G</v>
          </cell>
          <cell r="J1291" t="str">
            <v>N9513001/Diamana 50 TM #6 L</v>
          </cell>
        </row>
        <row r="1292">
          <cell r="A1292" t="str">
            <v>SF287-IL-7A</v>
          </cell>
          <cell r="B1292" t="str">
            <v>FG-G</v>
          </cell>
          <cell r="J1292" t="str">
            <v>N9513101/Diamana 50 TM #7 L</v>
          </cell>
        </row>
        <row r="1293">
          <cell r="A1293" t="str">
            <v>SF287-IL-8A</v>
          </cell>
          <cell r="B1293" t="str">
            <v>FG-G</v>
          </cell>
          <cell r="J1293" t="str">
            <v>N9513201/Diamana 50 TM #8 L</v>
          </cell>
        </row>
        <row r="1294">
          <cell r="A1294" t="str">
            <v>SF287-IL-9A</v>
          </cell>
          <cell r="B1294" t="str">
            <v>FG-G</v>
          </cell>
          <cell r="J1294" t="str">
            <v>N9513301/Diamana 50 TM #9 L</v>
          </cell>
        </row>
        <row r="1295">
          <cell r="A1295" t="str">
            <v>SF287-IL-AA</v>
          </cell>
          <cell r="B1295" t="str">
            <v>FG-G</v>
          </cell>
          <cell r="J1295" t="str">
            <v>N9521801/Diamana 50 TM AW L</v>
          </cell>
        </row>
        <row r="1296">
          <cell r="A1296" t="str">
            <v>AX202-WA-1EA</v>
          </cell>
          <cell r="B1296" t="str">
            <v>FG-G</v>
          </cell>
          <cell r="J1296" t="str">
            <v>YA4WGA01/ALDILA ASCENT PL 50A GRAPH WOOD SHAFT A-FLEX</v>
          </cell>
        </row>
        <row r="1297">
          <cell r="A1297" t="str">
            <v>AX202-WL-1EA</v>
          </cell>
          <cell r="B1297" t="str">
            <v>FG-G</v>
          </cell>
          <cell r="J1297" t="str">
            <v>YA4WGL01/ALDILA ASCENT PL 45L GRAPH WOOD SHAFT L-FLEX</v>
          </cell>
        </row>
        <row r="1298">
          <cell r="A1298" t="str">
            <v>AX203-IA-1EA</v>
          </cell>
          <cell r="B1298" t="str">
            <v>FG-G</v>
          </cell>
          <cell r="J1298" t="str">
            <v>YA4IGA01/ALDILA ASCENT PL 55A GRAPH IRON SHAFT A-FLEX</v>
          </cell>
        </row>
        <row r="1299">
          <cell r="A1299" t="str">
            <v>AX203-IL-1EA</v>
          </cell>
          <cell r="B1299" t="str">
            <v>FG-G</v>
          </cell>
          <cell r="J1299" t="str">
            <v>YA4IGL01/ALDILA ASCENT PL 50L GRAPH IRON SHAFT L-FLEX</v>
          </cell>
        </row>
        <row r="1300">
          <cell r="A1300" t="str">
            <v>CW129-WR-1B</v>
          </cell>
          <cell r="B1300" t="str">
            <v>FG-G</v>
          </cell>
          <cell r="J1300" t="str">
            <v>3556S2/SF WD MCA TENSEI BLUE 75 GR REG</v>
          </cell>
        </row>
        <row r="1301">
          <cell r="A1301" t="str">
            <v>MX681-IS-3C</v>
          </cell>
          <cell r="B1301" t="str">
            <v>FG-G</v>
          </cell>
          <cell r="J1301" t="e">
            <v>#N/A</v>
          </cell>
        </row>
        <row r="1302">
          <cell r="A1302" t="str">
            <v>MX681-IS-4C</v>
          </cell>
          <cell r="B1302" t="str">
            <v>FG-G</v>
          </cell>
          <cell r="J1302" t="e">
            <v>#N/A</v>
          </cell>
        </row>
        <row r="1303">
          <cell r="A1303" t="str">
            <v>MX681-IS-5C</v>
          </cell>
          <cell r="B1303" t="str">
            <v>FG-G</v>
          </cell>
          <cell r="J1303" t="e">
            <v>#N/A</v>
          </cell>
        </row>
        <row r="1304">
          <cell r="A1304" t="str">
            <v>MX681-IS-6C</v>
          </cell>
          <cell r="B1304" t="str">
            <v>FG-G</v>
          </cell>
          <cell r="J1304" t="e">
            <v>#N/A</v>
          </cell>
        </row>
        <row r="1305">
          <cell r="A1305" t="str">
            <v>MX681-IS-7C</v>
          </cell>
          <cell r="B1305" t="str">
            <v>FG-G</v>
          </cell>
          <cell r="J1305" t="e">
            <v>#N/A</v>
          </cell>
        </row>
        <row r="1306">
          <cell r="A1306" t="str">
            <v>MX681-IS-8C</v>
          </cell>
          <cell r="B1306" t="str">
            <v>FG-G</v>
          </cell>
          <cell r="J1306" t="e">
            <v>#N/A</v>
          </cell>
        </row>
        <row r="1307">
          <cell r="A1307" t="str">
            <v>MX681-IS-9C</v>
          </cell>
          <cell r="B1307" t="str">
            <v>FG-G</v>
          </cell>
          <cell r="J1307" t="e">
            <v>#N/A</v>
          </cell>
        </row>
        <row r="1308">
          <cell r="A1308" t="str">
            <v>MX681-IS-PC</v>
          </cell>
          <cell r="B1308" t="str">
            <v>FG-G</v>
          </cell>
          <cell r="J1308" t="e">
            <v>#N/A</v>
          </cell>
        </row>
        <row r="1309">
          <cell r="A1309" t="str">
            <v>MX681-ITX3C</v>
          </cell>
          <cell r="B1309" t="str">
            <v>FG-G</v>
          </cell>
          <cell r="J1309" t="e">
            <v>#N/A</v>
          </cell>
        </row>
        <row r="1310">
          <cell r="A1310" t="str">
            <v>MX681-ITX4C</v>
          </cell>
          <cell r="B1310" t="str">
            <v>FG-G</v>
          </cell>
          <cell r="J1310" t="e">
            <v>#N/A</v>
          </cell>
        </row>
        <row r="1311">
          <cell r="A1311" t="str">
            <v>MX681-ITX5C</v>
          </cell>
          <cell r="B1311" t="str">
            <v>FG-G</v>
          </cell>
          <cell r="J1311" t="e">
            <v>#N/A</v>
          </cell>
        </row>
        <row r="1312">
          <cell r="A1312" t="str">
            <v>MX681-ITX7C</v>
          </cell>
          <cell r="B1312" t="str">
            <v>FG-G</v>
          </cell>
          <cell r="J1312" t="e">
            <v>#N/A</v>
          </cell>
        </row>
        <row r="1313">
          <cell r="A1313" t="str">
            <v>MX681-ITX6C</v>
          </cell>
          <cell r="B1313" t="str">
            <v>FG-G</v>
          </cell>
          <cell r="J1313" t="e">
            <v>#N/A</v>
          </cell>
        </row>
        <row r="1314">
          <cell r="A1314" t="str">
            <v>MX681-ITX8C</v>
          </cell>
          <cell r="B1314" t="str">
            <v>FG-G</v>
          </cell>
          <cell r="J1314" t="e">
            <v>#N/A</v>
          </cell>
        </row>
        <row r="1315">
          <cell r="A1315" t="str">
            <v>MX681-ITX9C</v>
          </cell>
          <cell r="B1315" t="str">
            <v>FG-G</v>
          </cell>
          <cell r="J1315" t="e">
            <v>#N/A</v>
          </cell>
        </row>
        <row r="1316">
          <cell r="A1316" t="str">
            <v>MX681-ITXPC</v>
          </cell>
          <cell r="B1316" t="str">
            <v>FG-G</v>
          </cell>
          <cell r="J1316" t="str">
            <v>MMT Taper Iron 105 TX-flex (0.355 taper) 35.5" w/tip prep</v>
          </cell>
        </row>
        <row r="1317">
          <cell r="A1317" t="str">
            <v>SF293-WS-1A</v>
          </cell>
          <cell r="B1317" t="str">
            <v>FG-G</v>
          </cell>
          <cell r="J1317" t="str">
            <v>M1270001/Tensei AV Limited Black X-Link 65gram S</v>
          </cell>
        </row>
        <row r="1318">
          <cell r="A1318" t="str">
            <v>SF293-WX-1A</v>
          </cell>
          <cell r="B1318" t="str">
            <v>FG-G</v>
          </cell>
          <cell r="J1318" t="str">
            <v>M1269901/Tensei AV Limited Black X-Link 65gram X</v>
          </cell>
        </row>
        <row r="1319">
          <cell r="A1319" t="str">
            <v>AU223-IA-1Z</v>
          </cell>
          <cell r="B1319" t="str">
            <v>FG-G</v>
          </cell>
          <cell r="J1319" t="str">
            <v>Taper Tip Iron Durability Shaft</v>
          </cell>
        </row>
        <row r="1320">
          <cell r="A1320" t="str">
            <v>YR172-WA-3A</v>
          </cell>
          <cell r="B1320" t="str">
            <v>FG-G</v>
          </cell>
          <cell r="J1320" t="str">
            <v>EF241-37C/24 SUPER egg FW A-flex</v>
          </cell>
        </row>
        <row r="1321">
          <cell r="A1321" t="str">
            <v>YR172-WR-3A</v>
          </cell>
          <cell r="B1321" t="str">
            <v>FG-G</v>
          </cell>
          <cell r="J1321" t="str">
            <v>EF241-40C/24 SUPER egg FW R-flex</v>
          </cell>
        </row>
        <row r="1322">
          <cell r="A1322" t="str">
            <v>YR174-ILA7A</v>
          </cell>
          <cell r="B1322" t="str">
            <v>FG-G</v>
          </cell>
          <cell r="J1322" t="str">
            <v>EI241-3507/24 SUPER egg Iron LA-flex #7</v>
          </cell>
        </row>
        <row r="1323">
          <cell r="A1323" t="str">
            <v>YR176-WL-3A</v>
          </cell>
          <cell r="B1323" t="str">
            <v>FG-G</v>
          </cell>
          <cell r="J1323" t="str">
            <v>LF242-30C/24 SUPER egg FW L-flex</v>
          </cell>
        </row>
        <row r="1324">
          <cell r="A1324" t="str">
            <v>YR177-UL-1A</v>
          </cell>
          <cell r="B1324" t="str">
            <v>FG-G</v>
          </cell>
          <cell r="J1324" t="str">
            <v>LU242-30D/24 SUPER egg Utility L-flex</v>
          </cell>
        </row>
        <row r="1325">
          <cell r="A1325" t="str">
            <v>YR178-IL-7A</v>
          </cell>
          <cell r="B1325" t="str">
            <v>FG-G</v>
          </cell>
          <cell r="J1325" t="str">
            <v>LI242-3007/24 SUPER egg Iron L-flex #7</v>
          </cell>
        </row>
        <row r="1326">
          <cell r="A1326" t="str">
            <v>YR178-IL-8A</v>
          </cell>
          <cell r="B1326" t="str">
            <v>FG-G</v>
          </cell>
          <cell r="J1326" t="str">
            <v>LI242-3008/24 SUPER egg Iron L-flex #8</v>
          </cell>
        </row>
        <row r="1327">
          <cell r="A1327" t="str">
            <v>YR178-IL-9A</v>
          </cell>
          <cell r="B1327" t="str">
            <v>FG-G</v>
          </cell>
          <cell r="J1327" t="str">
            <v>LI242-3009/24 SUPER egg Iron L-flex #9</v>
          </cell>
        </row>
        <row r="1328">
          <cell r="A1328" t="str">
            <v>YR178-IL-AA</v>
          </cell>
          <cell r="B1328" t="str">
            <v>FG-G</v>
          </cell>
          <cell r="J1328" t="str">
            <v>LI242-30W2/24 SUPER egg Iron L-flex #A</v>
          </cell>
        </row>
        <row r="1329">
          <cell r="A1329" t="str">
            <v>YR178-IL-PA</v>
          </cell>
          <cell r="B1329" t="str">
            <v>FG-G</v>
          </cell>
          <cell r="J1329" t="str">
            <v>LI242-30W1/24 SUPER egg Iron L-flex #P</v>
          </cell>
        </row>
        <row r="1330">
          <cell r="A1330" t="str">
            <v>YR178-IL-SA</v>
          </cell>
          <cell r="B1330" t="str">
            <v>FG-G</v>
          </cell>
          <cell r="J1330" t="str">
            <v>LI242-30W3/24 SUPER egg Iron L-flex #S</v>
          </cell>
        </row>
        <row r="1331">
          <cell r="A1331" t="str">
            <v>CW128-WR-1BY</v>
          </cell>
          <cell r="B1331" t="str">
            <v>FG-G</v>
          </cell>
          <cell r="J1331" t="str">
            <v>3558O2/SF WD MCA TENSEI BLUE 65 GR REG DM</v>
          </cell>
        </row>
        <row r="1332">
          <cell r="A1332" t="str">
            <v>CW128-WS-1BY</v>
          </cell>
          <cell r="B1332" t="str">
            <v>FG-G</v>
          </cell>
          <cell r="J1332" t="str">
            <v>3558O3/SF WD MCA TENSEI BLUE 65 GR STF DM</v>
          </cell>
        </row>
        <row r="1333">
          <cell r="A1333" t="str">
            <v>CW128-WS-1BY</v>
          </cell>
          <cell r="B1333" t="str">
            <v>FG-G</v>
          </cell>
          <cell r="J1333" t="str">
            <v>3558O3/SF WD MCA TENSEI BLUE 65 GR STF DM</v>
          </cell>
        </row>
        <row r="1334">
          <cell r="A1334" t="str">
            <v>CW128-WX-1BY</v>
          </cell>
          <cell r="B1334" t="str">
            <v>FG-G</v>
          </cell>
          <cell r="J1334" t="e">
            <v>#N/A</v>
          </cell>
        </row>
        <row r="1335">
          <cell r="A1335" t="str">
            <v>CW129-WS-1BY</v>
          </cell>
          <cell r="B1335" t="str">
            <v>FG-G</v>
          </cell>
          <cell r="J1335" t="e">
            <v>#N/A</v>
          </cell>
        </row>
        <row r="1336">
          <cell r="A1336" t="str">
            <v>CW155-IRA2C</v>
          </cell>
          <cell r="B1336" t="str">
            <v>FG-G</v>
          </cell>
          <cell r="J1336" t="str">
            <v>3561G1/SF IR/HY MCA TENSEI BLU/SLV 40 GR R2 JV</v>
          </cell>
        </row>
        <row r="1337">
          <cell r="A1337" t="str">
            <v>CW155-WRA1C</v>
          </cell>
          <cell r="B1337" t="str">
            <v>FG-G</v>
          </cell>
          <cell r="J1337" t="str">
            <v>3560K1/SF WD MCA TENSEI BLU/SLV 40 GR R2 JV</v>
          </cell>
        </row>
        <row r="1338">
          <cell r="A1338" t="str">
            <v>MX681-ITX4AO</v>
          </cell>
          <cell r="B1338" t="str">
            <v>FG-G</v>
          </cell>
          <cell r="J1338" t="str">
            <v>MMT 105 TX #4 38.5</v>
          </cell>
        </row>
        <row r="1339">
          <cell r="A1339" t="str">
            <v>MX681-ITX5AO</v>
          </cell>
          <cell r="B1339" t="str">
            <v>FG-G</v>
          </cell>
          <cell r="J1339" t="str">
            <v>MMT 105 TX #5 38.0</v>
          </cell>
        </row>
        <row r="1340">
          <cell r="A1340" t="str">
            <v>MX681-ITX6AO</v>
          </cell>
          <cell r="B1340" t="str">
            <v>FG-G</v>
          </cell>
          <cell r="J1340" t="str">
            <v>MMT 105 TX #6 37.5</v>
          </cell>
        </row>
        <row r="1341">
          <cell r="A1341" t="str">
            <v>MX681-ITX7AO</v>
          </cell>
          <cell r="B1341" t="str">
            <v>FG-G</v>
          </cell>
          <cell r="J1341" t="str">
            <v>MMT 105 TX #7 37.0</v>
          </cell>
        </row>
        <row r="1342">
          <cell r="A1342" t="str">
            <v>MX681-ITX8AO</v>
          </cell>
          <cell r="B1342" t="str">
            <v>FG-G</v>
          </cell>
          <cell r="J1342" t="str">
            <v>MMT 105 TX #8 36.5</v>
          </cell>
        </row>
        <row r="1343">
          <cell r="A1343" t="str">
            <v>MX681-ITX9AO</v>
          </cell>
          <cell r="B1343" t="str">
            <v>FG-G</v>
          </cell>
          <cell r="J1343" t="str">
            <v>MMT 105 TX #9 36.0</v>
          </cell>
        </row>
        <row r="1344">
          <cell r="A1344" t="str">
            <v>MX681-ITXPAO</v>
          </cell>
          <cell r="B1344" t="str">
            <v>FG-G</v>
          </cell>
          <cell r="J1344" t="str">
            <v>MMT 105 TX PW 35.5</v>
          </cell>
        </row>
        <row r="1345">
          <cell r="A1345" t="str">
            <v>MZ046-IR-1A</v>
          </cell>
          <cell r="B1345" t="str">
            <v>FG-G</v>
          </cell>
          <cell r="J1345" t="str">
            <v>2MZ046-IR-1A/KAI'LI™ White Hybrid 80 R-Flex</v>
          </cell>
        </row>
        <row r="1346">
          <cell r="A1346" t="str">
            <v>MZ046-IS-1A</v>
          </cell>
          <cell r="B1346" t="str">
            <v>FG-G</v>
          </cell>
          <cell r="J1346" t="str">
            <v>2MZ046-IS-1A/KAI'LI™ White Hybrid 80 S-Flex</v>
          </cell>
        </row>
        <row r="1347">
          <cell r="A1347" t="str">
            <v>MZ046-IX-1A</v>
          </cell>
          <cell r="B1347" t="str">
            <v>FG-G</v>
          </cell>
          <cell r="J1347" t="e">
            <v>#N/A</v>
          </cell>
        </row>
        <row r="1348">
          <cell r="A1348" t="str">
            <v>MZ047-IS-1A</v>
          </cell>
          <cell r="B1348" t="str">
            <v>FG-G</v>
          </cell>
          <cell r="J1348" t="str">
            <v>2MZ047-IS-1A/KAI'LI™ White Hybrid 90 S-Flex</v>
          </cell>
        </row>
        <row r="1349">
          <cell r="A1349" t="str">
            <v>MZ047-IX-1A</v>
          </cell>
          <cell r="B1349" t="str">
            <v>FG-G</v>
          </cell>
          <cell r="J1349" t="str">
            <v>2MZ047-IX-1A/KAI'LI™ White Hybrid 90 X-Flex</v>
          </cell>
        </row>
        <row r="1350">
          <cell r="A1350" t="str">
            <v>YR173-US-1A</v>
          </cell>
          <cell r="B1350" t="str">
            <v>FG-G</v>
          </cell>
          <cell r="J1350" t="str">
            <v>EU241-43D/24 SUPER egg Utility S-flex</v>
          </cell>
        </row>
        <row r="1351">
          <cell r="A1351" t="str">
            <v>YR174-IR-SA</v>
          </cell>
          <cell r="B1351" t="str">
            <v>FG-G</v>
          </cell>
          <cell r="J1351" t="str">
            <v>EI241-40W3/24 SUPER egg Iron R-flex #S</v>
          </cell>
        </row>
        <row r="1352">
          <cell r="A1352" t="str">
            <v>YR172-WLA3A</v>
          </cell>
          <cell r="B1352" t="str">
            <v>FG-G</v>
          </cell>
          <cell r="J1352" t="str">
            <v>EF241-35C/24 SUPER egg FW LA-flex</v>
          </cell>
        </row>
        <row r="1353">
          <cell r="A1353" t="str">
            <v>YR172-WS-3A</v>
          </cell>
          <cell r="B1353" t="str">
            <v>FG-G</v>
          </cell>
          <cell r="J1353" t="str">
            <v>EF241-43C/24 SUPER egg FW S-flex</v>
          </cell>
        </row>
        <row r="1354">
          <cell r="A1354" t="str">
            <v>YR173-UA-1A</v>
          </cell>
          <cell r="B1354" t="str">
            <v>FG-G</v>
          </cell>
          <cell r="J1354" t="str">
            <v>EU241-37D/24 SUPER egg Utility A-flex</v>
          </cell>
        </row>
        <row r="1355">
          <cell r="A1355" t="str">
            <v>YR173-ULA1A</v>
          </cell>
          <cell r="B1355" t="str">
            <v>FG-G</v>
          </cell>
          <cell r="J1355" t="str">
            <v>EU241-35D/24 SUPER egg Utility LA-flex</v>
          </cell>
        </row>
        <row r="1356">
          <cell r="A1356" t="str">
            <v>YR173-UR-1A</v>
          </cell>
          <cell r="B1356" t="str">
            <v>FG-G</v>
          </cell>
          <cell r="J1356" t="str">
            <v>EU241-40D/24 SUPER egg Utility R-flex</v>
          </cell>
        </row>
        <row r="1357">
          <cell r="A1357" t="str">
            <v>YR174-IA-5A</v>
          </cell>
          <cell r="B1357" t="str">
            <v>FG-G</v>
          </cell>
          <cell r="J1357" t="str">
            <v>EI241-3705/24 SUPER egg Iron A-flex #5</v>
          </cell>
        </row>
        <row r="1358">
          <cell r="A1358" t="str">
            <v>YR174-IA-6A</v>
          </cell>
          <cell r="B1358" t="str">
            <v>FG-G</v>
          </cell>
          <cell r="J1358" t="str">
            <v>EI241-3706/24 SUPER egg Iron A-flex #6</v>
          </cell>
        </row>
        <row r="1359">
          <cell r="A1359" t="str">
            <v>YR174-IA-7A</v>
          </cell>
          <cell r="B1359" t="str">
            <v>FG-G</v>
          </cell>
          <cell r="J1359" t="str">
            <v>EI241-3707/24 SUPER egg Iron A-flex #7</v>
          </cell>
        </row>
        <row r="1360">
          <cell r="A1360" t="str">
            <v>YR174-IA-8A</v>
          </cell>
          <cell r="B1360" t="str">
            <v>FG-G</v>
          </cell>
          <cell r="J1360" t="str">
            <v>EI241-3708/24 SUPER egg Iron A-flex #8</v>
          </cell>
        </row>
        <row r="1361">
          <cell r="A1361" t="str">
            <v>YR174-IA-9A</v>
          </cell>
          <cell r="B1361" t="str">
            <v>FG-G</v>
          </cell>
          <cell r="J1361" t="str">
            <v>EI241-3709/24 SUPER egg Iron A-flex #9</v>
          </cell>
        </row>
        <row r="1362">
          <cell r="A1362" t="str">
            <v>YR174-IA-PA</v>
          </cell>
          <cell r="B1362" t="str">
            <v>FG-G</v>
          </cell>
          <cell r="J1362" t="str">
            <v>EI241-37W1/24 SUPER egg Iron A-flex #P</v>
          </cell>
        </row>
        <row r="1363">
          <cell r="A1363" t="str">
            <v>YR174-IA-SA</v>
          </cell>
          <cell r="B1363" t="str">
            <v>FG-G</v>
          </cell>
          <cell r="J1363" t="str">
            <v>EI241-37W3/24 SUPER egg Iron A-flex #S</v>
          </cell>
        </row>
        <row r="1364">
          <cell r="A1364" t="str">
            <v>YR174-ILA5A</v>
          </cell>
          <cell r="B1364" t="str">
            <v>FG-G</v>
          </cell>
          <cell r="J1364" t="str">
            <v>EI241-3505/24 SUPER egg Iron LA-flex #5</v>
          </cell>
        </row>
        <row r="1365">
          <cell r="A1365" t="str">
            <v>YR174-ILA6A</v>
          </cell>
          <cell r="B1365" t="str">
            <v>FG-G</v>
          </cell>
          <cell r="J1365" t="str">
            <v>EI241-3506/24 SUPER egg Iron LA-flex #6</v>
          </cell>
        </row>
        <row r="1366">
          <cell r="A1366" t="str">
            <v>YR174-ILA8A</v>
          </cell>
          <cell r="B1366" t="str">
            <v>FG-G</v>
          </cell>
          <cell r="J1366" t="str">
            <v>EI241-3508/24 SUPER egg Iron LA-flex #8</v>
          </cell>
        </row>
        <row r="1367">
          <cell r="A1367" t="str">
            <v>YR174-ILA9A</v>
          </cell>
          <cell r="B1367" t="str">
            <v>FG-G</v>
          </cell>
          <cell r="J1367" t="str">
            <v>EI241-3509/24 SUPER egg Iron LA-flex #9</v>
          </cell>
        </row>
        <row r="1368">
          <cell r="A1368" t="str">
            <v>YR174-IA-AA</v>
          </cell>
          <cell r="B1368" t="str">
            <v>FG-G</v>
          </cell>
          <cell r="J1368" t="str">
            <v>EI241-37W2/24 SUPER egg Iron A-flex #A</v>
          </cell>
        </row>
        <row r="1369">
          <cell r="A1369" t="str">
            <v>YR174-ILAAA</v>
          </cell>
          <cell r="B1369" t="str">
            <v>FG-G</v>
          </cell>
          <cell r="J1369" t="str">
            <v>EI241-35W2/24 SUPER egg Iron LA-flex #A</v>
          </cell>
        </row>
        <row r="1370">
          <cell r="A1370" t="str">
            <v>YR174-ILAPA</v>
          </cell>
          <cell r="B1370" t="str">
            <v>FG-G</v>
          </cell>
          <cell r="J1370" t="str">
            <v>EI241-35W1/24 SUPER egg Iron LA-flex #P</v>
          </cell>
        </row>
        <row r="1371">
          <cell r="A1371" t="str">
            <v>YR174-ILASA</v>
          </cell>
          <cell r="B1371" t="str">
            <v>FG-G</v>
          </cell>
          <cell r="J1371" t="str">
            <v>EI241-35W3/24 SUPER egg Iron LA-flex #S</v>
          </cell>
        </row>
        <row r="1372">
          <cell r="A1372" t="str">
            <v>YR174-IR-5A</v>
          </cell>
          <cell r="B1372" t="str">
            <v>FG-G</v>
          </cell>
          <cell r="J1372" t="str">
            <v>EI241-4005/24 SUPER egg Iron R-flex #5</v>
          </cell>
        </row>
        <row r="1373">
          <cell r="A1373" t="str">
            <v>YR174-IR-6A</v>
          </cell>
          <cell r="B1373" t="str">
            <v>FG-G</v>
          </cell>
          <cell r="J1373" t="str">
            <v>EI241-4006/24 SUPER egg Iron R-flex #6</v>
          </cell>
        </row>
        <row r="1374">
          <cell r="A1374" t="str">
            <v>YR174-IR-7A</v>
          </cell>
          <cell r="B1374" t="str">
            <v>FG-G</v>
          </cell>
          <cell r="J1374" t="str">
            <v>EI241-4007/24 SUPER egg Iron R-flex #7</v>
          </cell>
        </row>
        <row r="1375">
          <cell r="A1375" t="str">
            <v>YR174-IR-8A</v>
          </cell>
          <cell r="B1375" t="str">
            <v>FG-G</v>
          </cell>
          <cell r="J1375" t="str">
            <v>EI241-4008/24 SUPER egg Iron R-flex #8</v>
          </cell>
        </row>
        <row r="1376">
          <cell r="A1376" t="str">
            <v>YR174-IR-9A</v>
          </cell>
          <cell r="B1376" t="str">
            <v>FG-G</v>
          </cell>
          <cell r="J1376" t="str">
            <v>EI241-4009/24 SUPER egg Iron R-flex #9</v>
          </cell>
        </row>
        <row r="1377">
          <cell r="A1377" t="str">
            <v>YR174-IR-AA</v>
          </cell>
          <cell r="B1377" t="str">
            <v>FG-G</v>
          </cell>
          <cell r="J1377" t="str">
            <v>EI241-40W2/24 SUPER egg Iron R-flex #A</v>
          </cell>
        </row>
        <row r="1378">
          <cell r="A1378" t="str">
            <v>YR174-IR-PA</v>
          </cell>
          <cell r="B1378" t="str">
            <v>FG-G</v>
          </cell>
          <cell r="J1378" t="str">
            <v>EI241-40W1/24 SUPER egg Iron R-flex #P</v>
          </cell>
        </row>
        <row r="1379">
          <cell r="A1379" t="str">
            <v>YR174-IS-5A</v>
          </cell>
          <cell r="B1379" t="str">
            <v>FG-G</v>
          </cell>
          <cell r="J1379" t="str">
            <v>EI241-4305/24 SUPER egg Iron S-flex #5</v>
          </cell>
        </row>
        <row r="1380">
          <cell r="A1380" t="str">
            <v>YR174-IS-6A</v>
          </cell>
          <cell r="B1380" t="str">
            <v>FG-G</v>
          </cell>
          <cell r="J1380" t="str">
            <v>EI241-4306/24 SUPER egg Iron S-flex #6</v>
          </cell>
        </row>
        <row r="1381">
          <cell r="A1381" t="str">
            <v>YR174-IS-7A</v>
          </cell>
          <cell r="B1381" t="str">
            <v>FG-G</v>
          </cell>
          <cell r="J1381" t="str">
            <v>EI241-4307/24 SUPER egg Iron S-flex #7</v>
          </cell>
        </row>
        <row r="1382">
          <cell r="A1382" t="str">
            <v>YR174-IS-8A</v>
          </cell>
          <cell r="B1382" t="str">
            <v>FG-G</v>
          </cell>
          <cell r="J1382" t="str">
            <v>EI241-4308/24 SUPER egg Iron S-flex #8</v>
          </cell>
        </row>
        <row r="1383">
          <cell r="A1383" t="str">
            <v>YR174-IS-9A</v>
          </cell>
          <cell r="B1383" t="str">
            <v>FG-G</v>
          </cell>
          <cell r="J1383" t="str">
            <v>EI241-4309/24 SUPER egg Iron S-flex #9</v>
          </cell>
        </row>
        <row r="1384">
          <cell r="A1384" t="str">
            <v>YR174-IS-AA</v>
          </cell>
          <cell r="B1384" t="str">
            <v>FG-G</v>
          </cell>
          <cell r="J1384" t="str">
            <v>EI241-43W2/24 SUPER egg Iron S-flex #A</v>
          </cell>
        </row>
        <row r="1385">
          <cell r="A1385" t="str">
            <v>YR174-IS-PA</v>
          </cell>
          <cell r="B1385" t="str">
            <v>FG-G</v>
          </cell>
          <cell r="J1385" t="str">
            <v>EI241-43W1/24 SUPER egg Iron S-flex #P</v>
          </cell>
        </row>
        <row r="1386">
          <cell r="A1386" t="str">
            <v>YR174-IS-SA</v>
          </cell>
          <cell r="B1386" t="str">
            <v>FG-G</v>
          </cell>
          <cell r="J1386" t="str">
            <v>EI241-43W3/24 SUPER egg Iron S-flex #S</v>
          </cell>
        </row>
        <row r="1387">
          <cell r="A1387" t="str">
            <v>YR178-IL-6A</v>
          </cell>
          <cell r="B1387" t="str">
            <v>FG-G</v>
          </cell>
          <cell r="J1387" t="str">
            <v>LI242-3006/24 SUPER egg Iron L-flex #6</v>
          </cell>
        </row>
        <row r="1388">
          <cell r="A1388" t="str">
            <v>CW155-WR-1B</v>
          </cell>
          <cell r="B1388" t="str">
            <v>FG-G</v>
          </cell>
          <cell r="J1388" t="str">
            <v>3555T2/Tahoe JV DR-MAX FAST 40 R-flex</v>
          </cell>
        </row>
        <row r="1389">
          <cell r="A1389" t="str">
            <v>CW155-WS-1B</v>
          </cell>
          <cell r="B1389" t="str">
            <v>FG-G</v>
          </cell>
          <cell r="J1389" t="str">
            <v>3555T3/Tahoe JV DR-MAX FAST 40 S-flex</v>
          </cell>
        </row>
        <row r="1390">
          <cell r="A1390" t="str">
            <v>CW155-WSR1B</v>
          </cell>
          <cell r="B1390" t="str">
            <v>FG-G</v>
          </cell>
          <cell r="J1390" t="str">
            <v>3555T5/Tahoe JV DR-MAX FAST 40 SR-flex</v>
          </cell>
        </row>
        <row r="1391">
          <cell r="A1391" t="str">
            <v>MX945-WS-3A</v>
          </cell>
          <cell r="B1391" t="str">
            <v>FG-G</v>
          </cell>
          <cell r="J1391" t="str">
            <v>VANQUISH  FW 60S</v>
          </cell>
        </row>
        <row r="1392">
          <cell r="A1392" t="str">
            <v>CW159-WR-1AY</v>
          </cell>
          <cell r="B1392" t="str">
            <v>FG-G</v>
          </cell>
          <cell r="J1392" t="str">
            <v>3574V2/VANQUISH™ 40 R-FLEX (DEMO)</v>
          </cell>
        </row>
        <row r="1393">
          <cell r="A1393" t="str">
            <v>AX181-IR-1PB</v>
          </cell>
          <cell r="B1393" t="str">
            <v>FG-G</v>
          </cell>
          <cell r="J1393" t="str">
            <v>37425-03/SHAFT, MW, HYBRID,CUBERA, (R), DV</v>
          </cell>
        </row>
        <row r="1394">
          <cell r="A1394" t="str">
            <v>AX181-IS-1PB</v>
          </cell>
          <cell r="B1394" t="str">
            <v>FG-G</v>
          </cell>
          <cell r="J1394" t="str">
            <v>37425-01/SHAFT, MW, HYBRID,CUBERA, (S), DV</v>
          </cell>
        </row>
        <row r="1395">
          <cell r="A1395" t="str">
            <v>AX181-ISR1PB</v>
          </cell>
          <cell r="B1395" t="str">
            <v>FG-G</v>
          </cell>
          <cell r="J1395" t="str">
            <v>37425-02/SHAFT, MW, HYBRID,CUBERA, (SR), DV</v>
          </cell>
        </row>
        <row r="1396">
          <cell r="A1396" t="str">
            <v>AX184-WR-3PB</v>
          </cell>
          <cell r="B1396" t="str">
            <v>FG-G</v>
          </cell>
          <cell r="J1396" t="str">
            <v>37424-03/SHAFT, MW, FAIRWAY,CUBERA, (R), DV</v>
          </cell>
        </row>
        <row r="1397">
          <cell r="A1397" t="str">
            <v>AX184-WS-3PB</v>
          </cell>
          <cell r="B1397" t="str">
            <v>FG-G</v>
          </cell>
          <cell r="J1397" t="str">
            <v>37424-01/SHAFT, MW, FAIRWAY,CUBERA, (S), DV</v>
          </cell>
        </row>
        <row r="1398">
          <cell r="A1398" t="str">
            <v>AX184-WSR3PB</v>
          </cell>
          <cell r="B1398" t="str">
            <v>FG-G</v>
          </cell>
          <cell r="J1398" t="str">
            <v>37424-02/SHAFT, MW, FAIRWAY,CUBERA, (SR), DV</v>
          </cell>
        </row>
        <row r="1399">
          <cell r="A1399" t="str">
            <v>AX185-WR-1PB</v>
          </cell>
          <cell r="B1399" t="str">
            <v>FG-G</v>
          </cell>
          <cell r="J1399" t="str">
            <v>37423-03/SHAFT, MW, DRIVER,CUBERA, (R), DV</v>
          </cell>
        </row>
        <row r="1400">
          <cell r="A1400" t="str">
            <v>AX185-WS-1PB</v>
          </cell>
          <cell r="B1400" t="str">
            <v>FG-G</v>
          </cell>
          <cell r="J1400" t="str">
            <v>37423-01/SHAFT, MW, DRIVER,CUBERA, (S), DV</v>
          </cell>
        </row>
        <row r="1401">
          <cell r="A1401" t="str">
            <v>AX185-WSR1PB</v>
          </cell>
          <cell r="B1401" t="str">
            <v>FG-G</v>
          </cell>
          <cell r="J1401" t="str">
            <v>37423-02/SHAFT, MW, DRIVER,CUBERA, (SR), DV</v>
          </cell>
        </row>
        <row r="1402">
          <cell r="A1402" t="str">
            <v>MX922-IR-1A</v>
          </cell>
          <cell r="B1402" t="str">
            <v>FG-G</v>
          </cell>
          <cell r="J1402" t="str">
            <v>Tensei AV2 Silver hybrid/Iron 65R</v>
          </cell>
        </row>
        <row r="1403">
          <cell r="A1403" t="str">
            <v>MX922-IS-1A</v>
          </cell>
          <cell r="B1403" t="str">
            <v>FG-G</v>
          </cell>
          <cell r="J1403" t="str">
            <v>Tensei AV2 Silver hybrid/Iron 65S</v>
          </cell>
        </row>
        <row r="1404">
          <cell r="A1404" t="str">
            <v>MX923-IR-1A</v>
          </cell>
          <cell r="B1404" t="str">
            <v>FG-G</v>
          </cell>
          <cell r="J1404" t="str">
            <v>Tensei AV2 Silver hybrid/Iron 75R</v>
          </cell>
        </row>
        <row r="1405">
          <cell r="A1405" t="str">
            <v>MX923-IS-1A</v>
          </cell>
          <cell r="B1405" t="str">
            <v>FG-G</v>
          </cell>
          <cell r="J1405" t="str">
            <v>Tensei AV2 Silver hybrid/Iron 75S</v>
          </cell>
        </row>
        <row r="1406">
          <cell r="A1406" t="str">
            <v>CW152-WR-1B</v>
          </cell>
          <cell r="B1406" t="str">
            <v>FG-G</v>
          </cell>
          <cell r="J1406" t="str">
            <v>3556L2/Tahoe JV DR-STD / Tensei / R-flex</v>
          </cell>
        </row>
        <row r="1407">
          <cell r="A1407" t="str">
            <v>MZ048-IA-7AY</v>
          </cell>
          <cell r="B1407" t="str">
            <v>FG-G</v>
          </cell>
          <cell r="J1407" t="str">
            <v>2MX728-IA-7AF/MMT™ Taper Iron 55 A-flex #7 (DEMO)</v>
          </cell>
        </row>
        <row r="1408">
          <cell r="A1408" t="str">
            <v>MZ049-IR-7AY</v>
          </cell>
          <cell r="B1408" t="str">
            <v>FG-G</v>
          </cell>
          <cell r="J1408" t="str">
            <v>2MX729-IR-7AF/MMT™ Taper Iron 65 R-flex #7 (DEMO)</v>
          </cell>
        </row>
        <row r="1409">
          <cell r="A1409" t="str">
            <v>MZ050-IR-7AY</v>
          </cell>
          <cell r="B1409" t="str">
            <v>FG-G</v>
          </cell>
          <cell r="J1409" t="str">
            <v>2MX726-IR-7AF/MMT™ Taper Iron 85 R-flex #7 (DEMO)</v>
          </cell>
        </row>
        <row r="1410">
          <cell r="A1410" t="str">
            <v>MZ050-IS-7AY</v>
          </cell>
          <cell r="B1410" t="str">
            <v>FG-G</v>
          </cell>
          <cell r="J1410" t="str">
            <v>2MX726-IS-7AF/MMT™ Taper Iron 85 S-flex #7 (DEMO)</v>
          </cell>
        </row>
        <row r="1411">
          <cell r="A1411" t="str">
            <v>MZ051-IS-7AY</v>
          </cell>
          <cell r="B1411" t="str">
            <v>FG-G</v>
          </cell>
          <cell r="J1411" t="str">
            <v>2MX681-IS-7AF/MMT™ Taper Iron 105 S-flex #7 (DEMO)</v>
          </cell>
        </row>
        <row r="1412">
          <cell r="A1412" t="str">
            <v>MX721-ITX7AO</v>
          </cell>
          <cell r="B1412" t="str">
            <v>FG-G</v>
          </cell>
          <cell r="J1412" t="str">
            <v>MMT 125 TX #7 37.0</v>
          </cell>
        </row>
        <row r="1413">
          <cell r="A1413" t="str">
            <v>MZ051-IS-4A</v>
          </cell>
          <cell r="B1413" t="str">
            <v>FG-G</v>
          </cell>
          <cell r="J1413" t="str">
            <v>2MX681-IS-4A/MMT™ Taper Iron 105 S-flex #4</v>
          </cell>
        </row>
        <row r="1414">
          <cell r="A1414" t="str">
            <v>MZ051-IS-5A</v>
          </cell>
          <cell r="B1414" t="str">
            <v>FG-G</v>
          </cell>
          <cell r="J1414" t="str">
            <v>2MX681-IS-5A/MMT™ Taper Iron 105 S-flex #5</v>
          </cell>
        </row>
        <row r="1415">
          <cell r="A1415" t="str">
            <v>MZ051-IS-6A</v>
          </cell>
          <cell r="B1415" t="str">
            <v>FG-G</v>
          </cell>
          <cell r="J1415" t="str">
            <v>2MX681-IS-6A/MMT™ Taper Iron 105 S-flex #6</v>
          </cell>
        </row>
        <row r="1416">
          <cell r="A1416" t="str">
            <v>MZ051-IS-8A</v>
          </cell>
          <cell r="B1416" t="str">
            <v>FG-G</v>
          </cell>
          <cell r="J1416" t="str">
            <v>2MX681-IS-8A/MMT™ Taper Iron 105 S-flex #8</v>
          </cell>
        </row>
        <row r="1417">
          <cell r="A1417" t="str">
            <v>MZ051-IS-9A</v>
          </cell>
          <cell r="B1417" t="str">
            <v>FG-G</v>
          </cell>
          <cell r="J1417" t="str">
            <v>2MX681-IS-9A/MMT™ Taper Iron 105 S-flex #9</v>
          </cell>
        </row>
        <row r="1418">
          <cell r="A1418" t="str">
            <v>MZ051-IS-PA</v>
          </cell>
          <cell r="B1418" t="str">
            <v>FG-G</v>
          </cell>
          <cell r="J1418" t="str">
            <v>2MX681-IS-PA/MMT™ Taper Iron 105 S-flex W</v>
          </cell>
        </row>
        <row r="1419">
          <cell r="A1419" t="str">
            <v>MZ051-ITX4A</v>
          </cell>
          <cell r="B1419" t="str">
            <v>FG-G</v>
          </cell>
          <cell r="J1419" t="str">
            <v>2MX681-ITX-4A/MMT™ Taper Iron 105 TX-flex #4</v>
          </cell>
        </row>
        <row r="1420">
          <cell r="A1420" t="str">
            <v>MZ051-ITX8A</v>
          </cell>
          <cell r="B1420" t="str">
            <v>FG-G</v>
          </cell>
          <cell r="J1420" t="str">
            <v>2MX681-ITX-8A/MMT™ Taper Iron 105 TX-flex #8</v>
          </cell>
        </row>
        <row r="1421">
          <cell r="A1421" t="str">
            <v>MZ051-ITX9A</v>
          </cell>
          <cell r="B1421" t="str">
            <v>FG-G</v>
          </cell>
          <cell r="J1421" t="str">
            <v>2MX681-ITX-9A/MMT™ Taper Iron 105 TX-flex #9</v>
          </cell>
        </row>
        <row r="1422">
          <cell r="A1422" t="str">
            <v>MZ050-IR-7A</v>
          </cell>
          <cell r="B1422" t="str">
            <v>FG-G</v>
          </cell>
          <cell r="J1422" t="str">
            <v>2MX726-IR-7A/MMT™ Taper Iron 85 R-flex #7</v>
          </cell>
        </row>
        <row r="1423">
          <cell r="A1423" t="str">
            <v>MZ050-IR-PA</v>
          </cell>
          <cell r="B1423" t="str">
            <v>FG-G</v>
          </cell>
          <cell r="J1423" t="str">
            <v>2MX726-IR-PA/MMT™ Taper Iron 85 R-flex W</v>
          </cell>
        </row>
        <row r="1424">
          <cell r="A1424" t="str">
            <v>CW153-WS-1B</v>
          </cell>
          <cell r="B1424" t="str">
            <v>FG-G</v>
          </cell>
          <cell r="J1424" t="str">
            <v>3555W3/Tahoe JV DR-LS / Tensei / S-flex</v>
          </cell>
        </row>
        <row r="1425">
          <cell r="A1425" t="str">
            <v>CW153-WSR1B</v>
          </cell>
          <cell r="B1425" t="str">
            <v>FG-G</v>
          </cell>
          <cell r="J1425" t="e">
            <v>#N/A</v>
          </cell>
        </row>
        <row r="1426">
          <cell r="A1426" t="str">
            <v>CW152-WS-1B</v>
          </cell>
          <cell r="B1426" t="str">
            <v>FG-G</v>
          </cell>
          <cell r="J1426" t="str">
            <v>3556L3/Tahoe JV DR-STD / Tensei / S-flex</v>
          </cell>
        </row>
        <row r="1427">
          <cell r="A1427" t="str">
            <v>CW152-WSR1B</v>
          </cell>
          <cell r="B1427" t="str">
            <v>FG-G</v>
          </cell>
          <cell r="J1427" t="str">
            <v>3556L5/Tahoe JV DR-STD / Tensei / SR-flex</v>
          </cell>
        </row>
        <row r="1428">
          <cell r="A1428" t="str">
            <v>MX968-WA-1A</v>
          </cell>
          <cell r="B1428" t="str">
            <v>FG-G</v>
          </cell>
          <cell r="J1428" t="e">
            <v>#N/A</v>
          </cell>
        </row>
        <row r="1429">
          <cell r="A1429" t="str">
            <v>MX968-WR-1A</v>
          </cell>
          <cell r="B1429" t="str">
            <v>FG-G</v>
          </cell>
          <cell r="J1429" t="e">
            <v>#N/A</v>
          </cell>
        </row>
        <row r="1430">
          <cell r="A1430" t="str">
            <v>MX968-WW-1A</v>
          </cell>
          <cell r="B1430" t="str">
            <v>FG-G</v>
          </cell>
          <cell r="J1430" t="e">
            <v>#N/A</v>
          </cell>
        </row>
        <row r="1431">
          <cell r="A1431" t="str">
            <v>MX969-WA-1A</v>
          </cell>
          <cell r="B1431" t="str">
            <v>FG-G</v>
          </cell>
          <cell r="J1431" t="str">
            <v>VANQUISH ™ PL 5 A-FLEX</v>
          </cell>
        </row>
        <row r="1432">
          <cell r="A1432" t="str">
            <v>MX969-WR-1A</v>
          </cell>
          <cell r="B1432" t="str">
            <v>FG-G</v>
          </cell>
          <cell r="J1432" t="str">
            <v>VANQUISH ™ PL 5 R-FLEX</v>
          </cell>
        </row>
        <row r="1433">
          <cell r="A1433" t="str">
            <v>MX969-WS-1A</v>
          </cell>
          <cell r="B1433" t="str">
            <v>FG-G</v>
          </cell>
          <cell r="J1433" t="e">
            <v>#N/A</v>
          </cell>
        </row>
        <row r="1434">
          <cell r="A1434" t="str">
            <v>CW154-WRA1B</v>
          </cell>
          <cell r="B1434" t="str">
            <v>FG-G</v>
          </cell>
          <cell r="J1434" t="str">
            <v>3556P1/Tahoe JV DR-MAX / Tensei / R2-flex</v>
          </cell>
        </row>
        <row r="1435">
          <cell r="A1435" t="str">
            <v>MX681-IS-4AO</v>
          </cell>
          <cell r="B1435" t="str">
            <v>FG-G</v>
          </cell>
          <cell r="J1435" t="str">
            <v>MMT 105 S #4 38.5</v>
          </cell>
        </row>
        <row r="1436">
          <cell r="A1436" t="str">
            <v>MX721-ITX4AO</v>
          </cell>
          <cell r="B1436" t="str">
            <v>FG-G</v>
          </cell>
          <cell r="J1436" t="str">
            <v>MMT 125 TX #4 38.5</v>
          </cell>
        </row>
        <row r="1437">
          <cell r="A1437" t="str">
            <v>MX721-ITX5AO</v>
          </cell>
          <cell r="B1437" t="str">
            <v>FG-G</v>
          </cell>
          <cell r="J1437" t="str">
            <v>MMT 125 TX #5 38.0</v>
          </cell>
        </row>
        <row r="1438">
          <cell r="A1438" t="str">
            <v>MX721-ITX6AO</v>
          </cell>
          <cell r="B1438" t="str">
            <v>FG-G</v>
          </cell>
          <cell r="J1438" t="str">
            <v>MMT 125 TX #6 37.5</v>
          </cell>
        </row>
        <row r="1439">
          <cell r="A1439" t="str">
            <v>MX721-ITX8AO</v>
          </cell>
          <cell r="B1439" t="str">
            <v>FG-G</v>
          </cell>
          <cell r="J1439" t="str">
            <v>MMT 125 TX #8 36.5</v>
          </cell>
        </row>
        <row r="1440">
          <cell r="A1440" t="str">
            <v>MX721-ITX9AO</v>
          </cell>
          <cell r="B1440" t="str">
            <v>FG-G</v>
          </cell>
          <cell r="J1440" t="str">
            <v>MMT 125 TX #9 36.0</v>
          </cell>
        </row>
        <row r="1441">
          <cell r="A1441" t="str">
            <v>MX721-ITXPAO</v>
          </cell>
          <cell r="B1441" t="str">
            <v>FG-G</v>
          </cell>
          <cell r="J1441" t="str">
            <v>MMT 125 TX PW 35.5</v>
          </cell>
        </row>
        <row r="1442">
          <cell r="A1442" t="str">
            <v>CW154-WR-1B</v>
          </cell>
          <cell r="B1442" t="str">
            <v>FG-G</v>
          </cell>
          <cell r="J1442" t="str">
            <v>3556P2/Tahoe JV DR-MAX / Tensei / R-flex</v>
          </cell>
        </row>
        <row r="1443">
          <cell r="A1443" t="str">
            <v>CW154-WS-1B</v>
          </cell>
          <cell r="B1443" t="str">
            <v>FG-G</v>
          </cell>
          <cell r="J1443" t="str">
            <v>3556P3/Tahoe JV DR-MAX / Tensei / S-flex</v>
          </cell>
        </row>
        <row r="1444">
          <cell r="A1444" t="str">
            <v>CW154-WSR1B</v>
          </cell>
          <cell r="B1444" t="str">
            <v>FG-G</v>
          </cell>
          <cell r="J1444" t="str">
            <v>3556P5/Tahoe JV DR-MAX / Tensei / SR-flex</v>
          </cell>
        </row>
        <row r="1445">
          <cell r="A1445" t="str">
            <v>MX726-IS-PAO</v>
          </cell>
          <cell r="B1445" t="str">
            <v>FG-G</v>
          </cell>
          <cell r="J1445" t="str">
            <v>MMT 85 TAPER GS 35.5</v>
          </cell>
        </row>
        <row r="1446">
          <cell r="A1446" t="str">
            <v>R-PA003-WS-1A</v>
          </cell>
          <cell r="B1446" t="str">
            <v>FG-G</v>
          </cell>
          <cell r="J1446" t="str">
            <v>MENS DR. 5.5S</v>
          </cell>
        </row>
        <row r="1447">
          <cell r="A1447" t="str">
            <v>CL042-IR-1A</v>
          </cell>
          <cell r="B1447" t="str">
            <v>FG-G</v>
          </cell>
          <cell r="J1447" t="e">
            <v>#N/A</v>
          </cell>
        </row>
        <row r="1448">
          <cell r="A1448" t="str">
            <v>CL042-IS-1A</v>
          </cell>
          <cell r="B1448" t="str">
            <v>FG-G</v>
          </cell>
          <cell r="J1448" t="e">
            <v>#N/A</v>
          </cell>
        </row>
        <row r="1449">
          <cell r="A1449" t="str">
            <v>CL043-IX-1A</v>
          </cell>
          <cell r="B1449" t="str">
            <v>FG-G</v>
          </cell>
          <cell r="J1449" t="e">
            <v>#N/A</v>
          </cell>
        </row>
        <row r="1450">
          <cell r="A1450" t="str">
            <v>PA003-WS-1A</v>
          </cell>
          <cell r="B1450" t="str">
            <v>FG-G</v>
          </cell>
          <cell r="J1450" t="str">
            <v>MENS DR. 5.5S</v>
          </cell>
        </row>
        <row r="1451">
          <cell r="A1451" t="str">
            <v>PA003-WSR1A</v>
          </cell>
          <cell r="B1451" t="str">
            <v>FG-G</v>
          </cell>
          <cell r="J1451" t="str">
            <v>MENS DR. 5.5SR</v>
          </cell>
        </row>
        <row r="1452">
          <cell r="A1452" t="str">
            <v>AU224-WRA1A</v>
          </cell>
          <cell r="B1452" t="str">
            <v>FG-G</v>
          </cell>
          <cell r="J1452" t="str">
            <v>2693615/TENSEI 1K Blue w/X-Link 55 R2-Flex</v>
          </cell>
        </row>
        <row r="1453">
          <cell r="A1453" t="str">
            <v>AU224-WR-1A</v>
          </cell>
          <cell r="B1453" t="str">
            <v>FG-G</v>
          </cell>
          <cell r="J1453" t="str">
            <v>2693617/TENSEI 1K Blue w/X-Link 55 R-Flex</v>
          </cell>
        </row>
        <row r="1454">
          <cell r="A1454" t="str">
            <v>AU224-WS-1A</v>
          </cell>
          <cell r="B1454" t="str">
            <v>FG-G</v>
          </cell>
          <cell r="J1454" t="str">
            <v>2693619/TENSEI 1K Blue w/X-Link 55 S-Flex</v>
          </cell>
        </row>
        <row r="1455">
          <cell r="A1455" t="str">
            <v>AU224-WX-1A</v>
          </cell>
          <cell r="B1455" t="str">
            <v>FG-G</v>
          </cell>
          <cell r="J1455" t="str">
            <v>2693621/TENSEI 1K Blue w/X-Link 55 X-Flex</v>
          </cell>
        </row>
        <row r="1456">
          <cell r="A1456" t="str">
            <v>AU225-WR-1A</v>
          </cell>
          <cell r="B1456" t="str">
            <v>FG-G</v>
          </cell>
          <cell r="J1456" t="str">
            <v>2693623/TENSEI 1K Blue w/X-Link 65 R-Flex</v>
          </cell>
        </row>
        <row r="1457">
          <cell r="A1457" t="str">
            <v>AU225-WS-1A</v>
          </cell>
          <cell r="B1457" t="str">
            <v>FG-G</v>
          </cell>
          <cell r="J1457" t="str">
            <v>2693625/TENSEI 1K Blue w/X-Link 65 S-Flex</v>
          </cell>
        </row>
        <row r="1458">
          <cell r="A1458" t="str">
            <v>AU225-WX-1A</v>
          </cell>
          <cell r="B1458" t="str">
            <v>FG-G</v>
          </cell>
          <cell r="J1458" t="str">
            <v>2693627/TENSEI 1K Blue w/X-Link 65 X-Flex</v>
          </cell>
        </row>
        <row r="1459">
          <cell r="A1459" t="str">
            <v>AU225-WTX1A</v>
          </cell>
          <cell r="B1459" t="str">
            <v>FG-G</v>
          </cell>
          <cell r="J1459" t="str">
            <v>2693629/TENSEI 1K Blue w/X-Link 65 TX-Flex</v>
          </cell>
        </row>
        <row r="1460">
          <cell r="A1460" t="str">
            <v>AU226-WS-1A</v>
          </cell>
          <cell r="B1460" t="str">
            <v>FG-G</v>
          </cell>
          <cell r="J1460" t="str">
            <v>2693631/TENSEI 1K Blue w/X-Link 75 S-Flex</v>
          </cell>
        </row>
        <row r="1461">
          <cell r="A1461" t="str">
            <v>AU226-WX-1A</v>
          </cell>
          <cell r="B1461" t="str">
            <v>FG-G</v>
          </cell>
          <cell r="J1461" t="str">
            <v>2693633/TENSEI 1K Blue w/X-Link 75 X-Flex</v>
          </cell>
        </row>
        <row r="1462">
          <cell r="A1462" t="str">
            <v>AU226-WTX1A</v>
          </cell>
          <cell r="B1462" t="str">
            <v>FG-G</v>
          </cell>
          <cell r="J1462" t="str">
            <v>2693635/TENSEI 1K Blue w/X-Link 75 TX-Flex</v>
          </cell>
        </row>
        <row r="1463">
          <cell r="A1463" t="str">
            <v>XG011-WX-1B</v>
          </cell>
          <cell r="B1463" t="str">
            <v>FG-G</v>
          </cell>
          <cell r="J1463" t="str">
            <v>S-DIAM-2023-SPLUS-60X/Diamana 2023 S+  60 X-FLEX</v>
          </cell>
        </row>
        <row r="1464">
          <cell r="A1464" t="str">
            <v>YR180-US-1A</v>
          </cell>
          <cell r="B1464" t="str">
            <v>FG-G</v>
          </cell>
          <cell r="J1464" t="str">
            <v>VU241-43C/2024 RS Utility S-flex</v>
          </cell>
        </row>
        <row r="1465">
          <cell r="A1465" t="str">
            <v>YR180-USR1A</v>
          </cell>
          <cell r="B1465" t="str">
            <v>FG-G</v>
          </cell>
          <cell r="J1465" t="str">
            <v>VU241-40C/2024 RS Utility SR-flex</v>
          </cell>
        </row>
        <row r="1466">
          <cell r="A1466" t="str">
            <v>YR180-WS-1A</v>
          </cell>
          <cell r="B1466" t="str">
            <v>FG-G</v>
          </cell>
          <cell r="J1466" t="str">
            <v>VD241-43A/2024 RS Driver S-flex</v>
          </cell>
        </row>
        <row r="1467">
          <cell r="A1467" t="str">
            <v>YR180-WS-3A</v>
          </cell>
          <cell r="B1467" t="str">
            <v>FG-G</v>
          </cell>
          <cell r="J1467" t="str">
            <v>VF241-43C/2024 RS Fairway S-flex</v>
          </cell>
        </row>
        <row r="1468">
          <cell r="A1468" t="str">
            <v>YR180-WSR1A</v>
          </cell>
          <cell r="B1468" t="str">
            <v>FG-G</v>
          </cell>
          <cell r="J1468" t="str">
            <v>VD241-40A/2024 RS Driver SR-flex</v>
          </cell>
        </row>
        <row r="1469">
          <cell r="A1469" t="str">
            <v>YR180-WSR3A</v>
          </cell>
          <cell r="B1469" t="str">
            <v>FG-G</v>
          </cell>
          <cell r="J1469" t="str">
            <v>VF241-40C/2024 RS Fairway SR-flex</v>
          </cell>
        </row>
        <row r="1470">
          <cell r="A1470" t="str">
            <v>YR186-UR-1A</v>
          </cell>
          <cell r="B1470" t="str">
            <v>FG-G</v>
          </cell>
          <cell r="J1470" t="str">
            <v>VU242-37C/2024 RS Utility R-flex</v>
          </cell>
        </row>
        <row r="1471">
          <cell r="A1471" t="str">
            <v>YR186-US-1A</v>
          </cell>
          <cell r="B1471" t="str">
            <v>FG-G</v>
          </cell>
          <cell r="J1471" t="str">
            <v>VU242-43C/2024 RS Utility S-flex</v>
          </cell>
        </row>
        <row r="1472">
          <cell r="A1472" t="str">
            <v>YR186-USR1A</v>
          </cell>
          <cell r="B1472" t="str">
            <v>FG-G</v>
          </cell>
          <cell r="J1472" t="str">
            <v>VU242-40C/2024 RS Utility SR-flex</v>
          </cell>
        </row>
        <row r="1473">
          <cell r="A1473" t="str">
            <v>YR186-WR-3A</v>
          </cell>
          <cell r="B1473" t="str">
            <v>FG-G</v>
          </cell>
          <cell r="J1473" t="str">
            <v>VF242-37C/2024 RS Fairway R-flex</v>
          </cell>
        </row>
        <row r="1474">
          <cell r="A1474" t="str">
            <v>YR186-WS-3A</v>
          </cell>
          <cell r="B1474" t="str">
            <v>FG-G</v>
          </cell>
          <cell r="J1474" t="str">
            <v>VF242-43C/2024 RS Fairway S-flex</v>
          </cell>
        </row>
        <row r="1475">
          <cell r="A1475" t="str">
            <v>YR186-WSR3A</v>
          </cell>
          <cell r="B1475" t="str">
            <v>FG-G</v>
          </cell>
          <cell r="J1475" t="str">
            <v>VF242-40C/2024 RS Fairway SR-flex</v>
          </cell>
        </row>
        <row r="1476">
          <cell r="A1476" t="str">
            <v>MZ050-IS-7A</v>
          </cell>
          <cell r="B1476" t="str">
            <v>FG-G</v>
          </cell>
          <cell r="J1476" t="str">
            <v>2MX726-IS-7A/MMT™ Taper Iron 85 S-flex #7</v>
          </cell>
        </row>
        <row r="1477">
          <cell r="A1477" t="str">
            <v>MZ051-IS-7A</v>
          </cell>
          <cell r="B1477" t="str">
            <v>FG-G</v>
          </cell>
          <cell r="J1477" t="str">
            <v>2MX681-IS-7A/MMT™ Taper Iron 105 S-flex #7</v>
          </cell>
        </row>
        <row r="1478">
          <cell r="A1478" t="str">
            <v>MZ051-ITX7A</v>
          </cell>
          <cell r="B1478" t="str">
            <v>FG-G</v>
          </cell>
          <cell r="J1478" t="str">
            <v>2MX681-ITX-7A/MMT™ Taper Iron 105 TX-flex #7</v>
          </cell>
        </row>
        <row r="1479">
          <cell r="A1479" t="str">
            <v>YR186-WS-1A</v>
          </cell>
          <cell r="B1479" t="str">
            <v>FG-G</v>
          </cell>
          <cell r="J1479" t="str">
            <v>VD242-43A/2024 RS Driver S-flex</v>
          </cell>
        </row>
        <row r="1480">
          <cell r="A1480" t="str">
            <v>YR186-WSR1A</v>
          </cell>
          <cell r="B1480" t="str">
            <v>FG-G</v>
          </cell>
          <cell r="J1480" t="str">
            <v>VD242-40A/2024 RS Driver SR-flex</v>
          </cell>
        </row>
        <row r="1481">
          <cell r="A1481" t="str">
            <v>MZ051-IS-3A</v>
          </cell>
          <cell r="B1481" t="str">
            <v>FG-G</v>
          </cell>
          <cell r="J1481" t="str">
            <v>2MX681-IS-3A/MMT™ Taper Iron 105 S-flex #3</v>
          </cell>
        </row>
        <row r="1482">
          <cell r="A1482" t="str">
            <v>MZ051-ITX3A</v>
          </cell>
          <cell r="B1482" t="str">
            <v>FG-G</v>
          </cell>
          <cell r="J1482" t="str">
            <v>2MX681-ITX-3A/MMT™ Taper Iron 105 TX-flex #3</v>
          </cell>
        </row>
        <row r="1483">
          <cell r="A1483" t="str">
            <v>MZ051-ITX5A</v>
          </cell>
          <cell r="B1483" t="str">
            <v>FG-G</v>
          </cell>
          <cell r="J1483" t="str">
            <v>2MX681-ITX-5A/MMT™ Taper Iron 105 TX-flex #5</v>
          </cell>
        </row>
        <row r="1484">
          <cell r="A1484" t="str">
            <v>MZ051-ITX6A</v>
          </cell>
          <cell r="B1484" t="str">
            <v>FG-G</v>
          </cell>
          <cell r="J1484" t="str">
            <v>2MX681-ITX-6A/MMT™ Taper Iron 105 TX-flex #6</v>
          </cell>
        </row>
        <row r="1485">
          <cell r="A1485" t="str">
            <v>MZ051-ITXPA</v>
          </cell>
          <cell r="B1485" t="str">
            <v>FG-G</v>
          </cell>
          <cell r="J1485" t="str">
            <v>2MX681-ITX-PA/MMT™ Taper Iron 105 TX-flex W</v>
          </cell>
        </row>
        <row r="1486">
          <cell r="A1486" t="str">
            <v>MZ050-IR-4A</v>
          </cell>
          <cell r="B1486" t="str">
            <v>FG-G</v>
          </cell>
          <cell r="J1486" t="str">
            <v>2MX726-IR-4A/MMT™ Taper Iron 85 R-flex #4</v>
          </cell>
        </row>
        <row r="1487">
          <cell r="A1487" t="str">
            <v>MZ050-IR-5A</v>
          </cell>
          <cell r="B1487" t="str">
            <v>FG-G</v>
          </cell>
          <cell r="J1487" t="str">
            <v>2MX726-IR-5A/MMT™ Taper Iron 85 R-flex #5</v>
          </cell>
        </row>
        <row r="1488">
          <cell r="A1488" t="str">
            <v>MZ050-IR-6A</v>
          </cell>
          <cell r="B1488" t="str">
            <v>FG-G</v>
          </cell>
          <cell r="J1488" t="str">
            <v>2MX726-IR-6A/MMT™ Taper Iron 85 R-flex #6</v>
          </cell>
        </row>
        <row r="1489">
          <cell r="A1489" t="str">
            <v>MZ050-IR-8A</v>
          </cell>
          <cell r="B1489" t="str">
            <v>FG-G</v>
          </cell>
          <cell r="J1489" t="str">
            <v>2MX726-IR-8A/MMT™ Taper Iron 85 R-flex #8</v>
          </cell>
        </row>
        <row r="1490">
          <cell r="A1490" t="str">
            <v>MZ050-IR-9A</v>
          </cell>
          <cell r="B1490" t="str">
            <v>FG-G</v>
          </cell>
          <cell r="J1490" t="str">
            <v>2MX726-IR-9A/MMT™ Taper Iron 85 R-flex #9</v>
          </cell>
        </row>
        <row r="1491">
          <cell r="A1491" t="str">
            <v>MZ050-IS-4A</v>
          </cell>
          <cell r="B1491" t="str">
            <v>FG-G</v>
          </cell>
          <cell r="J1491" t="str">
            <v>2MX726-IS-4A/MMT™ Taper Iron 85 S-flex #4</v>
          </cell>
        </row>
        <row r="1492">
          <cell r="A1492" t="str">
            <v>MZ050-IS-5A</v>
          </cell>
          <cell r="B1492" t="str">
            <v>FG-G</v>
          </cell>
          <cell r="J1492" t="str">
            <v>2MX726-IS-5A/MMT™ Taper Iron 85 S-flex #5</v>
          </cell>
        </row>
        <row r="1493">
          <cell r="A1493" t="str">
            <v>MZ050-IS-6A</v>
          </cell>
          <cell r="B1493" t="str">
            <v>FG-G</v>
          </cell>
          <cell r="J1493" t="str">
            <v>2MX726-IS-6A/MMT™ Taper Iron 85 S-flex #6</v>
          </cell>
        </row>
        <row r="1494">
          <cell r="A1494" t="str">
            <v>MZ050-IS-8A</v>
          </cell>
          <cell r="B1494" t="str">
            <v>FG-G</v>
          </cell>
          <cell r="J1494" t="str">
            <v>2MX726-IS-8A/MMT™ Taper Iron 85 S-flex #8</v>
          </cell>
        </row>
        <row r="1495">
          <cell r="A1495" t="str">
            <v>MZ050-IS-9A</v>
          </cell>
          <cell r="B1495" t="str">
            <v>FG-G</v>
          </cell>
          <cell r="J1495" t="str">
            <v>2MX726-IS-9A/MMT™ Taper Iron 85 S-flex #9</v>
          </cell>
        </row>
        <row r="1496">
          <cell r="A1496" t="str">
            <v>MZ050-IS-PA</v>
          </cell>
          <cell r="B1496" t="str">
            <v>FG-G</v>
          </cell>
          <cell r="J1496" t="str">
            <v>2MX726-IS-PA/MMT™ Taper Iron 85 S-flex W</v>
          </cell>
        </row>
        <row r="1497">
          <cell r="A1497" t="str">
            <v>MZ049-IR-4A</v>
          </cell>
          <cell r="B1497" t="str">
            <v>FG-G</v>
          </cell>
          <cell r="J1497" t="str">
            <v>2MX729-IR-4A/MMT™ Taper Iron 65 R-flex #4</v>
          </cell>
        </row>
        <row r="1498">
          <cell r="A1498" t="str">
            <v>MZ049-IR-5A</v>
          </cell>
          <cell r="B1498" t="str">
            <v>FG-G</v>
          </cell>
          <cell r="J1498" t="str">
            <v>2MX729-IR-5A/MMT™ Taper Iron 65 R-flex #5</v>
          </cell>
        </row>
        <row r="1499">
          <cell r="A1499" t="str">
            <v>MZ049-IR-6A</v>
          </cell>
          <cell r="B1499" t="str">
            <v>FG-G</v>
          </cell>
          <cell r="J1499" t="str">
            <v>2MX729-IR-6A/MMT™ Taper Iron 65 R-flex #6</v>
          </cell>
        </row>
        <row r="1500">
          <cell r="A1500" t="str">
            <v>MZ049-IR-7A</v>
          </cell>
          <cell r="B1500" t="str">
            <v>FG-G</v>
          </cell>
          <cell r="J1500" t="str">
            <v>2MX729-IR-7A/MMT™ Taper Iron 65 R-flex #7</v>
          </cell>
        </row>
        <row r="1501">
          <cell r="A1501" t="str">
            <v>MZ049-IR-8A</v>
          </cell>
          <cell r="B1501" t="str">
            <v>FG-G</v>
          </cell>
          <cell r="J1501" t="str">
            <v>2MX729-IR-8A/MMT™ Taper Iron 65 R-flex #8</v>
          </cell>
        </row>
        <row r="1502">
          <cell r="A1502" t="str">
            <v>MZ049-IR-9A</v>
          </cell>
          <cell r="B1502" t="str">
            <v>FG-G</v>
          </cell>
          <cell r="J1502" t="str">
            <v>2MX729-IR-9A/MMT™ Taper Iron 65 R-flex #9</v>
          </cell>
        </row>
        <row r="1503">
          <cell r="A1503" t="str">
            <v>MZ049-IR-PA</v>
          </cell>
          <cell r="B1503" t="str">
            <v>FG-G</v>
          </cell>
          <cell r="J1503" t="str">
            <v>2MX729-IR-PA/MMT™ Taper Iron 65 R-flex W</v>
          </cell>
        </row>
        <row r="1504">
          <cell r="A1504" t="str">
            <v>MZ050-IS-3A</v>
          </cell>
          <cell r="B1504" t="str">
            <v>FG-G</v>
          </cell>
          <cell r="J1504" t="str">
            <v>2MX726-IS-3A/MMT™ Taper Iron 85 S-flex #3</v>
          </cell>
        </row>
        <row r="1505">
          <cell r="A1505" t="str">
            <v>YR186-WR-1A</v>
          </cell>
          <cell r="B1505" t="str">
            <v>FG-G</v>
          </cell>
          <cell r="J1505" t="str">
            <v>VD242-37A/2024 RS Driver R-flex</v>
          </cell>
        </row>
        <row r="1506">
          <cell r="A1506" t="str">
            <v>CW150-WA-1A</v>
          </cell>
          <cell r="B1506" t="str">
            <v>FG-G</v>
          </cell>
          <cell r="J1506" t="str">
            <v>3547Y1/SF WD MCA TENSEI B CR 50 GR LGT (A)</v>
          </cell>
        </row>
        <row r="1507">
          <cell r="A1507" t="str">
            <v>CW150-WW-1A</v>
          </cell>
          <cell r="B1507" t="str">
            <v>FG-G</v>
          </cell>
          <cell r="J1507" t="str">
            <v>3547X1/SF WD MCA TENSEI B CR 40 GR WMS</v>
          </cell>
        </row>
        <row r="1508">
          <cell r="A1508" t="str">
            <v>CW151-WA-3A</v>
          </cell>
          <cell r="B1508" t="str">
            <v>FG-G</v>
          </cell>
          <cell r="J1508" t="str">
            <v>3548G1/SF WD MCA TENSEI B CR 60 GR LGT (A)</v>
          </cell>
        </row>
        <row r="1509">
          <cell r="A1509" t="str">
            <v>CW151-WR-3A</v>
          </cell>
          <cell r="B1509" t="str">
            <v>FG-G</v>
          </cell>
          <cell r="J1509" t="str">
            <v>3548G2/SF WD MCA TENSEI B CR 60 GR REG</v>
          </cell>
        </row>
        <row r="1510">
          <cell r="A1510" t="str">
            <v>CW151-WS-3A</v>
          </cell>
          <cell r="B1510" t="str">
            <v>FG-G</v>
          </cell>
          <cell r="J1510" t="str">
            <v>3548G3/SF WD MCA TENSEI B CR 60 GR STF</v>
          </cell>
        </row>
        <row r="1511">
          <cell r="A1511" t="str">
            <v>CW150-WR-1A</v>
          </cell>
          <cell r="B1511" t="str">
            <v>FG-G</v>
          </cell>
          <cell r="J1511" t="str">
            <v>3547Y2/SF WD MCA TENSEI B CR 50 GR REG</v>
          </cell>
        </row>
        <row r="1512">
          <cell r="A1512" t="str">
            <v>CW150-WS-1A</v>
          </cell>
          <cell r="B1512" t="str">
            <v>FG-G</v>
          </cell>
          <cell r="J1512" t="str">
            <v>3547Y3/SF WD MCA TENSEI B CR 50 GR STF</v>
          </cell>
        </row>
        <row r="1513">
          <cell r="A1513" t="str">
            <v>CW157-IA-2A</v>
          </cell>
          <cell r="B1513" t="str">
            <v>FG-G</v>
          </cell>
          <cell r="J1513" t="str">
            <v>3547V1/SF IR/HY MCA TENSEI B CR 55 GR LGT (A)</v>
          </cell>
        </row>
        <row r="1514">
          <cell r="A1514" t="str">
            <v>CW157-IR-2A</v>
          </cell>
          <cell r="B1514" t="str">
            <v>FG-G</v>
          </cell>
          <cell r="J1514" t="str">
            <v>3547V2/SF IR/HY MCA TENSEI B CR 55 GR REG</v>
          </cell>
        </row>
        <row r="1515">
          <cell r="A1515" t="str">
            <v>CW157-IS-2A</v>
          </cell>
          <cell r="B1515" t="str">
            <v>FG-G</v>
          </cell>
          <cell r="J1515" t="str">
            <v>3547V3/SF IR/HY MCA TENSEI B CR 55 GR STF</v>
          </cell>
        </row>
        <row r="1516">
          <cell r="A1516" t="str">
            <v>CW157-IW-2A</v>
          </cell>
          <cell r="B1516" t="str">
            <v>FG-G</v>
          </cell>
          <cell r="J1516" t="str">
            <v>3547W1/SF IR/HY MCA TENSEI B CR 45 GR WMS</v>
          </cell>
        </row>
        <row r="1517">
          <cell r="A1517" t="str">
            <v>MX784-WS-1B</v>
          </cell>
          <cell r="B1517" t="str">
            <v>FG-G</v>
          </cell>
          <cell r="J1517" t="e">
            <v>#N/A</v>
          </cell>
        </row>
        <row r="1518">
          <cell r="A1518" t="str">
            <v>CW159-WR-1A</v>
          </cell>
          <cell r="B1518" t="str">
            <v>FG-G</v>
          </cell>
          <cell r="J1518" t="str">
            <v>3560I2/SF WD VANQUISH 40 GR REG</v>
          </cell>
        </row>
        <row r="1519">
          <cell r="A1519" t="str">
            <v>CW160-WS-1A</v>
          </cell>
          <cell r="B1519" t="str">
            <v>FG-G</v>
          </cell>
          <cell r="J1519" t="str">
            <v>3561M3/SF WD TENSEI 1K BLACK 65 GR STF</v>
          </cell>
        </row>
        <row r="1520">
          <cell r="A1520" t="str">
            <v>CW160-WTX1A</v>
          </cell>
          <cell r="B1520" t="str">
            <v>FG-G</v>
          </cell>
          <cell r="J1520" t="str">
            <v>3561MT/SF WD TENSEI 1K BLACK 65 GR TX</v>
          </cell>
        </row>
        <row r="1521">
          <cell r="A1521" t="str">
            <v>CW161-WS-1A</v>
          </cell>
          <cell r="B1521" t="str">
            <v>FG-G</v>
          </cell>
          <cell r="J1521" t="str">
            <v>3561N3/SF WD TENSEI 1K BLACK 75 GR STF</v>
          </cell>
        </row>
        <row r="1522">
          <cell r="A1522" t="str">
            <v>CW161-WTX1A</v>
          </cell>
          <cell r="B1522" t="str">
            <v>FG-G</v>
          </cell>
          <cell r="J1522" t="str">
            <v>3561NT/SF WD TENSEI 1K BLACK 75 GR TX</v>
          </cell>
        </row>
        <row r="1523">
          <cell r="A1523" t="str">
            <v>CW162-WS-1A</v>
          </cell>
          <cell r="B1523" t="str">
            <v>FG-G</v>
          </cell>
          <cell r="J1523" t="str">
            <v>3561O3/SF WD TENSEI 1K BLACK 85 GR STF</v>
          </cell>
        </row>
        <row r="1524">
          <cell r="A1524" t="str">
            <v>CW162-WTX1A</v>
          </cell>
          <cell r="B1524" t="str">
            <v>FG-G</v>
          </cell>
          <cell r="J1524" t="str">
            <v>3561OT/SF WD TENSEI 1K BLACK 85 GR TX</v>
          </cell>
        </row>
        <row r="1525">
          <cell r="A1525" t="str">
            <v>MX681-IS-3AO</v>
          </cell>
          <cell r="B1525" t="str">
            <v>FG-G</v>
          </cell>
          <cell r="J1525" t="str">
            <v>MMT 105 S #3 39.0</v>
          </cell>
        </row>
        <row r="1526">
          <cell r="A1526" t="str">
            <v>MX721-ITX3AO</v>
          </cell>
          <cell r="B1526" t="str">
            <v>FG-G</v>
          </cell>
          <cell r="J1526" t="str">
            <v>MMT 125 TX #3 39.0</v>
          </cell>
        </row>
        <row r="1527">
          <cell r="A1527" t="str">
            <v>CW166-WR-1A</v>
          </cell>
          <cell r="B1527" t="str">
            <v>FG-G</v>
          </cell>
          <cell r="J1527" t="str">
            <v>3563V2/SF WD VANQUISH 50 GR REG</v>
          </cell>
        </row>
        <row r="1528">
          <cell r="A1528" t="str">
            <v>CW166-WS-1A</v>
          </cell>
          <cell r="B1528" t="str">
            <v>FG-G</v>
          </cell>
          <cell r="J1528" t="str">
            <v>3563V3/VANQUISH PL 50 S-Flex</v>
          </cell>
        </row>
        <row r="1529">
          <cell r="A1529" t="str">
            <v>MX729-IR-PAO</v>
          </cell>
          <cell r="B1529" t="str">
            <v>FG-G</v>
          </cell>
          <cell r="J1529" t="str">
            <v>MMT Taper Iron 65 R-FLEX #PA</v>
          </cell>
        </row>
        <row r="1530">
          <cell r="A1530" t="str">
            <v>XG012-WX-1B</v>
          </cell>
          <cell r="B1530" t="str">
            <v>FG-G</v>
          </cell>
          <cell r="J1530" t="str">
            <v>S-DIAM-2023-SPLUS-70X/Diamana 2023 S+  70 X-FLEX</v>
          </cell>
        </row>
        <row r="1531">
          <cell r="A1531" t="str">
            <v>PG062-WS-1A</v>
          </cell>
          <cell r="B1531" t="str">
            <v>FG-G</v>
          </cell>
          <cell r="J1531" t="str">
            <v>37694-03/TENSEI 1K Black 65 S-Flex</v>
          </cell>
        </row>
        <row r="1532">
          <cell r="A1532" t="str">
            <v>PG062-WX-1A</v>
          </cell>
          <cell r="B1532" t="str">
            <v>FG-G</v>
          </cell>
          <cell r="J1532" t="str">
            <v>37694-02/TENSEI 1K Black 65 X-Flex</v>
          </cell>
        </row>
        <row r="1533">
          <cell r="A1533" t="str">
            <v>PG063-WS-1A</v>
          </cell>
          <cell r="B1533" t="str">
            <v>FG-G</v>
          </cell>
          <cell r="J1533" t="str">
            <v>37695-03/TENSEI 1K Black 75 S-Flex</v>
          </cell>
        </row>
        <row r="1534">
          <cell r="A1534" t="str">
            <v>PG063-WX-1A</v>
          </cell>
          <cell r="B1534" t="str">
            <v>FG-G</v>
          </cell>
          <cell r="J1534" t="str">
            <v>37695-02/TENSEI 1K Black 75 X-Flex</v>
          </cell>
        </row>
        <row r="1535">
          <cell r="A1535" t="str">
            <v>PG064-IS-1A</v>
          </cell>
          <cell r="B1535" t="str">
            <v>FG-G</v>
          </cell>
          <cell r="J1535" t="str">
            <v>38042-02/TENSEI 1K Black Hybrid 85 S-Flex</v>
          </cell>
        </row>
        <row r="1536">
          <cell r="A1536" t="str">
            <v>PG064-IX-1A</v>
          </cell>
          <cell r="B1536" t="str">
            <v>FG-G</v>
          </cell>
          <cell r="J1536" t="str">
            <v>38042-01/TENSEI 1K Black Hybrid 85 X-Flex</v>
          </cell>
        </row>
        <row r="1537">
          <cell r="A1537" t="str">
            <v>MZ048-IA-4A</v>
          </cell>
          <cell r="B1537" t="str">
            <v>FG-G</v>
          </cell>
          <cell r="J1537" t="str">
            <v>2MX728-IA-4A/MMT™ Taper Iron 55 A-flex #4</v>
          </cell>
        </row>
        <row r="1538">
          <cell r="A1538" t="str">
            <v>MZ048-IA-5A</v>
          </cell>
          <cell r="B1538" t="str">
            <v>FG-G</v>
          </cell>
          <cell r="J1538" t="str">
            <v>2MX728-IA-5A/MMT™ Taper Iron 55 A-flex #5</v>
          </cell>
        </row>
        <row r="1539">
          <cell r="A1539" t="str">
            <v>MZ048-IA-6A</v>
          </cell>
          <cell r="B1539" t="str">
            <v>FG-G</v>
          </cell>
          <cell r="J1539" t="str">
            <v>2MX728-IA-6A/MMT™ Taper Iron 55 A-flex #6</v>
          </cell>
        </row>
        <row r="1540">
          <cell r="A1540" t="str">
            <v>MZ048-IA-7A</v>
          </cell>
          <cell r="B1540" t="str">
            <v>FG-G</v>
          </cell>
          <cell r="J1540" t="str">
            <v>2MX728-IA-7A/MMT™ Taper Iron 55 A-flex #7</v>
          </cell>
        </row>
        <row r="1541">
          <cell r="A1541" t="str">
            <v>MZ048-IA-8A</v>
          </cell>
          <cell r="B1541" t="str">
            <v>FG-G</v>
          </cell>
          <cell r="J1541" t="str">
            <v>2MX728-IA-8A/MMT™ Taper Iron 55 A-flex #8</v>
          </cell>
        </row>
        <row r="1542">
          <cell r="A1542" t="str">
            <v>MZ048-IA-9A</v>
          </cell>
          <cell r="B1542" t="str">
            <v>FG-G</v>
          </cell>
          <cell r="J1542" t="str">
            <v>2MX728-IA-9A/MMT™ Taper Iron 55 A-flex #9</v>
          </cell>
        </row>
        <row r="1543">
          <cell r="A1543" t="str">
            <v>MZ048-IA-PA</v>
          </cell>
          <cell r="B1543" t="str">
            <v>FG-G</v>
          </cell>
          <cell r="J1543" t="str">
            <v>2MX728-IA-PA/MMT™ Taper Iron 55 A-flex W</v>
          </cell>
        </row>
        <row r="1544">
          <cell r="A1544" t="str">
            <v>CW159-WA-1A</v>
          </cell>
          <cell r="B1544" t="str">
            <v>FG-G</v>
          </cell>
          <cell r="J1544" t="str">
            <v>3560I1/SF WD VANQUISH 40 GR R2 (A-FLEX)</v>
          </cell>
        </row>
        <row r="1545">
          <cell r="A1545" t="str">
            <v>CW166-WA-1A</v>
          </cell>
          <cell r="B1545" t="str">
            <v>FG-G</v>
          </cell>
          <cell r="J1545" t="str">
            <v>3563V1/SF WD VANQUISH 50 GR R2 (A-FLEX)</v>
          </cell>
        </row>
        <row r="1546">
          <cell r="A1546" t="str">
            <v xml:space="preserve">CW163-IS-1A </v>
          </cell>
          <cell r="B1546" t="str">
            <v>FG-G</v>
          </cell>
          <cell r="J1546" t="e">
            <v>#N/A</v>
          </cell>
        </row>
        <row r="1547">
          <cell r="A1547" t="str">
            <v>HI007-IA-3A</v>
          </cell>
          <cell r="B1547" t="str">
            <v>FG-G</v>
          </cell>
          <cell r="J1547" t="e">
            <v>#N/A</v>
          </cell>
        </row>
        <row r="1548">
          <cell r="A1548" t="str">
            <v>HI007-IR-3A</v>
          </cell>
          <cell r="B1548" t="str">
            <v>FG-G</v>
          </cell>
          <cell r="J1548" t="e">
            <v>#N/A</v>
          </cell>
        </row>
        <row r="1549">
          <cell r="A1549" t="str">
            <v>HI007-IS-3A</v>
          </cell>
          <cell r="B1549" t="str">
            <v>FG-G</v>
          </cell>
          <cell r="J1549" t="e">
            <v>#N/A</v>
          </cell>
        </row>
        <row r="1550">
          <cell r="A1550" t="str">
            <v>HI007-IX-3A</v>
          </cell>
          <cell r="B1550" t="str">
            <v>FG-G</v>
          </cell>
          <cell r="J1550" t="e">
            <v>#N/A</v>
          </cell>
        </row>
        <row r="1551">
          <cell r="A1551" t="str">
            <v>HI007-IA-3B</v>
          </cell>
          <cell r="B1551" t="str">
            <v>FG-G</v>
          </cell>
          <cell r="J1551" t="e">
            <v>#N/A</v>
          </cell>
        </row>
        <row r="1552">
          <cell r="A1552" t="str">
            <v>HI007-IR-3B</v>
          </cell>
          <cell r="B1552" t="str">
            <v>FG-G</v>
          </cell>
          <cell r="J1552" t="e">
            <v>#N/A</v>
          </cell>
        </row>
        <row r="1553">
          <cell r="A1553" t="str">
            <v>HI007-IS-3B</v>
          </cell>
          <cell r="B1553" t="str">
            <v>FG-G</v>
          </cell>
          <cell r="J1553" t="e">
            <v>#N/A</v>
          </cell>
        </row>
        <row r="1554">
          <cell r="A1554" t="str">
            <v>HI007-IX-3B</v>
          </cell>
          <cell r="B1554" t="str">
            <v>FG-G</v>
          </cell>
          <cell r="J1554" t="e">
            <v>#N/A</v>
          </cell>
        </row>
        <row r="1555">
          <cell r="A1555" t="str">
            <v>HI007-IA-3C</v>
          </cell>
          <cell r="B1555" t="str">
            <v>FG-G</v>
          </cell>
          <cell r="J1555" t="e">
            <v>#N/A</v>
          </cell>
        </row>
        <row r="1556">
          <cell r="A1556" t="str">
            <v>HI007-IR-3C</v>
          </cell>
          <cell r="B1556" t="str">
            <v>FG-G</v>
          </cell>
          <cell r="J1556" t="e">
            <v>#N/A</v>
          </cell>
        </row>
        <row r="1557">
          <cell r="A1557" t="str">
            <v>HI007-IS-3C</v>
          </cell>
          <cell r="B1557" t="str">
            <v>FG-G</v>
          </cell>
          <cell r="J1557" t="e">
            <v>#N/A</v>
          </cell>
        </row>
        <row r="1558">
          <cell r="A1558" t="str">
            <v>HI007-IX-3C</v>
          </cell>
          <cell r="B1558" t="str">
            <v>FG-G</v>
          </cell>
          <cell r="J1558" t="e">
            <v>#N/A</v>
          </cell>
        </row>
        <row r="1559">
          <cell r="A1559" t="str">
            <v>MX918-WL-1A</v>
          </cell>
          <cell r="B1559" t="str">
            <v>FG-G</v>
          </cell>
          <cell r="J1559" t="str">
            <v>TENSEI™ AV Series Red 45 L-flex</v>
          </cell>
        </row>
        <row r="1560">
          <cell r="A1560" t="str">
            <v>MX919-WA-1A</v>
          </cell>
          <cell r="B1560" t="str">
            <v>FG-G</v>
          </cell>
          <cell r="J1560" t="str">
            <v>TENSEI™ AV Series Red 55 A-flex</v>
          </cell>
        </row>
        <row r="1561">
          <cell r="A1561" t="str">
            <v>MX919-WS-1A</v>
          </cell>
          <cell r="B1561" t="str">
            <v>FG-G</v>
          </cell>
          <cell r="J1561" t="str">
            <v>TENSEI™ AV Series Red 55 S-flex</v>
          </cell>
        </row>
        <row r="1562">
          <cell r="A1562" t="str">
            <v>MX920-WR-1A</v>
          </cell>
          <cell r="B1562" t="str">
            <v>FG-G</v>
          </cell>
          <cell r="J1562" t="str">
            <v>TENSEI™ AV Series Red 65 R-flex</v>
          </cell>
        </row>
        <row r="1563">
          <cell r="A1563" t="str">
            <v>MX921-IA-1A</v>
          </cell>
          <cell r="B1563" t="str">
            <v>FG-G</v>
          </cell>
          <cell r="J1563" t="str">
            <v>Tensei AV2 Silver hybrid/Iron 55A</v>
          </cell>
        </row>
        <row r="1564">
          <cell r="A1564" t="str">
            <v>MX921-IL-1A</v>
          </cell>
          <cell r="B1564" t="str">
            <v>FG-G</v>
          </cell>
          <cell r="J1564" t="e">
            <v>#N/A</v>
          </cell>
        </row>
        <row r="1565">
          <cell r="A1565" t="str">
            <v>MX922-IA-1A</v>
          </cell>
          <cell r="B1565" t="str">
            <v>FG-G</v>
          </cell>
          <cell r="J1565" t="str">
            <v>Tensei AV2 Silver hybrid/Iron 65A</v>
          </cell>
        </row>
        <row r="1566">
          <cell r="A1566" t="str">
            <v>MX923-IX-1A</v>
          </cell>
          <cell r="B1566" t="str">
            <v>FG-G</v>
          </cell>
          <cell r="J1566" t="str">
            <v>Tensei AV2 Silver hybrid/Iron 75X</v>
          </cell>
        </row>
        <row r="1567">
          <cell r="A1567" t="str">
            <v>MX991-WR-1A</v>
          </cell>
          <cell r="B1567" t="str">
            <v>FG-G</v>
          </cell>
          <cell r="J1567" t="str">
            <v>SH DRV/FWY TEN 1K BLU 55 R 46</v>
          </cell>
        </row>
        <row r="1568">
          <cell r="A1568" t="str">
            <v>MX991-WS-1A</v>
          </cell>
          <cell r="B1568" t="str">
            <v>FG-G</v>
          </cell>
          <cell r="J1568" t="str">
            <v>SH DRV/FWY TEN 1K BLU 55 S 46</v>
          </cell>
        </row>
        <row r="1569">
          <cell r="A1569" t="str">
            <v>MX992-WR-1A</v>
          </cell>
          <cell r="B1569" t="str">
            <v>FG-G</v>
          </cell>
          <cell r="J1569" t="str">
            <v>SH DRV/FWY TEN 1K BLU 65 R 46</v>
          </cell>
        </row>
        <row r="1570">
          <cell r="A1570" t="str">
            <v>MX992-WS-1A</v>
          </cell>
          <cell r="B1570" t="str">
            <v>FG-G</v>
          </cell>
          <cell r="J1570" t="str">
            <v>SH DRV/FWY TEN 1K BLU 65 S 46</v>
          </cell>
        </row>
        <row r="1571">
          <cell r="A1571" t="str">
            <v>MX993-WS-1A</v>
          </cell>
          <cell r="B1571" t="str">
            <v>FG-G</v>
          </cell>
          <cell r="J1571" t="str">
            <v>SH DRV/FWY TEN 1K BLU 75 S 46</v>
          </cell>
        </row>
        <row r="1572">
          <cell r="A1572" t="str">
            <v>SP412-IS-3A</v>
          </cell>
          <cell r="B1572" t="str">
            <v>FG-G</v>
          </cell>
          <cell r="J1572" t="str">
            <v>MB7BISM/24B Iron Flex-S</v>
          </cell>
        </row>
        <row r="1573">
          <cell r="A1573" t="str">
            <v>CL044-IR-1A</v>
          </cell>
          <cell r="B1573" t="str">
            <v>FG-G</v>
          </cell>
          <cell r="J1573" t="str">
            <v>11241882/MMT Parallel tip iron 80 Flex-R</v>
          </cell>
        </row>
        <row r="1574">
          <cell r="A1574" t="str">
            <v>CL044-IS-1A</v>
          </cell>
          <cell r="B1574" t="str">
            <v>FG-G</v>
          </cell>
          <cell r="J1574" t="str">
            <v>11241883/MMT Parallel tip iron 80 Flex-S</v>
          </cell>
        </row>
        <row r="1575">
          <cell r="A1575" t="str">
            <v>CL045-IX-1A</v>
          </cell>
          <cell r="B1575" t="str">
            <v>FG-G</v>
          </cell>
          <cell r="J1575" t="str">
            <v>11241884/MMT Parallel tip iron 90 Flex-X</v>
          </cell>
        </row>
        <row r="1576">
          <cell r="A1576" t="str">
            <v>MX726-IR-4AO</v>
          </cell>
          <cell r="B1576" t="str">
            <v>FG-G</v>
          </cell>
          <cell r="J1576" t="str">
            <v>MMT 85 TAPER GR 38.5</v>
          </cell>
        </row>
        <row r="1577">
          <cell r="A1577" t="str">
            <v>YM129-IA-6A</v>
          </cell>
          <cell r="B1577" t="str">
            <v>FG-G</v>
          </cell>
          <cell r="J1577" t="str">
            <v>VHR3800/25 INPRES IRON #6 A</v>
          </cell>
        </row>
        <row r="1578">
          <cell r="A1578" t="str">
            <v>YM129-IA-7A</v>
          </cell>
          <cell r="B1578" t="str">
            <v>FG-G</v>
          </cell>
          <cell r="J1578" t="str">
            <v>VHR3810/25 INPRES IRON #7 A</v>
          </cell>
        </row>
        <row r="1579">
          <cell r="A1579" t="str">
            <v>YM129-IA-8A</v>
          </cell>
          <cell r="B1579" t="str">
            <v>FG-G</v>
          </cell>
          <cell r="J1579" t="e">
            <v>#N/A</v>
          </cell>
        </row>
        <row r="1580">
          <cell r="A1580" t="str">
            <v>YM129-IA-9A</v>
          </cell>
          <cell r="B1580" t="str">
            <v>FG-G</v>
          </cell>
          <cell r="J1580" t="str">
            <v>VHR3830/25 INPRES IRON #9 A</v>
          </cell>
        </row>
        <row r="1581">
          <cell r="A1581" t="str">
            <v>YM129-IA-PA</v>
          </cell>
          <cell r="B1581" t="str">
            <v>FG-G</v>
          </cell>
          <cell r="J1581" t="str">
            <v>VHR3840/25 INPRES IRON #P A</v>
          </cell>
        </row>
        <row r="1582">
          <cell r="A1582" t="str">
            <v>YM129-IL-6A</v>
          </cell>
          <cell r="B1582" t="str">
            <v>FG-G</v>
          </cell>
          <cell r="J1582" t="str">
            <v>VHR3850/25 INPRES IRON #6 L</v>
          </cell>
        </row>
        <row r="1583">
          <cell r="A1583" t="str">
            <v>YM129-IL-7A</v>
          </cell>
          <cell r="B1583" t="str">
            <v>FG-G</v>
          </cell>
          <cell r="J1583" t="str">
            <v>VHR3860/25 INPRES IRON #7 L</v>
          </cell>
        </row>
        <row r="1584">
          <cell r="A1584" t="str">
            <v>YM129-IL-8A</v>
          </cell>
          <cell r="B1584" t="str">
            <v>FG-G</v>
          </cell>
          <cell r="J1584" t="str">
            <v>VHR3870/25 INPRES IRON #8 L</v>
          </cell>
        </row>
        <row r="1585">
          <cell r="A1585" t="str">
            <v>YM129-IL-9A</v>
          </cell>
          <cell r="B1585" t="str">
            <v>FG-G</v>
          </cell>
          <cell r="J1585" t="str">
            <v>VHR3880/25 INPRES IRON #9 L</v>
          </cell>
        </row>
        <row r="1586">
          <cell r="A1586" t="str">
            <v>YM129-IL-PA</v>
          </cell>
          <cell r="B1586" t="str">
            <v>FG-G</v>
          </cell>
          <cell r="J1586" t="str">
            <v>VHR3890/25 INPRES IRON #P L</v>
          </cell>
        </row>
        <row r="1587">
          <cell r="A1587" t="str">
            <v>YM129-UA-4A</v>
          </cell>
          <cell r="B1587" t="str">
            <v>FG-G</v>
          </cell>
          <cell r="J1587" t="str">
            <v>VHR4040/25 INPRES UTILITY #4 A</v>
          </cell>
        </row>
        <row r="1588">
          <cell r="A1588" t="str">
            <v>YM129-UL-4A</v>
          </cell>
          <cell r="B1588" t="str">
            <v>FG-G</v>
          </cell>
          <cell r="J1588" t="str">
            <v>VHR4050/25 INPRES UTILITY #4 L</v>
          </cell>
        </row>
        <row r="1589">
          <cell r="A1589" t="str">
            <v>YM129-WA-1A</v>
          </cell>
          <cell r="B1589" t="str">
            <v>FG-G</v>
          </cell>
          <cell r="J1589" t="str">
            <v>VHR3680/25 INPRES DRIVER A</v>
          </cell>
        </row>
        <row r="1590">
          <cell r="A1590" t="str">
            <v>YM129-WA-3A</v>
          </cell>
          <cell r="B1590" t="str">
            <v>FG-G</v>
          </cell>
          <cell r="J1590" t="str">
            <v>VHR3720/25 INPRES FAIRWAY #3 A</v>
          </cell>
        </row>
        <row r="1591">
          <cell r="A1591" t="str">
            <v>YM129-WL-1A</v>
          </cell>
          <cell r="B1591" t="str">
            <v>FG-G</v>
          </cell>
          <cell r="J1591" t="str">
            <v>VHR3690/25 INPRES DRIVER L</v>
          </cell>
        </row>
        <row r="1592">
          <cell r="A1592" t="str">
            <v>YM129-WL-3A</v>
          </cell>
          <cell r="B1592" t="str">
            <v>FG-G</v>
          </cell>
          <cell r="J1592" t="str">
            <v>VHR3730/25 INPRES FAIRWAY #3 L</v>
          </cell>
        </row>
        <row r="1593">
          <cell r="A1593" t="str">
            <v>AX204-WL-1SB</v>
          </cell>
          <cell r="B1593" t="str">
            <v>FG-G</v>
          </cell>
          <cell r="J1593" t="e">
            <v>#N/A</v>
          </cell>
        </row>
        <row r="1594">
          <cell r="A1594" t="str">
            <v>CL044-IR-1B</v>
          </cell>
          <cell r="B1594" t="str">
            <v>FG-G</v>
          </cell>
          <cell r="J1594" t="str">
            <v>10360726/MMT Parallel tip iron 80 Flex-R</v>
          </cell>
        </row>
        <row r="1595">
          <cell r="A1595" t="str">
            <v>CL044-IS-1B</v>
          </cell>
          <cell r="B1595" t="str">
            <v>FG-G</v>
          </cell>
          <cell r="J1595" t="str">
            <v>10360725/MMT Parallel tip iron 80 Flex-S</v>
          </cell>
        </row>
        <row r="1596">
          <cell r="A1596" t="str">
            <v>CL045-IX-1B</v>
          </cell>
          <cell r="B1596" t="str">
            <v>FG-G</v>
          </cell>
          <cell r="J1596" t="str">
            <v>10360723/MMT Parallel tip iron 90 Flex-X</v>
          </cell>
        </row>
        <row r="1597">
          <cell r="A1597" t="str">
            <v>HI001-WL-1A</v>
          </cell>
          <cell r="B1597" t="str">
            <v>FG-G</v>
          </cell>
          <cell r="J1597" t="str">
            <v>1600001/Helix X-Type 45 Wood Flex-L</v>
          </cell>
        </row>
        <row r="1598">
          <cell r="A1598" t="str">
            <v>HI001-WA-1A</v>
          </cell>
          <cell r="B1598" t="str">
            <v>FG-G</v>
          </cell>
          <cell r="J1598" t="str">
            <v>1600002/Helix X-Type 45 Wood Flex-A</v>
          </cell>
        </row>
        <row r="1599">
          <cell r="A1599" t="str">
            <v>HI001-WR-1A</v>
          </cell>
          <cell r="B1599" t="str">
            <v>FG-G</v>
          </cell>
          <cell r="J1599" t="str">
            <v>1600003/Helix X-Type 45 Wood Flex-R</v>
          </cell>
        </row>
        <row r="1600">
          <cell r="A1600" t="str">
            <v>HI002-WR-1A</v>
          </cell>
          <cell r="B1600" t="str">
            <v>FG-G</v>
          </cell>
          <cell r="J1600" t="str">
            <v>1601003/Helix X-Type 65 Wood Flex-R</v>
          </cell>
        </row>
        <row r="1601">
          <cell r="A1601" t="str">
            <v>HI002-WS-1A</v>
          </cell>
          <cell r="B1601" t="str">
            <v>FG-G</v>
          </cell>
          <cell r="J1601" t="str">
            <v>1601004/Helix X-Type 65 Wood Flex-S</v>
          </cell>
        </row>
        <row r="1602">
          <cell r="A1602" t="str">
            <v>HI003-WA-1A</v>
          </cell>
          <cell r="B1602" t="str">
            <v>FG-G</v>
          </cell>
          <cell r="J1602" t="str">
            <v>1602002/Helix Z-Type 55 Wood Flex-A</v>
          </cell>
        </row>
        <row r="1603">
          <cell r="A1603" t="str">
            <v>HI003-WR-1A</v>
          </cell>
          <cell r="B1603" t="str">
            <v>FG-G</v>
          </cell>
          <cell r="J1603" t="str">
            <v>1602003/Helix Z-Type 55 Wood Flex-R</v>
          </cell>
        </row>
        <row r="1604">
          <cell r="A1604" t="str">
            <v>HI003-WS-1A</v>
          </cell>
          <cell r="B1604" t="str">
            <v>FG-G</v>
          </cell>
          <cell r="J1604" t="str">
            <v>1602004/Helix Z-Type 55 Wood Flex-S</v>
          </cell>
        </row>
        <row r="1605">
          <cell r="A1605" t="str">
            <v>HI004-WR-1A</v>
          </cell>
          <cell r="B1605" t="str">
            <v>FG-G</v>
          </cell>
          <cell r="J1605" t="str">
            <v>1603003/Helix Z-Type 75 Wood Flex-R</v>
          </cell>
        </row>
        <row r="1606">
          <cell r="A1606" t="str">
            <v>HI004-WS-1A</v>
          </cell>
          <cell r="B1606" t="str">
            <v>FG-G</v>
          </cell>
          <cell r="J1606" t="str">
            <v>1603004/Helix Z-Type 75 Wood Flex-S</v>
          </cell>
        </row>
        <row r="1607">
          <cell r="A1607" t="str">
            <v>HI005-IA-1A</v>
          </cell>
          <cell r="B1607" t="str">
            <v>FG-G</v>
          </cell>
          <cell r="J1607" t="str">
            <v>1598002/Helix X-Type 60</v>
          </cell>
        </row>
        <row r="1608">
          <cell r="A1608" t="str">
            <v>HI005-IR-1A</v>
          </cell>
          <cell r="B1608" t="str">
            <v>FG-G</v>
          </cell>
          <cell r="J1608" t="str">
            <v>1599003/Helix X-Type 70</v>
          </cell>
        </row>
        <row r="1609">
          <cell r="A1609" t="str">
            <v>HI005-IL-1A</v>
          </cell>
          <cell r="B1609" t="str">
            <v>FG-G</v>
          </cell>
          <cell r="J1609" t="str">
            <v>1597001/Helix X-Type 40</v>
          </cell>
        </row>
        <row r="1610">
          <cell r="A1610" t="str">
            <v>HI006-IA-3A</v>
          </cell>
          <cell r="B1610" t="str">
            <v>FG-G</v>
          </cell>
          <cell r="J1610" t="str">
            <v>1594001/Helix X-Type 45 Iron</v>
          </cell>
        </row>
        <row r="1611">
          <cell r="A1611" t="str">
            <v>HI006-IR-3A</v>
          </cell>
          <cell r="B1611" t="str">
            <v>FG-G</v>
          </cell>
          <cell r="J1611" t="str">
            <v>1595002/Helix X-Type 55 Iron</v>
          </cell>
        </row>
        <row r="1612">
          <cell r="A1612" t="str">
            <v>HI006-IS-3A</v>
          </cell>
          <cell r="B1612" t="str">
            <v>FG-G</v>
          </cell>
          <cell r="J1612" t="str">
            <v>1596004/Helix X-Type 75 Iron</v>
          </cell>
        </row>
        <row r="1613">
          <cell r="A1613" t="str">
            <v>SX204-IS-PG</v>
          </cell>
          <cell r="B1613" t="str">
            <v>FG-G</v>
          </cell>
          <cell r="J1613" t="str">
            <v>MALLET GOLF FOR SHUTLE S-FLEX</v>
          </cell>
        </row>
        <row r="1614">
          <cell r="A1614" t="str">
            <v>CW172-IA-1A</v>
          </cell>
          <cell r="B1614" t="str">
            <v>FG-G</v>
          </cell>
          <cell r="J1614" t="str">
            <v>3565S1/SF IR MCA MMT 60 PTIP GR LGT (A-FLEX)</v>
          </cell>
        </row>
        <row r="1615">
          <cell r="A1615" t="str">
            <v>CW172-IR-1A</v>
          </cell>
          <cell r="B1615" t="str">
            <v>FG-G</v>
          </cell>
          <cell r="J1615" t="str">
            <v>3565S2/SF IR MCA MMT 70 PTIP GR REG</v>
          </cell>
        </row>
        <row r="1616">
          <cell r="A1616" t="str">
            <v>CW172-IS-1A</v>
          </cell>
          <cell r="B1616" t="str">
            <v>FG-G</v>
          </cell>
          <cell r="J1616" t="str">
            <v>3565S3/SF IR MCA MMT 80 PTIP GR STF</v>
          </cell>
        </row>
        <row r="1617">
          <cell r="A1617" t="str">
            <v>MX726-IS-9AO</v>
          </cell>
          <cell r="B1617" t="str">
            <v>FG-G</v>
          </cell>
          <cell r="J1617" t="str">
            <v>MMT 85 TAPER GS 36.0</v>
          </cell>
        </row>
        <row r="1618">
          <cell r="A1618" t="str">
            <v>MX726-IS-8AO</v>
          </cell>
          <cell r="B1618" t="str">
            <v>FG-G</v>
          </cell>
          <cell r="J1618" t="str">
            <v>MMT 85 TAPER GS 36.5</v>
          </cell>
        </row>
        <row r="1619">
          <cell r="A1619" t="str">
            <v>MX726-IS-7AO</v>
          </cell>
          <cell r="B1619" t="str">
            <v>FG-G</v>
          </cell>
          <cell r="J1619" t="str">
            <v>MMT 85 TAPER GS 37.0</v>
          </cell>
        </row>
        <row r="1620">
          <cell r="A1620" t="str">
            <v>MX726-IS-6AO</v>
          </cell>
          <cell r="B1620" t="str">
            <v>FG-G</v>
          </cell>
          <cell r="J1620" t="str">
            <v>MMT 85 TAPER GS 37.5</v>
          </cell>
        </row>
        <row r="1621">
          <cell r="A1621" t="str">
            <v>MX726-IS-5AO</v>
          </cell>
          <cell r="B1621" t="str">
            <v>FG-G</v>
          </cell>
          <cell r="J1621" t="str">
            <v>MMT 85 TAPER GS 38.0</v>
          </cell>
        </row>
        <row r="1622">
          <cell r="A1622" t="str">
            <v>CB044-WA-1A</v>
          </cell>
          <cell r="B1622" t="str">
            <v>FG-G</v>
          </cell>
          <cell r="J1622" t="str">
            <v>SD22GA027450/SH DF MCA VANQUISH PL 4 GA 450</v>
          </cell>
        </row>
        <row r="1623">
          <cell r="A1623" t="str">
            <v>CB044-WR-1A</v>
          </cell>
          <cell r="B1623" t="str">
            <v>FG-G</v>
          </cell>
          <cell r="J1623" t="str">
            <v>SD22GR138450/SH DF MCA VANQUISH PL 4 GR 450</v>
          </cell>
        </row>
        <row r="1624">
          <cell r="A1624" t="str">
            <v>AX205-IL-1SB</v>
          </cell>
          <cell r="B1624" t="str">
            <v>FG-G</v>
          </cell>
          <cell r="J1624" t="str">
            <v>10360721/ASCENT PL Hy/IRON 40L</v>
          </cell>
        </row>
        <row r="1625">
          <cell r="A1625" t="str">
            <v>MZ052-WS-1A</v>
          </cell>
          <cell r="B1625" t="str">
            <v>FG-G</v>
          </cell>
          <cell r="J1625" t="str">
            <v>2MZ052-WS-1A/TENSEI 1K BLACK 65GRAM S</v>
          </cell>
        </row>
        <row r="1626">
          <cell r="A1626" t="str">
            <v>MZ052-WX-1A</v>
          </cell>
          <cell r="B1626" t="str">
            <v>FG-G</v>
          </cell>
          <cell r="J1626" t="str">
            <v>2MZ052-WX-1A/TENSEI 1K BLACK 65GRAM X</v>
          </cell>
        </row>
        <row r="1627">
          <cell r="A1627" t="str">
            <v>MZ053-WS-1A</v>
          </cell>
          <cell r="B1627" t="str">
            <v>FG-G</v>
          </cell>
          <cell r="J1627" t="str">
            <v>2MZ053-WS-1A/TENSEI 1K BLACK 75GRAM S</v>
          </cell>
        </row>
        <row r="1628">
          <cell r="A1628" t="str">
            <v>MZ053-WX-1A</v>
          </cell>
          <cell r="B1628" t="str">
            <v>FG-G</v>
          </cell>
          <cell r="J1628" t="str">
            <v>2MZ053-WX-1A/TENSEI 1K BLACK 75GRAM X</v>
          </cell>
        </row>
        <row r="1629">
          <cell r="A1629" t="str">
            <v>MZ054-WR-1A</v>
          </cell>
          <cell r="B1629" t="str">
            <v>FG-G</v>
          </cell>
          <cell r="J1629" t="str">
            <v>2MZ054-WR-1A/TENSEI 1K BLUE WITH X-LINK 55 R-FLEX</v>
          </cell>
        </row>
        <row r="1630">
          <cell r="A1630" t="str">
            <v>MZ054-WS-1A</v>
          </cell>
          <cell r="B1630" t="str">
            <v>FG-G</v>
          </cell>
          <cell r="J1630" t="str">
            <v>2MZ054-WS-1A/TENSEI 1K BLUE WITH X-LINK 55 S-FLEX</v>
          </cell>
        </row>
        <row r="1631">
          <cell r="A1631" t="str">
            <v>MZ055-WR-1A</v>
          </cell>
          <cell r="B1631" t="str">
            <v>FG-G</v>
          </cell>
          <cell r="J1631" t="str">
            <v>2MZ055-WR-1A/TENSEI 1K BLUE WITH X-LINK 65 R-FLEX</v>
          </cell>
        </row>
        <row r="1632">
          <cell r="A1632" t="str">
            <v>MZ055-WS-1A</v>
          </cell>
          <cell r="B1632" t="str">
            <v>FG-G</v>
          </cell>
          <cell r="J1632" t="str">
            <v>2MZ055-WS-1A/TENSEI 1K BLUE WITH X-LINK 65 S-FLEX</v>
          </cell>
        </row>
        <row r="1633">
          <cell r="A1633" t="str">
            <v>MZ055-WX-1A</v>
          </cell>
          <cell r="B1633" t="str">
            <v>FG-G</v>
          </cell>
          <cell r="J1633" t="str">
            <v>2MZ055-WX-1A/TENSEI 1K BLUE WITH X-LINK 65 X-FLEX</v>
          </cell>
        </row>
        <row r="1634">
          <cell r="A1634" t="str">
            <v>MZ056-WS-1A</v>
          </cell>
          <cell r="B1634" t="str">
            <v>FG-G</v>
          </cell>
          <cell r="J1634" t="str">
            <v>2MZ056-WS-1A/TENSEI 1K BLUE WITH X-LINK 75 S-FLEX</v>
          </cell>
        </row>
        <row r="1635">
          <cell r="A1635" t="str">
            <v>MZ056-WX-1A</v>
          </cell>
          <cell r="B1635" t="str">
            <v>FG-G</v>
          </cell>
          <cell r="J1635" t="str">
            <v>2MZ056-WX-1A/TENSEI 1K BLUE WITH X-LINK 75 X-FLEX</v>
          </cell>
        </row>
        <row r="1636">
          <cell r="A1636" t="str">
            <v>MZ059-IS-2A</v>
          </cell>
          <cell r="B1636" t="str">
            <v>FG-G</v>
          </cell>
          <cell r="J1636" t="str">
            <v>2MZ059-WS-1A/TENSEI 1K BLACK HYBRID 85G S FLEX</v>
          </cell>
        </row>
        <row r="1637">
          <cell r="A1637" t="str">
            <v>MZ059-IX-2A</v>
          </cell>
          <cell r="B1637" t="str">
            <v>FG-G</v>
          </cell>
          <cell r="J1637" t="str">
            <v>2MZ059-WX-1A/TENSEI 1K BLACK HYBRID 85G X FLEX</v>
          </cell>
        </row>
        <row r="1638">
          <cell r="A1638" t="str">
            <v>MZ060-IS-2A</v>
          </cell>
          <cell r="B1638" t="str">
            <v>FG-G</v>
          </cell>
          <cell r="J1638" t="e">
            <v>#N/A</v>
          </cell>
        </row>
        <row r="1639">
          <cell r="A1639" t="str">
            <v>MZ060-IX-2A</v>
          </cell>
          <cell r="B1639" t="str">
            <v>FG-G</v>
          </cell>
          <cell r="J1639" t="e">
            <v>#N/A</v>
          </cell>
        </row>
        <row r="1640">
          <cell r="A1640" t="str">
            <v>MX945-WR-3A</v>
          </cell>
          <cell r="B1640" t="str">
            <v>FG-G</v>
          </cell>
          <cell r="J1640" t="str">
            <v>VANQUISH  FW 60R</v>
          </cell>
        </row>
        <row r="1641">
          <cell r="A1641" t="str">
            <v>CB047-WR-1A</v>
          </cell>
          <cell r="B1641" t="str">
            <v>FG-G</v>
          </cell>
          <cell r="J1641" t="str">
            <v>SD22GR137460/SH DF MCA TENSEI AV2 XLINK BU 65 GR 460</v>
          </cell>
        </row>
        <row r="1642">
          <cell r="A1642" t="str">
            <v>CB047-WS-1A</v>
          </cell>
          <cell r="B1642" t="str">
            <v>FG-G</v>
          </cell>
          <cell r="J1642" t="str">
            <v>SD22GS228460/SH DF MCA TENSEI AV2 XLINK BU 65 GS 460</v>
          </cell>
        </row>
        <row r="1643">
          <cell r="A1643" t="str">
            <v>SX204-IS-PE</v>
          </cell>
          <cell r="B1643" t="str">
            <v>FG-G</v>
          </cell>
          <cell r="J1643" t="str">
            <v>MALLET GOLF FOR SHUTLE S-FLEX</v>
          </cell>
        </row>
        <row r="1644">
          <cell r="A1644" t="str">
            <v>SX204-IS-PF</v>
          </cell>
          <cell r="B1644" t="str">
            <v>FG-G</v>
          </cell>
          <cell r="J1644" t="str">
            <v>MALLET GOLF FOR SHUTLE S-FLEX</v>
          </cell>
        </row>
        <row r="1645">
          <cell r="A1645" t="str">
            <v>MZ058-IR-2A</v>
          </cell>
          <cell r="B1645" t="str">
            <v>FG-G</v>
          </cell>
          <cell r="J1645" t="str">
            <v>2MZ058-WR-1A/TENSEI 1K BLUE HYBRID 75 R-FLEX</v>
          </cell>
        </row>
        <row r="1646">
          <cell r="A1646" t="str">
            <v>MZ058-IS-2A</v>
          </cell>
          <cell r="B1646" t="str">
            <v>FG-G</v>
          </cell>
          <cell r="J1646" t="str">
            <v>2MZ058-WS-1A/TENSEI 1K BLUE HYBRID 75 S-FLEX</v>
          </cell>
        </row>
        <row r="1647">
          <cell r="A1647" t="str">
            <v xml:space="preserve">DS008-WR-1A </v>
          </cell>
          <cell r="B1647" t="str">
            <v>FG-G</v>
          </cell>
          <cell r="J1647" t="e">
            <v>#N/A</v>
          </cell>
        </row>
        <row r="1648">
          <cell r="A1648" t="str">
            <v>MX984-IA-1A</v>
          </cell>
          <cell r="B1648" t="str">
            <v>FG-G</v>
          </cell>
          <cell r="J1648" t="str">
            <v>VANQUISH Hy/Ir A</v>
          </cell>
        </row>
        <row r="1649">
          <cell r="A1649" t="str">
            <v>MX984-IR-1A</v>
          </cell>
          <cell r="B1649" t="str">
            <v>FG-G</v>
          </cell>
          <cell r="J1649" t="e">
            <v>#N/A</v>
          </cell>
        </row>
        <row r="1650">
          <cell r="A1650" t="str">
            <v>AU225-IR-2A</v>
          </cell>
          <cell r="B1650" t="str">
            <v>FG-G</v>
          </cell>
          <cell r="J1650" t="str">
            <v>2693753/SH HYB Tensei 1K Blue 65 R 42.0</v>
          </cell>
        </row>
        <row r="1651">
          <cell r="A1651" t="str">
            <v>AU225-IS-2A</v>
          </cell>
          <cell r="B1651" t="str">
            <v>FG-G</v>
          </cell>
          <cell r="J1651" t="str">
            <v>2693755/SH HYB Tensei 1K Blue 65 S 42.0</v>
          </cell>
        </row>
        <row r="1652">
          <cell r="A1652" t="str">
            <v>AU226-IR-2A</v>
          </cell>
          <cell r="B1652" t="str">
            <v>FG-G</v>
          </cell>
          <cell r="J1652" t="str">
            <v>2693757/SH HYB Tensei 1K Blue 75 R 42.0</v>
          </cell>
        </row>
        <row r="1653">
          <cell r="A1653" t="str">
            <v>AU226-IS-2A</v>
          </cell>
          <cell r="B1653" t="str">
            <v>FG-G</v>
          </cell>
          <cell r="J1653" t="str">
            <v>2693759/SH HYB Tensei 1K Blue 75 S 42.0</v>
          </cell>
        </row>
        <row r="1654">
          <cell r="A1654" t="str">
            <v>AU229-IS-2A</v>
          </cell>
          <cell r="B1654" t="str">
            <v>FG-G</v>
          </cell>
          <cell r="J1654" t="str">
            <v>2693761/SH HYB Tensei 1K Blue 85 S 42.0</v>
          </cell>
        </row>
        <row r="1655">
          <cell r="A1655" t="str">
            <v>AU229-IX-2A</v>
          </cell>
          <cell r="B1655" t="str">
            <v>FG-G</v>
          </cell>
          <cell r="J1655" t="str">
            <v>2693763/SH HYB Tensei 1K Blue 85 X 42.0</v>
          </cell>
        </row>
        <row r="1656">
          <cell r="A1656" t="str">
            <v>R-MX905-IX-3A</v>
          </cell>
          <cell r="B1656" t="str">
            <v>FG-G</v>
          </cell>
          <cell r="J1656" t="e">
            <v>#N/A</v>
          </cell>
        </row>
        <row r="1657">
          <cell r="A1657" t="str">
            <v>CW159-WW-1B</v>
          </cell>
          <cell r="B1657" t="str">
            <v>FG-G</v>
          </cell>
          <cell r="J1657" t="str">
            <v>3569K1/SF WD ELDIO WHT / GRN 40 GR WMS (L-FLEX)</v>
          </cell>
        </row>
        <row r="1658">
          <cell r="A1658" t="str">
            <v>MX968-WW-1AO</v>
          </cell>
          <cell r="B1658" t="str">
            <v>FG-G</v>
          </cell>
          <cell r="J1658" t="str">
            <v>SH DF MCA VANQUISH PL 4 GL 460</v>
          </cell>
        </row>
        <row r="1659">
          <cell r="A1659" t="str">
            <v>CB045-WS-1A</v>
          </cell>
          <cell r="B1659" t="str">
            <v>FG-G</v>
          </cell>
          <cell r="J1659" t="str">
            <v>SD22GS238460/VANQUISH OEM WOOD 50 GRAM S</v>
          </cell>
        </row>
        <row r="1660">
          <cell r="A1660" t="str">
            <v>MZ052-WS-1AF</v>
          </cell>
          <cell r="B1660" t="str">
            <v>FG-G</v>
          </cell>
          <cell r="J1660" t="str">
            <v>2MZ052-WS-1AF/Tensei 1K Black with X-Link 65 S-Flex (DEMO)</v>
          </cell>
        </row>
        <row r="1661">
          <cell r="A1661" t="str">
            <v>MZ052-WX-1AF</v>
          </cell>
          <cell r="B1661" t="str">
            <v>FG-G</v>
          </cell>
          <cell r="J1661" t="str">
            <v>2MZ052-WX-1AF/Tensei 1K Black with X-Link 65 X-Flex (DEMO)</v>
          </cell>
        </row>
        <row r="1662">
          <cell r="A1662" t="str">
            <v>MZ053-WS-1AF</v>
          </cell>
          <cell r="B1662" t="str">
            <v>FG-G</v>
          </cell>
          <cell r="J1662" t="str">
            <v>2MZ053-WS-1AF/Tensei 1K Black with X-Link 75 S-Flex (DEMO)</v>
          </cell>
        </row>
        <row r="1663">
          <cell r="A1663" t="str">
            <v>MZ053-WX-1AF</v>
          </cell>
          <cell r="B1663" t="str">
            <v>FG-G</v>
          </cell>
          <cell r="J1663" t="str">
            <v>2MZ053-WX-1AF/Tensei 1K Black with X-Link 75 X-Flex (DEMO)</v>
          </cell>
        </row>
        <row r="1664">
          <cell r="A1664" t="str">
            <v>MZ059-IX-2AF</v>
          </cell>
          <cell r="B1664" t="str">
            <v>FG-G</v>
          </cell>
          <cell r="J1664" t="str">
            <v>2MZ059-WX-1AF/Tensei 1K Black Hybrid 85 X-Flex (DEMO)</v>
          </cell>
        </row>
        <row r="1665">
          <cell r="A1665" t="str">
            <v>MZ054-WR-1AF</v>
          </cell>
          <cell r="B1665" t="str">
            <v>FG-G</v>
          </cell>
          <cell r="J1665" t="str">
            <v>2MZ054-WR-1AF/Tensei 1K BLUE with X-Link 55 R-Flex (DEMO)</v>
          </cell>
        </row>
        <row r="1666">
          <cell r="A1666" t="str">
            <v>MZ054-WS-1AF</v>
          </cell>
          <cell r="B1666" t="str">
            <v>FG-G</v>
          </cell>
          <cell r="J1666" t="str">
            <v>2MZ054-WS-1AF/Tensei 1K BLUE with X-Link 55 S-Flex (DEMO)</v>
          </cell>
        </row>
        <row r="1667">
          <cell r="A1667" t="str">
            <v>MZ055-WR-1AF</v>
          </cell>
          <cell r="B1667" t="str">
            <v>FG-G</v>
          </cell>
          <cell r="J1667" t="str">
            <v>2MZ055-WR-1AF/Tensei 1K BLUE with X-Link 65 R-Flex (DEMO)</v>
          </cell>
        </row>
        <row r="1668">
          <cell r="A1668" t="str">
            <v>MZ055-WS-1AF</v>
          </cell>
          <cell r="B1668" t="str">
            <v>FG-G</v>
          </cell>
          <cell r="J1668" t="str">
            <v>2MZ055-WS-1AF/Tensei 1K BLUE with X-Link 65 S-Flex (DEMO)</v>
          </cell>
        </row>
        <row r="1669">
          <cell r="A1669" t="str">
            <v>MZ056-WX-1AF</v>
          </cell>
          <cell r="B1669" t="str">
            <v>FG-G</v>
          </cell>
          <cell r="J1669" t="str">
            <v>2MZ056-WX-1AF/Tensei 1K BLUE with X-Link 75 X-Flex (DEMO)</v>
          </cell>
        </row>
        <row r="1670">
          <cell r="A1670" t="str">
            <v>MZ058-IS-2AF</v>
          </cell>
          <cell r="B1670" t="str">
            <v>FG-G</v>
          </cell>
          <cell r="J1670" t="str">
            <v>2MZ058-WS-1AF/Tensei 1K BLUE Hybrid 75 S-Flex (DEMO)</v>
          </cell>
        </row>
        <row r="1671">
          <cell r="A1671" t="str">
            <v>SF263-WS-1B</v>
          </cell>
          <cell r="B1671" t="str">
            <v>FG-G</v>
          </cell>
          <cell r="J1671" t="str">
            <v>N3309601/SHM-MCA KAI'LI WHITE 60 DW-S</v>
          </cell>
        </row>
        <row r="1672">
          <cell r="A1672" t="str">
            <v>SF303-WS-1A</v>
          </cell>
          <cell r="B1672" t="str">
            <v>FG-G</v>
          </cell>
          <cell r="J1672" t="str">
            <v>N3309301/SHM-MCA KAI'LI BLUE CB60 DW-S</v>
          </cell>
        </row>
        <row r="1673">
          <cell r="A1673" t="str">
            <v>CB045-WR-1A</v>
          </cell>
          <cell r="B1673" t="str">
            <v>FG-G</v>
          </cell>
          <cell r="J1673" t="e">
            <v>#N/A</v>
          </cell>
        </row>
        <row r="1674">
          <cell r="A1674" t="str">
            <v>MX992-WX-1A</v>
          </cell>
          <cell r="B1674" t="str">
            <v>FG-G</v>
          </cell>
          <cell r="J1674" t="str">
            <v>SH DRV/FWY TEN 1K BLU 65 X 46</v>
          </cell>
        </row>
        <row r="1675">
          <cell r="A1675" t="str">
            <v>MX993-WX-1A</v>
          </cell>
          <cell r="B1675" t="str">
            <v>FG-G</v>
          </cell>
          <cell r="J1675" t="str">
            <v>SH DRV/FWY TEN 1K BLU 75 X 46</v>
          </cell>
        </row>
        <row r="1676">
          <cell r="A1676" t="str">
            <v>SF282-WS-3C</v>
          </cell>
          <cell r="B1676" t="str">
            <v>FG-G</v>
          </cell>
          <cell r="J1676" t="str">
            <v>N3480501/SHM-MCA KAI’LI BLUE FW 75 DW-S</v>
          </cell>
        </row>
        <row r="1677">
          <cell r="A1677" t="str">
            <v>SF282-WX-3C</v>
          </cell>
          <cell r="B1677" t="str">
            <v>FG-G</v>
          </cell>
          <cell r="J1677" t="str">
            <v>N3480401/SHM-MCA KAI’LI BLUE FW 75 DW-X</v>
          </cell>
        </row>
        <row r="1678">
          <cell r="A1678" t="str">
            <v>CW160-WX-1A</v>
          </cell>
          <cell r="B1678" t="str">
            <v>FG-G</v>
          </cell>
          <cell r="J1678" t="str">
            <v>3569M4/SF WD TENSEI 1K BLACK 65 GR XST</v>
          </cell>
        </row>
        <row r="1679">
          <cell r="A1679" t="str">
            <v>CW161-WX-1A</v>
          </cell>
          <cell r="B1679" t="str">
            <v>FG-G</v>
          </cell>
          <cell r="J1679" t="str">
            <v>3569N4/SF WD TENSEI 1K BLACK 75 GR XST</v>
          </cell>
        </row>
        <row r="1680">
          <cell r="A1680" t="str">
            <v>SF244-IS-3E</v>
          </cell>
          <cell r="B1680" t="str">
            <v>FG-G</v>
          </cell>
          <cell r="J1680" t="str">
            <v>N3403401/SHM-MCA KAI’LI BLUE HY 85 DW-S</v>
          </cell>
        </row>
        <row r="1681">
          <cell r="A1681" t="str">
            <v>SF248-IA-1E</v>
          </cell>
          <cell r="B1681" t="str">
            <v>FG-G</v>
          </cell>
          <cell r="J1681" t="str">
            <v>N9524301/SHI ELDIO 2025 TM40 A</v>
          </cell>
        </row>
        <row r="1682">
          <cell r="A1682" t="str">
            <v>SF248-IL-1E</v>
          </cell>
          <cell r="B1682" t="str">
            <v>FG-G</v>
          </cell>
          <cell r="J1682" t="str">
            <v>N9524401/SHI ELDIO 2025 TM40 L</v>
          </cell>
        </row>
        <row r="1683">
          <cell r="A1683" t="str">
            <v>SF299-WS-1B</v>
          </cell>
          <cell r="B1683" t="str">
            <v>FG-G</v>
          </cell>
          <cell r="J1683" t="str">
            <v>N3407201 /SHD Diamana Black 2025 TM60 S</v>
          </cell>
        </row>
        <row r="1684">
          <cell r="A1684" t="str">
            <v>SF306-WA-1A</v>
          </cell>
          <cell r="B1684" t="str">
            <v>FG-G</v>
          </cell>
          <cell r="J1684" t="str">
            <v>N3413501/SHM-MCA Vanquish 40 A (R2)</v>
          </cell>
        </row>
        <row r="1685">
          <cell r="A1685" t="str">
            <v>XG035-WR-1A</v>
          </cell>
          <cell r="B1685" t="str">
            <v>FG-G</v>
          </cell>
          <cell r="J1685" t="e">
            <v>#N/A</v>
          </cell>
        </row>
        <row r="1686">
          <cell r="A1686" t="str">
            <v>XG037-WS-1A</v>
          </cell>
          <cell r="B1686" t="str">
            <v>FG-G</v>
          </cell>
          <cell r="J1686" t="e">
            <v>#N/A</v>
          </cell>
        </row>
        <row r="1687">
          <cell r="A1687" t="str">
            <v>XG040-IS-2A</v>
          </cell>
          <cell r="B1687" t="str">
            <v>FG-G</v>
          </cell>
          <cell r="J1687" t="e">
            <v>#N/A</v>
          </cell>
        </row>
        <row r="1688">
          <cell r="A1688" t="str">
            <v>SF263-WX-1B</v>
          </cell>
          <cell r="B1688" t="str">
            <v>FG-G</v>
          </cell>
          <cell r="J1688" t="str">
            <v>N3309501/SHM-MCA KAI'LI WHITE 60 DW-X</v>
          </cell>
        </row>
        <row r="1689">
          <cell r="A1689" t="str">
            <v>SF303-WR-1A</v>
          </cell>
          <cell r="B1689" t="str">
            <v>FG-G</v>
          </cell>
          <cell r="J1689" t="str">
            <v>N3309401/SHM-MCA KAI'LI BLUE CB60 DW-R</v>
          </cell>
        </row>
        <row r="1690">
          <cell r="A1690" t="str">
            <v>SF303-WX-1A</v>
          </cell>
          <cell r="B1690" t="str">
            <v>FG-G</v>
          </cell>
          <cell r="J1690" t="str">
            <v>N3309201/SHM-MCA KAI'LI BLUE CB60 DW-X</v>
          </cell>
        </row>
        <row r="1691">
          <cell r="A1691" t="str">
            <v>CW159-IW-1B</v>
          </cell>
          <cell r="B1691" t="str">
            <v>FG-G</v>
          </cell>
          <cell r="J1691" t="str">
            <v>3569J1/SF HY/IR MCA ELDIO WHT/GRN 40 GR WMS</v>
          </cell>
        </row>
        <row r="1692">
          <cell r="A1692" t="str">
            <v>CW166-IA-1A</v>
          </cell>
          <cell r="B1692" t="str">
            <v>FG-G</v>
          </cell>
          <cell r="J1692" t="str">
            <v>3569F1/SF HY/IR MCA VANQUISH 50 GR R2</v>
          </cell>
        </row>
        <row r="1693">
          <cell r="A1693" t="str">
            <v>CW168-WS-1A</v>
          </cell>
          <cell r="B1693" t="str">
            <v>FG-G</v>
          </cell>
          <cell r="J1693" t="str">
            <v>3570X3/WD MCA TENSEI GREEN 60 GR STF JV</v>
          </cell>
        </row>
        <row r="1694">
          <cell r="A1694" t="str">
            <v>SF250-IS-3E</v>
          </cell>
          <cell r="B1694" t="str">
            <v>FG-G</v>
          </cell>
          <cell r="J1694" t="str">
            <v>N3403301/SHM-MCA KAI’LI BLUE HY 95 DW-X</v>
          </cell>
        </row>
        <row r="1695">
          <cell r="A1695" t="str">
            <v>SF282-WR-3C</v>
          </cell>
          <cell r="B1695" t="str">
            <v>FG-G</v>
          </cell>
          <cell r="J1695" t="str">
            <v>N3481101/SHM-MCA KAI’LI BLUE FW 65 DW-R</v>
          </cell>
        </row>
        <row r="1696">
          <cell r="A1696" t="str">
            <v>SF306-WR-1A</v>
          </cell>
          <cell r="B1696" t="str">
            <v>FG-G</v>
          </cell>
          <cell r="J1696" t="str">
            <v>N3413401/SHM-MCA Vanquish 40 R</v>
          </cell>
        </row>
        <row r="1697">
          <cell r="A1697" t="str">
            <v>SF307-IA-1A</v>
          </cell>
          <cell r="B1697" t="str">
            <v>FG-G</v>
          </cell>
          <cell r="J1697" t="str">
            <v>N3411601/SHM-MCA Vanquish HY 50 R2 (A)</v>
          </cell>
        </row>
        <row r="1698">
          <cell r="A1698" t="str">
            <v>SF307-IR-1A</v>
          </cell>
          <cell r="B1698" t="str">
            <v>FG-G</v>
          </cell>
          <cell r="J1698" t="str">
            <v>N3411501/SHM-MCA Vanquish HY 50 R</v>
          </cell>
        </row>
        <row r="1699">
          <cell r="A1699" t="str">
            <v>CW159-IA-1A</v>
          </cell>
          <cell r="B1699" t="str">
            <v>FG-G</v>
          </cell>
          <cell r="J1699" t="str">
            <v>3569I1/SF HY/IR MCA VANQUISH 40 GR R2</v>
          </cell>
        </row>
        <row r="1700">
          <cell r="A1700" t="str">
            <v>MX726-IR-3AO</v>
          </cell>
          <cell r="B1700" t="str">
            <v>FG-G</v>
          </cell>
          <cell r="J1700" t="str">
            <v>MMT 85 TAPER GR 39.0</v>
          </cell>
        </row>
        <row r="1701">
          <cell r="A1701" t="str">
            <v>MX726-IS-4AO</v>
          </cell>
          <cell r="B1701" t="str">
            <v>FG-G</v>
          </cell>
          <cell r="J1701" t="str">
            <v>MMT 85 TAPER GS 38.5</v>
          </cell>
        </row>
        <row r="1702">
          <cell r="A1702" t="str">
            <v>SF302-WA-1A</v>
          </cell>
          <cell r="B1702" t="str">
            <v>FG-G</v>
          </cell>
          <cell r="J1702" t="str">
            <v>N9530001/SHD ELDIO 2025 TM40 A</v>
          </cell>
        </row>
        <row r="1703">
          <cell r="A1703" t="str">
            <v>SF302-WL-1A</v>
          </cell>
          <cell r="B1703" t="str">
            <v>FG-G</v>
          </cell>
          <cell r="J1703" t="str">
            <v>N9529901/SHD ELDIO 2025 TM40 L</v>
          </cell>
        </row>
        <row r="1704">
          <cell r="A1704" t="str">
            <v>CW168-WSR1A</v>
          </cell>
          <cell r="B1704" t="str">
            <v>FG-G</v>
          </cell>
          <cell r="J1704" t="str">
            <v>3570X5/WD MCA TENSEI GREEN 60 GR SR JV</v>
          </cell>
        </row>
        <row r="1705">
          <cell r="A1705" t="str">
            <v>MX889-WS-1AO</v>
          </cell>
          <cell r="B1705" t="str">
            <v>FG-G</v>
          </cell>
          <cell r="J1705" t="str">
            <v>TENSEI 1K Black 65 S-flex</v>
          </cell>
        </row>
        <row r="1706">
          <cell r="A1706" t="str">
            <v>MX890-WS-1AO</v>
          </cell>
          <cell r="B1706" t="str">
            <v>FG-G</v>
          </cell>
          <cell r="J1706" t="str">
            <v>TENSEI 1K Black 75 S-flex</v>
          </cell>
        </row>
        <row r="1707">
          <cell r="A1707" t="str">
            <v>CB049-WR-1C</v>
          </cell>
          <cell r="B1707" t="str">
            <v>FG-G</v>
          </cell>
          <cell r="J1707" t="str">
            <v>SD22GR147460/SH DF MCA TENSEI 1K BU AP 25 65 GR 460</v>
          </cell>
        </row>
        <row r="1708">
          <cell r="A1708" t="str">
            <v>CB043-WS-1C</v>
          </cell>
          <cell r="B1708" t="str">
            <v>FG-G</v>
          </cell>
          <cell r="J1708" t="str">
            <v>SD22GS247460/SH DF MCA TENSEI 1K BK VOL 25 65 GS 460</v>
          </cell>
        </row>
        <row r="1709">
          <cell r="A1709" t="str">
            <v>CB049-WX-1C</v>
          </cell>
          <cell r="B1709" t="str">
            <v>FG-G</v>
          </cell>
          <cell r="J1709" t="str">
            <v>SD22GX214460/SH DF MCA TENSEI 1K BU AP 25 65 GX 460</v>
          </cell>
        </row>
        <row r="1710">
          <cell r="A1710" t="str">
            <v>CB043-WX-1C</v>
          </cell>
          <cell r="B1710" t="str">
            <v>FG-G</v>
          </cell>
          <cell r="J1710" t="str">
            <v>SD22GX215460/SH DF MCA TENSEI 1K BK VOL 25 65 GX 460</v>
          </cell>
        </row>
        <row r="1711">
          <cell r="A1711" t="str">
            <v>CB043-WR-1C</v>
          </cell>
          <cell r="B1711" t="str">
            <v>FG-G</v>
          </cell>
          <cell r="J1711" t="str">
            <v>SD22GR148460/SH DF MCA TENSEI 1K BK VOL 25 65 GR 460</v>
          </cell>
        </row>
        <row r="1712">
          <cell r="A1712" t="str">
            <v>CB049-WS-1C</v>
          </cell>
          <cell r="B1712" t="str">
            <v>FG-G</v>
          </cell>
          <cell r="J1712" t="str">
            <v>SD22GS246460/SH DF MCA TENSEI 1K BU AP 25 65 GS 460</v>
          </cell>
        </row>
        <row r="1713">
          <cell r="A1713" t="str">
            <v>MX992-WX-1AO</v>
          </cell>
          <cell r="B1713" t="str">
            <v>FG-G</v>
          </cell>
          <cell r="J1713" t="str">
            <v>TENSEI 1K Blue 65 X-Flex</v>
          </cell>
        </row>
        <row r="1714">
          <cell r="A1714" t="str">
            <v>MX993-WS-1AO</v>
          </cell>
          <cell r="B1714" t="str">
            <v>FG-G</v>
          </cell>
          <cell r="J1714" t="str">
            <v>TENSEI 1K Blue 75 S-Flex</v>
          </cell>
        </row>
        <row r="1715">
          <cell r="A1715" t="str">
            <v>MX993-WX-1AO</v>
          </cell>
          <cell r="B1715" t="str">
            <v>FG-G</v>
          </cell>
          <cell r="J1715" t="str">
            <v>TENSEI 1K Blue 75 X-Flex</v>
          </cell>
        </row>
        <row r="1716">
          <cell r="A1716" t="str">
            <v>CW162-WX-1A</v>
          </cell>
          <cell r="B1716" t="str">
            <v>FG-G</v>
          </cell>
          <cell r="J1716" t="str">
            <v>3569O4/SF WD TENSEI 1K BLACK 85 GR XST</v>
          </cell>
        </row>
        <row r="1717">
          <cell r="A1717" t="str">
            <v>MX889-WX-1AO</v>
          </cell>
          <cell r="B1717" t="str">
            <v>FG-G</v>
          </cell>
          <cell r="J1717" t="str">
            <v>TENSEI 1K Black 65 X-flex</v>
          </cell>
        </row>
        <row r="1718">
          <cell r="A1718" t="str">
            <v>MX890-WX-1AO</v>
          </cell>
          <cell r="B1718" t="str">
            <v>FG-G</v>
          </cell>
          <cell r="J1718" t="str">
            <v>TENSEI 1K Black 75 X-flex</v>
          </cell>
        </row>
        <row r="1719">
          <cell r="A1719" t="str">
            <v>SP414-IS-3A</v>
          </cell>
          <cell r="B1719" t="str">
            <v>FG-G</v>
          </cell>
          <cell r="J1719" t="str">
            <v>MB6BISM/25B IRON FLEX-S</v>
          </cell>
        </row>
        <row r="1720">
          <cell r="A1720" t="str">
            <v>MX968-WA-1AO</v>
          </cell>
          <cell r="B1720" t="str">
            <v>FG-G</v>
          </cell>
          <cell r="J1720" t="e">
            <v>#N/A</v>
          </cell>
        </row>
        <row r="1721">
          <cell r="A1721" t="str">
            <v>MX992-WS-1AO</v>
          </cell>
          <cell r="B1721" t="str">
            <v>FG-G</v>
          </cell>
          <cell r="J1721" t="str">
            <v>TENSEI 1K Blue 65 S-Flex</v>
          </cell>
        </row>
        <row r="1722">
          <cell r="A1722" t="str">
            <v>MX991-WRA1A</v>
          </cell>
          <cell r="B1722" t="str">
            <v>FG-G</v>
          </cell>
          <cell r="J1722" t="str">
            <v>SH DRV/FWY TEN 1K BLU 55 R2 46</v>
          </cell>
        </row>
        <row r="1723">
          <cell r="A1723" t="str">
            <v>MX991-WX-1A</v>
          </cell>
          <cell r="B1723" t="str">
            <v>FG-G</v>
          </cell>
          <cell r="J1723" t="str">
            <v>SH DRV/FWY TEN 1K BLU 55 X 46</v>
          </cell>
        </row>
        <row r="1724">
          <cell r="A1724" t="str">
            <v>MX992-WTX1A</v>
          </cell>
          <cell r="B1724" t="str">
            <v>FG-G</v>
          </cell>
          <cell r="J1724" t="str">
            <v>SH DRV/FWY TEN 1K BLU 65 TX 46</v>
          </cell>
        </row>
        <row r="1725">
          <cell r="A1725" t="str">
            <v>MX993-WTX1A</v>
          </cell>
          <cell r="B1725" t="str">
            <v>FG-G</v>
          </cell>
          <cell r="J1725" t="str">
            <v>SH DRV/FWY TEN 1K BLU 75 TX 46</v>
          </cell>
        </row>
        <row r="1726">
          <cell r="A1726" t="str">
            <v>MX998-IA-1AO</v>
          </cell>
          <cell r="B1726" t="str">
            <v>FG-G</v>
          </cell>
          <cell r="J1726" t="e">
            <v>#N/A</v>
          </cell>
        </row>
        <row r="1727">
          <cell r="A1727" t="str">
            <v>MX891-WS-1AO</v>
          </cell>
          <cell r="B1727" t="str">
            <v>FG-G</v>
          </cell>
          <cell r="J1727" t="str">
            <v>TENSEI 1K Black 85 S-flex</v>
          </cell>
        </row>
        <row r="1728">
          <cell r="A1728" t="str">
            <v>MX891-WX-1AO</v>
          </cell>
          <cell r="B1728" t="str">
            <v>FG-G</v>
          </cell>
          <cell r="J1728" t="str">
            <v>TENSEI 1K Black 85 X-flex</v>
          </cell>
        </row>
        <row r="1729">
          <cell r="A1729" t="str">
            <v>MX933-IS-1AO</v>
          </cell>
          <cell r="B1729" t="str">
            <v>FG-G</v>
          </cell>
          <cell r="J1729" t="str">
            <v>TENSEI 1K Black Hybrid 85 S-Flex</v>
          </cell>
        </row>
        <row r="1730">
          <cell r="A1730" t="str">
            <v>MX933-IX-1AO</v>
          </cell>
          <cell r="B1730" t="str">
            <v>FG-G</v>
          </cell>
          <cell r="J1730" t="str">
            <v>TENSEI 1K Black Hybrid 85 X-Flex</v>
          </cell>
        </row>
        <row r="1731">
          <cell r="A1731" t="str">
            <v>MX934-IS-1AO</v>
          </cell>
          <cell r="B1731" t="str">
            <v>FG-G</v>
          </cell>
          <cell r="J1731" t="str">
            <v>TENSEI 1K Black Hybrid 95 S-Flex</v>
          </cell>
        </row>
        <row r="1732">
          <cell r="A1732" t="str">
            <v>MX934-IX-1AO</v>
          </cell>
          <cell r="B1732" t="str">
            <v>FG-G</v>
          </cell>
          <cell r="J1732" t="str">
            <v>TENSEI 1K Black Hybrid 95 X-Flex</v>
          </cell>
        </row>
        <row r="1733">
          <cell r="A1733" t="str">
            <v>MX984-IS-1A</v>
          </cell>
          <cell r="B1733" t="str">
            <v>FG-G</v>
          </cell>
          <cell r="J1733" t="e">
            <v>#N/A</v>
          </cell>
        </row>
        <row r="1734">
          <cell r="A1734" t="str">
            <v>MX998-IW-1A</v>
          </cell>
          <cell r="B1734" t="str">
            <v>FG-G</v>
          </cell>
          <cell r="J1734" t="str">
            <v>VANQUISH PL Hy/Ir 40R3</v>
          </cell>
        </row>
        <row r="1735">
          <cell r="A1735" t="str">
            <v>MX998-IA-1A</v>
          </cell>
          <cell r="B1735" t="str">
            <v>FG-G</v>
          </cell>
          <cell r="J1735" t="e">
            <v>#N/A</v>
          </cell>
        </row>
        <row r="1736">
          <cell r="A1736" t="str">
            <v>MX969-WR-1AT</v>
          </cell>
          <cell r="B1736" t="str">
            <v>FG-G</v>
          </cell>
          <cell r="J1736" t="e">
            <v>#N/A</v>
          </cell>
        </row>
        <row r="1737">
          <cell r="A1737" t="str">
            <v>MX969-WS-1AT</v>
          </cell>
          <cell r="B1737" t="str">
            <v>FG-G</v>
          </cell>
          <cell r="J1737" t="e">
            <v>#N/A</v>
          </cell>
        </row>
        <row r="1738">
          <cell r="A1738" t="str">
            <v>MX969-WR-1AO</v>
          </cell>
          <cell r="B1738" t="str">
            <v>FG-G</v>
          </cell>
          <cell r="J1738" t="str">
            <v>VANQUISH PL 5 R-Flex</v>
          </cell>
        </row>
        <row r="1739">
          <cell r="A1739" t="str">
            <v>MX969-WS-1AO</v>
          </cell>
          <cell r="B1739" t="str">
            <v>FG-G</v>
          </cell>
          <cell r="J1739" t="str">
            <v>VANQUISH PL 5 S-Flex</v>
          </cell>
        </row>
        <row r="1740">
          <cell r="A1740" t="str">
            <v>CW159-WA-1AY</v>
          </cell>
          <cell r="B1740" t="str">
            <v>FG-G</v>
          </cell>
          <cell r="J1740" t="str">
            <v>3560H1/SF WD MCA VANQUISH 40 GR R2 (A-FLEX) DEMO</v>
          </cell>
        </row>
        <row r="1741">
          <cell r="A1741" t="str">
            <v>CW159-WW-1BY</v>
          </cell>
          <cell r="B1741" t="str">
            <v>FG-G</v>
          </cell>
          <cell r="J1741" t="e">
            <v>#N/A</v>
          </cell>
        </row>
        <row r="1742">
          <cell r="A1742" t="str">
            <v>CW160-WS-1AY</v>
          </cell>
          <cell r="B1742" t="str">
            <v>FG-G</v>
          </cell>
          <cell r="J1742" t="e">
            <v>#N/A</v>
          </cell>
        </row>
        <row r="1743">
          <cell r="A1743" t="str">
            <v>CW160-WX-1AY</v>
          </cell>
          <cell r="B1743" t="str">
            <v>FG-G</v>
          </cell>
          <cell r="J1743" t="e">
            <v>#N/A</v>
          </cell>
        </row>
        <row r="1744">
          <cell r="A1744" t="str">
            <v>CW166-WR-1AY</v>
          </cell>
          <cell r="B1744" t="str">
            <v>FG-G</v>
          </cell>
          <cell r="J1744" t="e">
            <v>#N/A</v>
          </cell>
        </row>
        <row r="1745">
          <cell r="A1745" t="str">
            <v>SF305-WS-1AT</v>
          </cell>
          <cell r="B1745" t="str">
            <v>FG-G</v>
          </cell>
          <cell r="J1745" t="e">
            <v>#N/A</v>
          </cell>
        </row>
        <row r="1746">
          <cell r="A1746" t="str">
            <v>SF305-WX-1AT</v>
          </cell>
          <cell r="B1746" t="str">
            <v>FG-G</v>
          </cell>
          <cell r="J1746" t="e">
            <v>#N/A</v>
          </cell>
        </row>
        <row r="1747">
          <cell r="A1747" t="str">
            <v>CW159-IA-1AY</v>
          </cell>
          <cell r="B1747" t="str">
            <v>FG-G</v>
          </cell>
          <cell r="J1747" t="e">
            <v>#N/A</v>
          </cell>
        </row>
        <row r="1748">
          <cell r="A1748" t="str">
            <v>CW159-IW-1BY</v>
          </cell>
          <cell r="B1748" t="str">
            <v>FG-G</v>
          </cell>
          <cell r="J1748" t="e">
            <v>#N/A</v>
          </cell>
        </row>
        <row r="1749">
          <cell r="A1749" t="str">
            <v>CW162-WX-1AY</v>
          </cell>
          <cell r="B1749" t="str">
            <v>FG-G</v>
          </cell>
          <cell r="J1749" t="e">
            <v>#N/A</v>
          </cell>
        </row>
        <row r="1750">
          <cell r="A1750" t="str">
            <v>SF305-WX-1A</v>
          </cell>
          <cell r="B1750" t="str">
            <v>FG-G</v>
          </cell>
          <cell r="J1750" t="str">
            <v>N3511101/SHM MCA 25 KAILI WH 70X</v>
          </cell>
        </row>
        <row r="1751">
          <cell r="A1751" t="str">
            <v>SF305-WS-1A</v>
          </cell>
          <cell r="B1751" t="str">
            <v>FG-G</v>
          </cell>
          <cell r="J1751" t="str">
            <v>N3511001/SHM MCA 25 KAILI WH 70S</v>
          </cell>
        </row>
        <row r="1752">
          <cell r="A1752" t="str">
            <v>CW161-WS-1AY</v>
          </cell>
          <cell r="B1752" t="str">
            <v>FG-G</v>
          </cell>
          <cell r="J1752" t="e">
            <v>#N/A</v>
          </cell>
        </row>
        <row r="1753">
          <cell r="A1753" t="str">
            <v>CW161-WX-1AY</v>
          </cell>
          <cell r="B1753" t="str">
            <v>FG-G</v>
          </cell>
          <cell r="J1753" t="e">
            <v>#N/A</v>
          </cell>
        </row>
        <row r="1754">
          <cell r="A1754" t="str">
            <v>CW162-WS-1AY</v>
          </cell>
          <cell r="B1754" t="str">
            <v>FG-G</v>
          </cell>
          <cell r="J1754" t="e">
            <v>#N/A</v>
          </cell>
        </row>
        <row r="1755">
          <cell r="A1755" t="str">
            <v>CW166-WA-1AY</v>
          </cell>
          <cell r="B1755" t="str">
            <v>FG-G</v>
          </cell>
          <cell r="J1755" t="str">
            <v>3574J1/SF WD MCA VANQUISH 50 GR R2 (A-FLEX) DEMO</v>
          </cell>
        </row>
        <row r="1756">
          <cell r="A1756" t="str">
            <v>MR145-IR-5A</v>
          </cell>
          <cell r="B1756" t="str">
            <v>FG-G</v>
          </cell>
          <cell r="J1756" t="str">
            <v>8475980/25 MAJESTY ROYALE R</v>
          </cell>
        </row>
        <row r="1757">
          <cell r="A1757" t="str">
            <v>MR145-IR-9A</v>
          </cell>
          <cell r="B1757" t="str">
            <v>FG-G</v>
          </cell>
          <cell r="J1757" t="str">
            <v>8476004/25 MAJESTY ROYALE R</v>
          </cell>
        </row>
        <row r="1758">
          <cell r="A1758" t="str">
            <v>MR145-ISR5A</v>
          </cell>
          <cell r="B1758" t="str">
            <v>FG-G</v>
          </cell>
          <cell r="J1758" t="str">
            <v>8475998/25 MAJESTY ROYALE SR</v>
          </cell>
        </row>
        <row r="1759">
          <cell r="A1759" t="str">
            <v>MR145-ISR9A</v>
          </cell>
          <cell r="B1759" t="str">
            <v>FG-G</v>
          </cell>
          <cell r="J1759" t="str">
            <v>8476012/25 MAJESTY ROYALE SR</v>
          </cell>
        </row>
        <row r="1760">
          <cell r="A1760" t="str">
            <v>MR145-UR-3A</v>
          </cell>
          <cell r="B1760" t="str">
            <v>FG-G</v>
          </cell>
          <cell r="J1760" t="e">
            <v>#N/A</v>
          </cell>
        </row>
        <row r="1761">
          <cell r="A1761" t="str">
            <v>MR145-US-3A</v>
          </cell>
          <cell r="B1761" t="str">
            <v>FG-G</v>
          </cell>
          <cell r="J1761" t="str">
            <v>8475972/25 MAJESTY ROYALE S</v>
          </cell>
        </row>
        <row r="1762">
          <cell r="A1762" t="str">
            <v>MR145-USR3A</v>
          </cell>
          <cell r="B1762" t="str">
            <v>FG-G</v>
          </cell>
          <cell r="J1762" t="str">
            <v>8475964/25 MAJESTY ROYALE SR</v>
          </cell>
        </row>
        <row r="1763">
          <cell r="A1763" t="str">
            <v>MR145-WR-1A</v>
          </cell>
          <cell r="B1763" t="str">
            <v>FG-G</v>
          </cell>
          <cell r="J1763" t="str">
            <v>8475899/25 MAJESTY ROYALE R</v>
          </cell>
        </row>
        <row r="1764">
          <cell r="A1764" t="str">
            <v>MR145-WR-3A</v>
          </cell>
          <cell r="B1764" t="str">
            <v>FG-G</v>
          </cell>
          <cell r="J1764" t="str">
            <v>8475923/25 MAJESTY ROYALE R</v>
          </cell>
        </row>
        <row r="1765">
          <cell r="A1765" t="str">
            <v>MR145-WS-1A</v>
          </cell>
          <cell r="B1765" t="str">
            <v>FG-G</v>
          </cell>
          <cell r="J1765" t="str">
            <v>8475915/25 MAJESTY ROYALE S</v>
          </cell>
        </row>
        <row r="1766">
          <cell r="A1766" t="str">
            <v>MR145-WS-3A</v>
          </cell>
          <cell r="B1766" t="str">
            <v>FG-G</v>
          </cell>
          <cell r="J1766" t="str">
            <v>8475949/25 MAJESTY ROYALE S</v>
          </cell>
        </row>
        <row r="1767">
          <cell r="A1767" t="str">
            <v>MR145-WSR1A</v>
          </cell>
          <cell r="B1767" t="str">
            <v>FG-G</v>
          </cell>
          <cell r="J1767" t="str">
            <v>8475907/25 MAJESTY ROYALE SR</v>
          </cell>
        </row>
        <row r="1768">
          <cell r="A1768" t="str">
            <v>MR145-WSR3A</v>
          </cell>
          <cell r="B1768" t="str">
            <v>FG-G</v>
          </cell>
          <cell r="J1768" t="str">
            <v>8475931/25 MAJESTY ROYALE SR</v>
          </cell>
        </row>
        <row r="1769">
          <cell r="A1769" t="str">
            <v>MR148-IA-5A</v>
          </cell>
          <cell r="B1769" t="str">
            <v>FG-G</v>
          </cell>
          <cell r="J1769" t="str">
            <v>8476228/25 MAJESTY ROYALE A</v>
          </cell>
        </row>
        <row r="1770">
          <cell r="A1770" t="str">
            <v>MR148-IL-5A</v>
          </cell>
          <cell r="B1770" t="str">
            <v>FG-G</v>
          </cell>
          <cell r="J1770" t="str">
            <v>8476210/25 MAJESTY ROYALE L</v>
          </cell>
        </row>
        <row r="1771">
          <cell r="A1771" t="str">
            <v>MR148-UA-4A</v>
          </cell>
          <cell r="B1771" t="str">
            <v>FG-G</v>
          </cell>
          <cell r="J1771" t="str">
            <v>8476202/25 MAJESTY ROYALE A</v>
          </cell>
        </row>
        <row r="1772">
          <cell r="A1772" t="str">
            <v>MR148-UL-4A</v>
          </cell>
          <cell r="B1772" t="str">
            <v>FG-G</v>
          </cell>
          <cell r="J1772" t="str">
            <v>8476194/25 MAJESTY ROYALE L</v>
          </cell>
        </row>
        <row r="1773">
          <cell r="A1773" t="str">
            <v>MR148-WA-1A</v>
          </cell>
          <cell r="B1773" t="str">
            <v>FG-G</v>
          </cell>
          <cell r="J1773" t="str">
            <v>8476160/25 MAJESTY ROYALE A</v>
          </cell>
        </row>
        <row r="1774">
          <cell r="A1774" t="str">
            <v>MR148-WA-3A</v>
          </cell>
          <cell r="B1774" t="str">
            <v>FG-G</v>
          </cell>
          <cell r="J1774" t="str">
            <v>8476186/25 MAJESTY ROYALE A</v>
          </cell>
        </row>
        <row r="1775">
          <cell r="A1775" t="str">
            <v>MR148-WL-1A</v>
          </cell>
          <cell r="B1775" t="str">
            <v>FG-G</v>
          </cell>
          <cell r="J1775" t="str">
            <v>8476152/25 MAJESTY ROYALE L</v>
          </cell>
        </row>
        <row r="1776">
          <cell r="A1776" t="str">
            <v>MR148-WL-3A</v>
          </cell>
          <cell r="B1776" t="str">
            <v>FG-G</v>
          </cell>
          <cell r="J1776" t="str">
            <v>8476178/25 MAJESTY ROYALE L</v>
          </cell>
        </row>
        <row r="1777">
          <cell r="A1777" t="str">
            <v>CW168-WX-1A</v>
          </cell>
          <cell r="B1777" t="str">
            <v>FG-G</v>
          </cell>
          <cell r="J1777" t="str">
            <v>3570X4/SF WD MCA Manta LS 60 GR XST JV</v>
          </cell>
        </row>
        <row r="1778">
          <cell r="A1778" t="str">
            <v>CW169-WS-1A</v>
          </cell>
          <cell r="B1778" t="str">
            <v>FG-G</v>
          </cell>
          <cell r="J1778" t="str">
            <v>3573Y3/SF WD MCA Manta LS 70 GR STF JV</v>
          </cell>
        </row>
        <row r="1779">
          <cell r="A1779" t="str">
            <v>CW169-WX-1A</v>
          </cell>
          <cell r="B1779" t="str">
            <v>FG-G</v>
          </cell>
          <cell r="J1779" t="str">
            <v>3573Y4/SF WD MCA Manta LS 70 GR XST JV</v>
          </cell>
        </row>
        <row r="1780">
          <cell r="A1780" t="str">
            <v>SP397-IR-3B</v>
          </cell>
          <cell r="B1780" t="str">
            <v>FG-G</v>
          </cell>
          <cell r="J1780" t="str">
            <v>OFVBIRM/FUBUKI V562?IRON FLEX-R</v>
          </cell>
        </row>
        <row r="1781">
          <cell r="A1781" t="str">
            <v>SP397-UR-1B</v>
          </cell>
          <cell r="B1781" t="str">
            <v>FG-G</v>
          </cell>
          <cell r="J1781" t="str">
            <v>OFVBURM/FUBUKI V562ⅡUTILITY FLEX-R</v>
          </cell>
        </row>
        <row r="1782">
          <cell r="A1782" t="str">
            <v>SP397-US-1B</v>
          </cell>
          <cell r="B1782" t="str">
            <v>FG-G</v>
          </cell>
          <cell r="J1782" t="str">
            <v>OFVBUSM/FUBUKI V562ⅡUTILITY FLEX-S</v>
          </cell>
        </row>
        <row r="1783">
          <cell r="A1783" t="str">
            <v>SP397-WR-1B</v>
          </cell>
          <cell r="B1783" t="str">
            <v>FG-G</v>
          </cell>
          <cell r="J1783" t="str">
            <v>OFVBWRM/FUBUKI V562ⅡWOOD FLEX-R</v>
          </cell>
        </row>
        <row r="1784">
          <cell r="A1784" t="str">
            <v>SP397-WS-1B</v>
          </cell>
          <cell r="B1784" t="str">
            <v>FG-G</v>
          </cell>
          <cell r="J1784" t="str">
            <v>OFVBWSM/FUBUKI V562ⅡWOOD FLEX-S</v>
          </cell>
        </row>
        <row r="1785">
          <cell r="A1785" t="str">
            <v>AU228-IA-7A</v>
          </cell>
          <cell r="B1785" t="str">
            <v>FG-G</v>
          </cell>
          <cell r="J1785" t="str">
            <v>2775927/MMT AMC RED 65 R2 #7</v>
          </cell>
        </row>
        <row r="1786">
          <cell r="A1786" t="str">
            <v>AU228-IR-7A</v>
          </cell>
          <cell r="B1786" t="str">
            <v>FG-G</v>
          </cell>
          <cell r="J1786" t="str">
            <v>2775937/MMT AMC RED 65 R #7</v>
          </cell>
        </row>
        <row r="1787">
          <cell r="A1787" t="str">
            <v>AU228-IS-7A</v>
          </cell>
          <cell r="B1787" t="str">
            <v>FG-G</v>
          </cell>
          <cell r="J1787" t="str">
            <v>2775947/MMT AMC RED 65 S #7</v>
          </cell>
        </row>
        <row r="1788">
          <cell r="A1788" t="str">
            <v>AU230-IL-7A</v>
          </cell>
          <cell r="B1788" t="str">
            <v>FG-G</v>
          </cell>
          <cell r="J1788" t="str">
            <v>2775917/MMT AMC RED 55 R3 #7</v>
          </cell>
        </row>
        <row r="1789">
          <cell r="A1789" t="str">
            <v>MX890-WX-1AT</v>
          </cell>
          <cell r="B1789" t="str">
            <v>FG-G</v>
          </cell>
          <cell r="J1789" t="str">
            <v>TENSEI 1K Black 75 X-flex (DEMO)</v>
          </cell>
        </row>
        <row r="1790">
          <cell r="A1790" t="str">
            <v>MR145-IR-5B</v>
          </cell>
          <cell r="B1790" t="str">
            <v>FG-G</v>
          </cell>
          <cell r="J1790" t="str">
            <v>8476111/25 MAJESTY ROYALE R</v>
          </cell>
        </row>
        <row r="1791">
          <cell r="A1791" t="str">
            <v>MR145-IR-9B</v>
          </cell>
          <cell r="B1791" t="str">
            <v>FG-G</v>
          </cell>
          <cell r="J1791" t="str">
            <v>8476137/25 MAJESTY ROYALE R</v>
          </cell>
        </row>
        <row r="1792">
          <cell r="A1792" t="str">
            <v>MR145-ISR5B</v>
          </cell>
          <cell r="B1792" t="str">
            <v>FG-G</v>
          </cell>
          <cell r="J1792" t="str">
            <v>8476129/25 MAJESTY ROYALE SR</v>
          </cell>
        </row>
        <row r="1793">
          <cell r="A1793" t="str">
            <v>MR145-ISR9B</v>
          </cell>
          <cell r="B1793" t="str">
            <v>FG-G</v>
          </cell>
          <cell r="J1793" t="str">
            <v>8476145/25 MAJESTY ROYALE SR</v>
          </cell>
        </row>
        <row r="1794">
          <cell r="A1794" t="str">
            <v>MR145-UR-3B</v>
          </cell>
          <cell r="B1794" t="str">
            <v>FG-G</v>
          </cell>
          <cell r="J1794" t="str">
            <v>8476087/25 MAJESTY ROYALE R</v>
          </cell>
        </row>
        <row r="1795">
          <cell r="A1795" t="str">
            <v>MR145-US-3B</v>
          </cell>
          <cell r="B1795" t="str">
            <v>FG-G</v>
          </cell>
          <cell r="J1795" t="str">
            <v>8476103/25 MAJESTY ROYALE S</v>
          </cell>
        </row>
        <row r="1796">
          <cell r="A1796" t="str">
            <v>MR145-USR3B</v>
          </cell>
          <cell r="B1796" t="str">
            <v>FG-G</v>
          </cell>
          <cell r="J1796" t="str">
            <v>8476095/25 MAJESTY ROYALE SR</v>
          </cell>
        </row>
        <row r="1797">
          <cell r="A1797" t="str">
            <v>MR145-WR-1B</v>
          </cell>
          <cell r="B1797" t="str">
            <v>FG-G</v>
          </cell>
          <cell r="J1797" t="str">
            <v>8476020/25 MAJESTY ROYALE R</v>
          </cell>
        </row>
        <row r="1798">
          <cell r="A1798" t="str">
            <v>MR145-WR-3B</v>
          </cell>
          <cell r="B1798" t="str">
            <v>FG-G</v>
          </cell>
          <cell r="J1798" t="str">
            <v>8476053/25 MAJESTY ROYALE R</v>
          </cell>
        </row>
        <row r="1799">
          <cell r="A1799" t="str">
            <v>MR145-WS-1B</v>
          </cell>
          <cell r="B1799" t="str">
            <v>FG-G</v>
          </cell>
          <cell r="J1799" t="e">
            <v>#N/A</v>
          </cell>
        </row>
        <row r="1800">
          <cell r="A1800" t="str">
            <v>MR145-WS-3B</v>
          </cell>
          <cell r="B1800" t="str">
            <v>FG-G</v>
          </cell>
          <cell r="J1800" t="str">
            <v>8476079/25 MAJESTY ROYALE S</v>
          </cell>
        </row>
        <row r="1801">
          <cell r="A1801" t="str">
            <v>MR145-WSR1B</v>
          </cell>
          <cell r="B1801" t="str">
            <v>FG-G</v>
          </cell>
          <cell r="J1801" t="str">
            <v>8476038/25 MAJESTY ROYALE SR</v>
          </cell>
        </row>
        <row r="1802">
          <cell r="A1802" t="str">
            <v>MR145-WSR3B</v>
          </cell>
          <cell r="B1802" t="str">
            <v>FG-G</v>
          </cell>
          <cell r="J1802" t="str">
            <v>8476061/25 MAJESTY ROYALE SR</v>
          </cell>
        </row>
        <row r="1803">
          <cell r="A1803" t="str">
            <v>MX681-IS-SBO</v>
          </cell>
          <cell r="B1803" t="str">
            <v>FG-G</v>
          </cell>
          <cell r="J1803" t="e">
            <v>#N/A</v>
          </cell>
        </row>
        <row r="1804">
          <cell r="A1804" t="str">
            <v>MX721-IS-4AO</v>
          </cell>
          <cell r="B1804" t="str">
            <v>FG-G</v>
          </cell>
          <cell r="J1804" t="str">
            <v>MMT TAPER IRON 125 S-FLEX 38.5</v>
          </cell>
        </row>
        <row r="1805">
          <cell r="A1805" t="str">
            <v>MX721-IS-5AO</v>
          </cell>
          <cell r="B1805" t="str">
            <v>FG-G</v>
          </cell>
          <cell r="J1805" t="str">
            <v>MMT™ Taper Iron 125 S-flex (0.355 taper) 38"</v>
          </cell>
        </row>
        <row r="1806">
          <cell r="A1806" t="str">
            <v>MX721-IS-6AO</v>
          </cell>
          <cell r="B1806" t="str">
            <v>FG-G</v>
          </cell>
          <cell r="J1806" t="str">
            <v>MMT TAPER IRON 125 S-FLEX 37.5</v>
          </cell>
        </row>
        <row r="1807">
          <cell r="A1807" t="str">
            <v>MX721-IS-7AO</v>
          </cell>
          <cell r="B1807" t="str">
            <v>FG-G</v>
          </cell>
          <cell r="J1807" t="str">
            <v>MMT TAPER IRON 125 S-FLEX 37.0</v>
          </cell>
        </row>
        <row r="1808">
          <cell r="A1808" t="str">
            <v>MX721-IS-8AO</v>
          </cell>
          <cell r="B1808" t="str">
            <v>FG-G</v>
          </cell>
          <cell r="J1808" t="str">
            <v>MMT™ Taper Iron 125 S-flex (0.355 taper) 36.5"</v>
          </cell>
        </row>
        <row r="1809">
          <cell r="A1809" t="str">
            <v>MX721-IS-9AO</v>
          </cell>
          <cell r="B1809" t="str">
            <v>FG-G</v>
          </cell>
          <cell r="J1809" t="str">
            <v>MMT TAPER IRON 125 S-FLEX 36.0</v>
          </cell>
        </row>
        <row r="1810">
          <cell r="A1810" t="str">
            <v>MX721-IS-PAO</v>
          </cell>
          <cell r="B1810" t="str">
            <v>FG-G</v>
          </cell>
          <cell r="J1810" t="str">
            <v>MMT TAPER IRON 125 S-FLEX 35.5</v>
          </cell>
        </row>
        <row r="1811">
          <cell r="A1811" t="str">
            <v>MX721-ITXSBO</v>
          </cell>
          <cell r="B1811" t="str">
            <v>FG-G</v>
          </cell>
          <cell r="J1811" t="str">
            <v>MMT SCORING WEDGE 125 TX-FLEX (0.355 TAPER)</v>
          </cell>
        </row>
        <row r="1812">
          <cell r="A1812" t="str">
            <v>CW166-IA-1AY</v>
          </cell>
          <cell r="B1812" t="str">
            <v>FG-G</v>
          </cell>
          <cell r="J1812" t="str">
            <v>3574T1/SF IR/HY MCA VANQUISH 50 GR R2 DEMO</v>
          </cell>
        </row>
        <row r="1813">
          <cell r="A1813" t="str">
            <v>MX890-WS-1AT</v>
          </cell>
          <cell r="B1813" t="str">
            <v>FG-G</v>
          </cell>
          <cell r="J1813" t="str">
            <v>TENSEI 1K Black 75 S-flex (DEMO)</v>
          </cell>
        </row>
        <row r="1814">
          <cell r="A1814" t="str">
            <v>SF299-WX-1B</v>
          </cell>
          <cell r="B1814" t="str">
            <v>FG-G</v>
          </cell>
          <cell r="J1814" t="str">
            <v>N3407101/SHD Diamana Black 2025 TM60 X</v>
          </cell>
        </row>
        <row r="1815">
          <cell r="A1815" t="str">
            <v>YR185-IL-6A</v>
          </cell>
          <cell r="B1815" t="str">
            <v>FG-G</v>
          </cell>
          <cell r="J1815" t="str">
            <v>LI251-30365/2025 LADIES IRON M30 #6</v>
          </cell>
        </row>
        <row r="1816">
          <cell r="A1816" t="str">
            <v>YR185-IL-7A</v>
          </cell>
          <cell r="B1816" t="str">
            <v>FG-G</v>
          </cell>
          <cell r="J1816" t="str">
            <v>LI251-30360/2025 LADIES IRON M30 #7</v>
          </cell>
        </row>
        <row r="1817">
          <cell r="A1817" t="str">
            <v>YR185-IL-8A</v>
          </cell>
          <cell r="B1817" t="str">
            <v>FG-G</v>
          </cell>
          <cell r="J1817" t="str">
            <v>LI251-30355/2025 LADIES IRON M30 #8</v>
          </cell>
        </row>
        <row r="1818">
          <cell r="A1818" t="str">
            <v>YR185-IL-9A</v>
          </cell>
          <cell r="B1818" t="str">
            <v>FG-G</v>
          </cell>
          <cell r="J1818" t="str">
            <v>LI251-30350/2025 LADIES IRON M30 #9</v>
          </cell>
        </row>
        <row r="1819">
          <cell r="A1819" t="str">
            <v>YR185-ILA6A</v>
          </cell>
          <cell r="B1819" t="str">
            <v>FG-G</v>
          </cell>
          <cell r="J1819" t="str">
            <v>LI251-34365/2025 LADIES IRON M34 #6</v>
          </cell>
        </row>
        <row r="1820">
          <cell r="A1820" t="str">
            <v>YR185-ILA7A</v>
          </cell>
          <cell r="B1820" t="str">
            <v>FG-G</v>
          </cell>
          <cell r="J1820" t="str">
            <v>LI251-34360/2025 LADIES IRON M34 #7</v>
          </cell>
        </row>
        <row r="1821">
          <cell r="A1821" t="str">
            <v>YR185-ILA8A</v>
          </cell>
          <cell r="B1821" t="str">
            <v>FG-G</v>
          </cell>
          <cell r="J1821" t="str">
            <v>LI251-34355/2025 LADIES IRON M34 #8</v>
          </cell>
        </row>
        <row r="1822">
          <cell r="A1822" t="str">
            <v>YR185-ILA9A</v>
          </cell>
          <cell r="B1822" t="str">
            <v>FG-G</v>
          </cell>
          <cell r="J1822" t="str">
            <v>LI251-34350/2025 LADIES IRON M34 #9</v>
          </cell>
        </row>
        <row r="1823">
          <cell r="A1823" t="str">
            <v>YR185-IL-AA</v>
          </cell>
          <cell r="B1823" t="str">
            <v>FG-G</v>
          </cell>
          <cell r="J1823" t="str">
            <v>LI251-30340/2025 LADIES IRON M30 #A</v>
          </cell>
        </row>
        <row r="1824">
          <cell r="A1824" t="str">
            <v>YR185-ILAAA</v>
          </cell>
          <cell r="B1824" t="str">
            <v>FG-G</v>
          </cell>
          <cell r="J1824" t="str">
            <v>LI251-34340/2025 LADIES IRON M34 #A</v>
          </cell>
        </row>
        <row r="1825">
          <cell r="A1825" t="str">
            <v>YR185-ILAPA</v>
          </cell>
          <cell r="B1825" t="str">
            <v>FG-G</v>
          </cell>
          <cell r="J1825" t="str">
            <v>LI251-34345/2025 LADIES IRON M34 #P</v>
          </cell>
        </row>
        <row r="1826">
          <cell r="A1826" t="str">
            <v>YR185-IL-PA</v>
          </cell>
          <cell r="B1826" t="str">
            <v>FG-G</v>
          </cell>
          <cell r="J1826" t="str">
            <v>LI251-30345/2025 LADIES IRON M30 #P</v>
          </cell>
        </row>
        <row r="1827">
          <cell r="A1827" t="str">
            <v>YR185-UL-4A</v>
          </cell>
          <cell r="B1827" t="str">
            <v>FG-G</v>
          </cell>
          <cell r="J1827" t="str">
            <v>LU251-30D/2025 LADIES UT M30</v>
          </cell>
        </row>
        <row r="1828">
          <cell r="A1828" t="str">
            <v>YR185-ULA4A</v>
          </cell>
          <cell r="B1828" t="str">
            <v>FG-G</v>
          </cell>
          <cell r="J1828" t="str">
            <v>LU251-34D/2025 LADIES UT M34</v>
          </cell>
        </row>
        <row r="1829">
          <cell r="A1829" t="str">
            <v>YR185-WL-1A</v>
          </cell>
          <cell r="B1829" t="str">
            <v>FG-G</v>
          </cell>
          <cell r="J1829" t="str">
            <v>LD251-30A/2025 LADIES DRIVER M30</v>
          </cell>
        </row>
        <row r="1830">
          <cell r="A1830" t="str">
            <v>YR185-WL-3A</v>
          </cell>
          <cell r="B1830" t="str">
            <v>FG-G</v>
          </cell>
          <cell r="J1830" t="str">
            <v>LF251-30C/2025 LADIES FW M30</v>
          </cell>
        </row>
        <row r="1831">
          <cell r="A1831" t="str">
            <v>YR185-WLA1A</v>
          </cell>
          <cell r="B1831" t="str">
            <v>FG-G</v>
          </cell>
          <cell r="J1831" t="str">
            <v>LD251-34A/2025 LADIES DRIVER M34</v>
          </cell>
        </row>
        <row r="1832">
          <cell r="A1832" t="str">
            <v>YR185-WLA3A</v>
          </cell>
          <cell r="B1832" t="str">
            <v>FG-G</v>
          </cell>
          <cell r="J1832" t="str">
            <v>LF251-34C/2025 LADIES FW M34</v>
          </cell>
        </row>
        <row r="1833">
          <cell r="A1833" t="str">
            <v>MX721-ITX4A</v>
          </cell>
          <cell r="B1833" t="str">
            <v>FG-G</v>
          </cell>
          <cell r="J1833" t="str">
            <v>MMT™ Taper Iron 125 TX-flex (0.355 taper) 38.5"</v>
          </cell>
        </row>
        <row r="1834">
          <cell r="A1834" t="str">
            <v>MX721-ITX5A</v>
          </cell>
          <cell r="B1834" t="str">
            <v>FG-G</v>
          </cell>
          <cell r="J1834" t="str">
            <v>MMT™ Taper Iron 125 TX-flex (0.355 taper) 38"</v>
          </cell>
        </row>
        <row r="1835">
          <cell r="A1835" t="str">
            <v>MX721-ITX6A</v>
          </cell>
          <cell r="B1835" t="str">
            <v>FG-G</v>
          </cell>
          <cell r="J1835" t="str">
            <v>MMT™ Taper Iron 125 TX-flex (0.355 taper) 37.5"</v>
          </cell>
        </row>
        <row r="1836">
          <cell r="A1836" t="str">
            <v>MX721-ITX7A</v>
          </cell>
          <cell r="B1836" t="str">
            <v>FG-G</v>
          </cell>
          <cell r="J1836" t="str">
            <v>MMT™ Taper Iron 125 TX-flex (0.355 taper) 37"</v>
          </cell>
        </row>
        <row r="1837">
          <cell r="A1837" t="str">
            <v>MX721-ITX9A</v>
          </cell>
          <cell r="B1837" t="str">
            <v>FG-G</v>
          </cell>
          <cell r="J1837" t="str">
            <v>MMT™ Taper Iron 125 TX-flex (0.355 taper) 36"</v>
          </cell>
        </row>
        <row r="1838">
          <cell r="A1838" t="str">
            <v>MX721-ITXPA</v>
          </cell>
          <cell r="B1838" t="str">
            <v>FG-G</v>
          </cell>
          <cell r="J1838" t="str">
            <v>MMT™ Taper Iron 125 TX-flex (0.355 taper) 35.5"</v>
          </cell>
        </row>
        <row r="1839">
          <cell r="A1839" t="str">
            <v>MX728-IA-7A</v>
          </cell>
          <cell r="B1839" t="str">
            <v>FG-G</v>
          </cell>
          <cell r="J1839" t="str">
            <v>MMT™ Taper Iron 55 A-flex (0.355 taper)</v>
          </cell>
        </row>
        <row r="1840">
          <cell r="A1840" t="str">
            <v>MX728-IA-8A</v>
          </cell>
          <cell r="B1840" t="str">
            <v>FG-G</v>
          </cell>
          <cell r="J1840" t="str">
            <v>MMT™ Taper Iron 55 A-flex (0.355 taper)</v>
          </cell>
        </row>
        <row r="1841">
          <cell r="A1841" t="str">
            <v>MX728-IA-9A</v>
          </cell>
          <cell r="B1841" t="str">
            <v>FG-G</v>
          </cell>
          <cell r="J1841" t="str">
            <v>MMT™ Taper Iron 55 A-flex (0.355 taper)</v>
          </cell>
        </row>
        <row r="1842">
          <cell r="A1842" t="str">
            <v>MX729-IR-5A</v>
          </cell>
          <cell r="B1842" t="str">
            <v>FG-G</v>
          </cell>
          <cell r="J1842" t="str">
            <v>MMT™ Taper Iron 65 R-flex (0.355 taper)</v>
          </cell>
        </row>
        <row r="1843">
          <cell r="A1843" t="str">
            <v>MX729-IR-8A</v>
          </cell>
          <cell r="B1843" t="str">
            <v>FG-G</v>
          </cell>
          <cell r="J1843" t="str">
            <v>MMT™ Taper Iron 65 R-flex (0.355 taper)</v>
          </cell>
        </row>
        <row r="1844">
          <cell r="A1844" t="str">
            <v>MX729-IR-PA</v>
          </cell>
          <cell r="B1844" t="str">
            <v>FG-G</v>
          </cell>
          <cell r="J1844" t="str">
            <v>MMT™ Taper Iron 65 R-flex (0.355 taper)</v>
          </cell>
        </row>
        <row r="1845">
          <cell r="A1845" t="str">
            <v>MX892-IS-1A</v>
          </cell>
          <cell r="B1845" t="str">
            <v>FG-G</v>
          </cell>
          <cell r="J1845" t="e">
            <v>#N/A</v>
          </cell>
        </row>
        <row r="1846">
          <cell r="A1846" t="str">
            <v>CW173-WL-1A</v>
          </cell>
          <cell r="B1846" t="str">
            <v>FG-G</v>
          </cell>
          <cell r="J1846" t="str">
            <v>3577F1/SF WD MCA ELDIO 40 GR LDY JV</v>
          </cell>
        </row>
        <row r="1847">
          <cell r="A1847" t="str">
            <v>MX889-WS-1AT</v>
          </cell>
          <cell r="B1847" t="str">
            <v>FG-G</v>
          </cell>
          <cell r="J1847" t="str">
            <v>TENSEI 1K Black 65 S-flex (DEMO)</v>
          </cell>
        </row>
        <row r="1848">
          <cell r="A1848" t="str">
            <v>MX889-WX-1AT</v>
          </cell>
          <cell r="B1848" t="str">
            <v>FG-G</v>
          </cell>
          <cell r="J1848" t="str">
            <v>TENSEI 1K Black 65 X-flex (DEMO)</v>
          </cell>
        </row>
        <row r="1849">
          <cell r="A1849" t="str">
            <v>MX891-WS-1AT</v>
          </cell>
          <cell r="B1849" t="str">
            <v>FG-G</v>
          </cell>
          <cell r="J1849" t="e">
            <v>#N/A</v>
          </cell>
        </row>
        <row r="1850">
          <cell r="A1850" t="str">
            <v>MX891-WX-1AT</v>
          </cell>
          <cell r="B1850" t="str">
            <v>FG-G</v>
          </cell>
          <cell r="J1850" t="str">
            <v>TENSEI 1K Black 85 X-flex (DEMO)</v>
          </cell>
        </row>
        <row r="1851">
          <cell r="A1851" t="str">
            <v>MX933-IS-1AT</v>
          </cell>
          <cell r="B1851" t="str">
            <v>FG-G</v>
          </cell>
          <cell r="J1851" t="str">
            <v>TENSEI 1K Black Hybrid 85 S-Flex (DEMO)</v>
          </cell>
        </row>
        <row r="1852">
          <cell r="A1852" t="str">
            <v>MX933-IX-1AT</v>
          </cell>
          <cell r="B1852" t="str">
            <v>FG-G</v>
          </cell>
          <cell r="J1852" t="e">
            <v>#N/A</v>
          </cell>
        </row>
        <row r="1853">
          <cell r="A1853" t="str">
            <v>MX934-IX-1AT</v>
          </cell>
          <cell r="B1853" t="str">
            <v>FG-G</v>
          </cell>
          <cell r="J1853" t="str">
            <v>TENSEI 1K Black Hybrid 95 X-Flex (DEMO)</v>
          </cell>
        </row>
        <row r="1854">
          <cell r="A1854" t="str">
            <v>MX759-WS-1C</v>
          </cell>
          <cell r="B1854" t="str">
            <v>FG-G</v>
          </cell>
          <cell r="J1854" t="str">
            <v>KAI’LI™ DARK WAVES BLUE 60 S-FLEX</v>
          </cell>
        </row>
        <row r="1855">
          <cell r="A1855" t="str">
            <v>MX936-WS-1B</v>
          </cell>
          <cell r="B1855" t="str">
            <v>FG-G</v>
          </cell>
          <cell r="J1855" t="str">
            <v>KAI’LI™ DARK WAVES RED 50 S-FLEX</v>
          </cell>
        </row>
        <row r="1856">
          <cell r="A1856" t="str">
            <v>SX148-IR-1AR</v>
          </cell>
          <cell r="B1856" t="str">
            <v>FG-G</v>
          </cell>
          <cell r="J1856" t="str">
            <v>WORKTEC HISHO IRON FLEX-R</v>
          </cell>
        </row>
        <row r="1857">
          <cell r="A1857" t="str">
            <v>SX148-IS-1AR</v>
          </cell>
          <cell r="B1857" t="str">
            <v>FG-G</v>
          </cell>
          <cell r="J1857" t="str">
            <v>WORKTEC HISHO IRON FLEX-S</v>
          </cell>
        </row>
        <row r="1858">
          <cell r="A1858" t="str">
            <v>SX148-WR-1AR</v>
          </cell>
          <cell r="B1858" t="str">
            <v>FG-G</v>
          </cell>
          <cell r="J1858" t="str">
            <v>WORKTEC HISHO FLEX-R</v>
          </cell>
        </row>
        <row r="1859">
          <cell r="A1859" t="str">
            <v>SX148-WS-1AR</v>
          </cell>
          <cell r="B1859" t="str">
            <v>FG-G</v>
          </cell>
          <cell r="J1859" t="str">
            <v>WORKTEC HISHO FLEX-S</v>
          </cell>
        </row>
        <row r="1860">
          <cell r="A1860" t="str">
            <v>SX148-WSR1AR</v>
          </cell>
          <cell r="B1860" t="str">
            <v>FG-G</v>
          </cell>
          <cell r="J1860" t="str">
            <v>WORKTEC HISHO FLEX-SR</v>
          </cell>
        </row>
        <row r="1861">
          <cell r="A1861" t="str">
            <v>CW173-IL-2A</v>
          </cell>
          <cell r="B1861" t="str">
            <v>FG-G</v>
          </cell>
          <cell r="J1861" t="str">
            <v>3576L1/SF IR/HY MCA ELDIO 40 GR LDY JV</v>
          </cell>
        </row>
        <row r="1862">
          <cell r="A1862" t="str">
            <v>YR187-IS-5A</v>
          </cell>
          <cell r="B1862" t="str">
            <v>FG-G</v>
          </cell>
          <cell r="J1862" t="str">
            <v>DIAM-43390/DIAM-IRONS FLEX-S</v>
          </cell>
        </row>
        <row r="1863">
          <cell r="A1863" t="str">
            <v>YR187-IS-6A</v>
          </cell>
          <cell r="B1863" t="str">
            <v>FG-G</v>
          </cell>
          <cell r="J1863" t="str">
            <v>DIAM-43385/DIAM-IRONS FLEX-S</v>
          </cell>
        </row>
        <row r="1864">
          <cell r="A1864" t="str">
            <v>YR187-IS-7A</v>
          </cell>
          <cell r="B1864" t="str">
            <v>FG-G</v>
          </cell>
          <cell r="J1864" t="str">
            <v>DIAM-43380/DIAM-IRONS FLEX-S</v>
          </cell>
        </row>
        <row r="1865">
          <cell r="A1865" t="str">
            <v>YR187-IS-8A</v>
          </cell>
          <cell r="B1865" t="str">
            <v>FG-G</v>
          </cell>
          <cell r="J1865" t="str">
            <v>DIAM-43375/DIAM-IRONS FLEX-S</v>
          </cell>
        </row>
        <row r="1866">
          <cell r="A1866" t="str">
            <v>YR187-IS-9A</v>
          </cell>
          <cell r="B1866" t="str">
            <v>FG-G</v>
          </cell>
          <cell r="J1866" t="str">
            <v>DIAM-43370/DIAM-IRONS FLEX-S</v>
          </cell>
        </row>
        <row r="1867">
          <cell r="A1867" t="str">
            <v>YR187-IS-AA</v>
          </cell>
          <cell r="B1867" t="str">
            <v>FG-G</v>
          </cell>
          <cell r="J1867" t="str">
            <v>DIAM-43360/DIAM-IRONS FLEX-S</v>
          </cell>
        </row>
        <row r="1868">
          <cell r="A1868" t="str">
            <v>YR187-IS-PA</v>
          </cell>
          <cell r="B1868" t="str">
            <v>FG-G</v>
          </cell>
          <cell r="J1868" t="str">
            <v>DIAM-43365/DIAM-IRONS FLEX-S</v>
          </cell>
        </row>
        <row r="1869">
          <cell r="A1869" t="str">
            <v>YR187-ISR5A</v>
          </cell>
          <cell r="B1869" t="str">
            <v>FG-G</v>
          </cell>
          <cell r="J1869" t="str">
            <v>DIAM-40390/DIAM-IRONS FLEX-SR</v>
          </cell>
        </row>
        <row r="1870">
          <cell r="A1870" t="str">
            <v>YR187-ISR6A</v>
          </cell>
          <cell r="B1870" t="str">
            <v>FG-G</v>
          </cell>
          <cell r="J1870" t="str">
            <v>DIAM-40385/DIAM-IRONS FLEX-SR</v>
          </cell>
        </row>
        <row r="1871">
          <cell r="A1871" t="str">
            <v>YR187-ISR7A</v>
          </cell>
          <cell r="B1871" t="str">
            <v>FG-G</v>
          </cell>
          <cell r="J1871" t="str">
            <v>DIAM-40380/DIAM-IRONS FLEX-SR</v>
          </cell>
        </row>
        <row r="1872">
          <cell r="A1872" t="str">
            <v>YR187-ISR8A</v>
          </cell>
          <cell r="B1872" t="str">
            <v>FG-G</v>
          </cell>
          <cell r="J1872" t="str">
            <v>DIAM-40375/DIAM-IRONS FLEX-SR</v>
          </cell>
        </row>
        <row r="1873">
          <cell r="A1873" t="str">
            <v>YR187-ISR9A</v>
          </cell>
          <cell r="B1873" t="str">
            <v>FG-G</v>
          </cell>
          <cell r="J1873" t="str">
            <v>DIAM-40370/DIAM-IRONS FLEX-SR</v>
          </cell>
        </row>
        <row r="1874">
          <cell r="A1874" t="str">
            <v>YR187-ISRAA</v>
          </cell>
          <cell r="B1874" t="str">
            <v>FG-G</v>
          </cell>
          <cell r="J1874" t="str">
            <v>DIAM-40360/DIAM-IRONS FLEX-SR</v>
          </cell>
        </row>
        <row r="1875">
          <cell r="A1875" t="str">
            <v>YR187-ISRPA</v>
          </cell>
          <cell r="B1875" t="str">
            <v>FG-G</v>
          </cell>
          <cell r="J1875" t="str">
            <v>DIAM-40365/DIAM-IRONS FLEX-SR</v>
          </cell>
        </row>
        <row r="1876">
          <cell r="A1876" t="str">
            <v>YR187-ISRSA</v>
          </cell>
          <cell r="B1876" t="str">
            <v>FG-G</v>
          </cell>
          <cell r="J1876" t="str">
            <v>DIAM-40355/DIAM-IRONS FLEX-SR</v>
          </cell>
        </row>
        <row r="1877">
          <cell r="A1877" t="str">
            <v>YR187-IS-SA</v>
          </cell>
          <cell r="B1877" t="str">
            <v>FG-G</v>
          </cell>
          <cell r="J1877" t="str">
            <v>DIAM-43355/DIAM-IRONS FLEX-S</v>
          </cell>
        </row>
        <row r="1878">
          <cell r="A1878" t="str">
            <v>AU231-ILL7A</v>
          </cell>
          <cell r="B1878" t="str">
            <v>FG-G</v>
          </cell>
          <cell r="J1878" t="str">
            <v>2775907/MMT AMC RED 45 R4 #7</v>
          </cell>
        </row>
        <row r="1879">
          <cell r="A1879" t="str">
            <v>MX981-WR-1A</v>
          </cell>
          <cell r="B1879" t="str">
            <v>FG-G</v>
          </cell>
          <cell r="J1879" t="str">
            <v>KAI’LI™ DARK WAVES CB BLUE 60 R-FLEX</v>
          </cell>
        </row>
        <row r="1880">
          <cell r="A1880" t="str">
            <v>MX981-WS-1A</v>
          </cell>
          <cell r="B1880" t="str">
            <v>FG-G</v>
          </cell>
          <cell r="J1880" t="str">
            <v>KAI’LI™ DARK WAVES CB BLUE 60 S-FLEX</v>
          </cell>
        </row>
        <row r="1881">
          <cell r="A1881" t="str">
            <v>MX981-WX-1A</v>
          </cell>
          <cell r="B1881" t="str">
            <v>FG-G</v>
          </cell>
          <cell r="J1881" t="str">
            <v>KAI’LI™ DARK WAVES CB BLUE 60 X-FLEX</v>
          </cell>
        </row>
        <row r="1882">
          <cell r="A1882" t="str">
            <v>HI007-IX-3F</v>
          </cell>
          <cell r="B1882" t="str">
            <v>FG-G</v>
          </cell>
          <cell r="J1882" t="str">
            <v>70082/Whiz 95 Graphite - Lime X-FLEX</v>
          </cell>
        </row>
        <row r="1883">
          <cell r="A1883" t="str">
            <v>MX726-IS-3A</v>
          </cell>
          <cell r="B1883" t="str">
            <v>FG-G</v>
          </cell>
          <cell r="J1883" t="str">
            <v>MMT™ Taper Iron 85 S-flex (0.355 taper)</v>
          </cell>
        </row>
        <row r="1884">
          <cell r="A1884" t="str">
            <v>MX727-IS-1A</v>
          </cell>
          <cell r="B1884" t="str">
            <v>FG-G</v>
          </cell>
          <cell r="J1884" t="str">
            <v>MMT™ Iron 90 S-flex (Parallel)</v>
          </cell>
        </row>
        <row r="1885">
          <cell r="A1885" t="str">
            <v>MX701-IS-1A</v>
          </cell>
          <cell r="B1885" t="str">
            <v>FG-G</v>
          </cell>
          <cell r="J1885" t="str">
            <v>MMT™ Iron 80 S-flex (Parallel)</v>
          </cell>
        </row>
        <row r="1886">
          <cell r="A1886" t="str">
            <v>MX701-IR-1A</v>
          </cell>
          <cell r="B1886" t="str">
            <v>FG-G</v>
          </cell>
          <cell r="J1886" t="str">
            <v>MMT™ Iron 80 R-flex (Parallel)</v>
          </cell>
        </row>
        <row r="1887">
          <cell r="A1887" t="str">
            <v>MX700-IR-1A</v>
          </cell>
          <cell r="B1887" t="str">
            <v>FG-G</v>
          </cell>
          <cell r="J1887" t="str">
            <v>MMT™ Iron 70 R-flex (Parallel)</v>
          </cell>
        </row>
        <row r="1888">
          <cell r="A1888" t="str">
            <v>MX699-IA-1A</v>
          </cell>
          <cell r="B1888" t="str">
            <v>FG-G</v>
          </cell>
          <cell r="J1888" t="str">
            <v>MMT™ Iron 60 A-flex (Parallel)</v>
          </cell>
        </row>
        <row r="1889">
          <cell r="A1889" t="str">
            <v>MX982-WS-1A</v>
          </cell>
          <cell r="B1889" t="str">
            <v>FG-G</v>
          </cell>
          <cell r="J1889" t="str">
            <v>KAI’LI™ DARK WAVES CB BLUE 70 S-FLEX</v>
          </cell>
        </row>
        <row r="1890">
          <cell r="A1890" t="str">
            <v>MX982-WX-1A</v>
          </cell>
          <cell r="B1890" t="str">
            <v>FG-G</v>
          </cell>
          <cell r="J1890" t="str">
            <v>KAI’LI™ DARK WAVES CB BLUE 70 X-FLEX</v>
          </cell>
        </row>
        <row r="1891">
          <cell r="A1891" t="str">
            <v>MX759-WR-1CO</v>
          </cell>
          <cell r="B1891" t="str">
            <v>FG-G</v>
          </cell>
          <cell r="J1891" t="str">
            <v>SF WD MCA KAILI Dark Waves BLU 60R</v>
          </cell>
        </row>
        <row r="1892">
          <cell r="A1892" t="str">
            <v>MX759-WS-1CO</v>
          </cell>
          <cell r="B1892" t="str">
            <v>FG-G</v>
          </cell>
          <cell r="J1892" t="str">
            <v>KAI’LI BLUE 60 S-Flex (DEMO)</v>
          </cell>
        </row>
        <row r="1893">
          <cell r="A1893" t="str">
            <v>MX759-WX-1CO</v>
          </cell>
          <cell r="B1893" t="str">
            <v>FG-G</v>
          </cell>
          <cell r="J1893" t="str">
            <v>KAI’LI BLUE 60 X-Flex (DEMO)</v>
          </cell>
        </row>
        <row r="1894">
          <cell r="A1894" t="str">
            <v>MX760-WS-1CO</v>
          </cell>
          <cell r="B1894" t="str">
            <v>FG-G</v>
          </cell>
          <cell r="J1894" t="str">
            <v>KAI’LI BLUE 70 S-Flex (DEMO)</v>
          </cell>
        </row>
        <row r="1895">
          <cell r="A1895" t="str">
            <v>MX760-WX-1CO</v>
          </cell>
          <cell r="B1895" t="str">
            <v>FG-G</v>
          </cell>
          <cell r="J1895" t="str">
            <v>KAI’LI BLUE 70 X-Flex (DEMO)</v>
          </cell>
        </row>
        <row r="1896">
          <cell r="A1896" t="str">
            <v>MX783-WS-1CO</v>
          </cell>
          <cell r="B1896" t="str">
            <v>FG-G</v>
          </cell>
          <cell r="J1896" t="str">
            <v>SF WD MCA KAILI Dark Waves WHT 60S</v>
          </cell>
        </row>
        <row r="1897">
          <cell r="A1897" t="str">
            <v>MX783-WX-1CO</v>
          </cell>
          <cell r="B1897" t="str">
            <v>FG-G</v>
          </cell>
          <cell r="J1897" t="str">
            <v>SF WD MCA KAILI Dark Waves WHT 60X</v>
          </cell>
        </row>
        <row r="1898">
          <cell r="A1898" t="str">
            <v>MX784-WS-1DO</v>
          </cell>
          <cell r="B1898" t="str">
            <v>FG-G</v>
          </cell>
          <cell r="J1898" t="str">
            <v>SF WD MCA KAILI Dark Waves WHT 70S</v>
          </cell>
        </row>
        <row r="1899">
          <cell r="A1899" t="str">
            <v>MX784-WX-1DO</v>
          </cell>
          <cell r="B1899" t="str">
            <v>FG-G</v>
          </cell>
          <cell r="J1899" t="str">
            <v>Kaili Dark Waves White 70 X-FLEX</v>
          </cell>
        </row>
        <row r="1900">
          <cell r="A1900" t="str">
            <v>MX824-WR-1CO</v>
          </cell>
          <cell r="B1900" t="str">
            <v>FG-G</v>
          </cell>
          <cell r="J1900" t="str">
            <v>SF WD MCA KAILI Dark Waves BLU 50R</v>
          </cell>
        </row>
        <row r="1901">
          <cell r="A1901" t="str">
            <v>MX876-WR-1BO</v>
          </cell>
          <cell r="B1901" t="str">
            <v>FG-G</v>
          </cell>
          <cell r="J1901" t="str">
            <v>SF WD MCA KAILI Dark Waves RED 60R</v>
          </cell>
        </row>
        <row r="1902">
          <cell r="A1902" t="str">
            <v>MX876-WS-1BO</v>
          </cell>
          <cell r="B1902" t="str">
            <v>FG-G</v>
          </cell>
          <cell r="J1902" t="str">
            <v>SF WD MCA KAILI Dark Waves RED 60S</v>
          </cell>
        </row>
        <row r="1903">
          <cell r="A1903" t="str">
            <v>MX877-WS-1BO</v>
          </cell>
          <cell r="B1903" t="str">
            <v>FG-G</v>
          </cell>
          <cell r="J1903" t="str">
            <v>SF WD MCA KAILI Dark Waves RED 70S</v>
          </cell>
        </row>
        <row r="1904">
          <cell r="A1904" t="str">
            <v>MX877-WX-1BO</v>
          </cell>
          <cell r="B1904" t="str">
            <v>FG-G</v>
          </cell>
          <cell r="J1904" t="str">
            <v>SF WD MCA KAILI Dark Waves RED 70X</v>
          </cell>
        </row>
        <row r="1905">
          <cell r="A1905" t="str">
            <v>MX936-WR-1BO</v>
          </cell>
          <cell r="B1905" t="str">
            <v>FG-G</v>
          </cell>
          <cell r="J1905" t="str">
            <v>SF WD MCA KAILI Dark Waves RED 50R</v>
          </cell>
        </row>
        <row r="1906">
          <cell r="A1906" t="str">
            <v>MX981-WR-1AO</v>
          </cell>
          <cell r="B1906" t="str">
            <v>FG-G</v>
          </cell>
          <cell r="J1906" t="str">
            <v>SF WD MCA KAILI Dark Waves CB 60R</v>
          </cell>
        </row>
        <row r="1907">
          <cell r="A1907" t="str">
            <v>MX981-WS-1AO</v>
          </cell>
          <cell r="B1907" t="str">
            <v>FG-G</v>
          </cell>
          <cell r="J1907" t="str">
            <v>SF WD MCA KAILI Dark Waves CB 60S</v>
          </cell>
        </row>
        <row r="1908">
          <cell r="A1908" t="str">
            <v>MX981-WX-1AO</v>
          </cell>
          <cell r="B1908" t="str">
            <v>FG-G</v>
          </cell>
          <cell r="J1908" t="str">
            <v>SF WD MCA KAILI Dark Waves CB 60X</v>
          </cell>
        </row>
        <row r="1909">
          <cell r="A1909" t="str">
            <v>MX982-WS-1AO</v>
          </cell>
          <cell r="B1909" t="str">
            <v>FG-G</v>
          </cell>
          <cell r="J1909" t="str">
            <v>SF WD MCA KAILI Dark Waves CB 70S</v>
          </cell>
        </row>
        <row r="1910">
          <cell r="A1910" t="str">
            <v>MX982-WX-1AO</v>
          </cell>
          <cell r="B1910" t="str">
            <v>FG-G</v>
          </cell>
          <cell r="J1910" t="str">
            <v>SF WD MCA KAILI Dark Waves CB 70X</v>
          </cell>
        </row>
        <row r="1911">
          <cell r="A1911" t="str">
            <v>MX991-WS-1AO</v>
          </cell>
          <cell r="B1911" t="str">
            <v>FG-G</v>
          </cell>
          <cell r="J1911" t="str">
            <v>SF WD MCA TENSEI 1K Blue 55 S FIT</v>
          </cell>
        </row>
        <row r="1912">
          <cell r="A1912" t="str">
            <v>MX991-WR-1AO</v>
          </cell>
          <cell r="B1912" t="str">
            <v>FG-G</v>
          </cell>
          <cell r="J1912" t="str">
            <v>SF WD MCA TENSEI 1K Blue 55 R FIT</v>
          </cell>
        </row>
        <row r="1913">
          <cell r="A1913" t="str">
            <v>MX992-WR-1AO</v>
          </cell>
          <cell r="B1913" t="str">
            <v>FG-G</v>
          </cell>
          <cell r="J1913" t="str">
            <v>TENSEI 1K Blue 65 R-Flex</v>
          </cell>
        </row>
        <row r="1914">
          <cell r="A1914" t="str">
            <v>AX173-IA-3VC</v>
          </cell>
          <cell r="B1914" t="str">
            <v>FG-G</v>
          </cell>
          <cell r="J1914" t="str">
            <v>70217/WHIZ 60H - SHADOW BLACK - SHAFT HYBRID</v>
          </cell>
        </row>
        <row r="1915">
          <cell r="A1915" t="str">
            <v>AX187-WA-1VC</v>
          </cell>
          <cell r="B1915" t="str">
            <v>FG-G</v>
          </cell>
          <cell r="J1915" t="str">
            <v>70223/WHIZ 55W - SHADOW BLACK - SHAFT WOOD</v>
          </cell>
        </row>
        <row r="1916">
          <cell r="A1916" t="str">
            <v>AX188-WR-1VC</v>
          </cell>
          <cell r="B1916" t="str">
            <v>FG-G</v>
          </cell>
          <cell r="J1916" t="str">
            <v>70225/WHIZ 65W - SHADOW BLACK - SHAFT WOOD</v>
          </cell>
        </row>
        <row r="1917">
          <cell r="A1917" t="str">
            <v>AX173-IA-3VF</v>
          </cell>
          <cell r="B1917" t="str">
            <v>FG-G</v>
          </cell>
          <cell r="J1917" t="str">
            <v>70218/WHIZ 60H - OCEAN BLUE - SHAFT HYBRID</v>
          </cell>
        </row>
        <row r="1918">
          <cell r="A1918" t="str">
            <v>AX173-IR-3VF</v>
          </cell>
          <cell r="B1918" t="str">
            <v>FG-G</v>
          </cell>
          <cell r="J1918" t="str">
            <v>70220/WHIZ 70H - OCEAN BLUE - SHAFT HYBRID</v>
          </cell>
        </row>
        <row r="1919">
          <cell r="A1919" t="str">
            <v>AX187-WA-1VF</v>
          </cell>
          <cell r="B1919" t="str">
            <v>FG-G</v>
          </cell>
          <cell r="J1919" t="str">
            <v>70224/WHIZ 55W - OCEAN BLUE - SHAFT WOOD</v>
          </cell>
        </row>
        <row r="1920">
          <cell r="A1920" t="str">
            <v>AX191-WS-1VF</v>
          </cell>
          <cell r="B1920" t="str">
            <v>FG-G</v>
          </cell>
          <cell r="J1920" t="str">
            <v>70232/WHIZ 80W+ - OCEAN BLUE - SHAFT WOOD</v>
          </cell>
        </row>
        <row r="1921">
          <cell r="A1921" t="str">
            <v>AX189-WA-1VF</v>
          </cell>
          <cell r="B1921" t="str">
            <v>FG-G</v>
          </cell>
          <cell r="J1921" t="str">
            <v>70228/WHIZ 55W+ - OCEAN BLUE - SHAFT WOOD</v>
          </cell>
        </row>
        <row r="1922">
          <cell r="A1922" t="str">
            <v>AX190-WR-1VC</v>
          </cell>
          <cell r="B1922" t="str">
            <v>FG-G</v>
          </cell>
          <cell r="J1922" t="str">
            <v>70229/WHIZ 65W+- SHADOW BLACK - SHAFT WOOD</v>
          </cell>
        </row>
        <row r="1923">
          <cell r="A1923" t="str">
            <v>AX190-WR-1VF</v>
          </cell>
          <cell r="B1923" t="str">
            <v>FG-G</v>
          </cell>
          <cell r="J1923" t="str">
            <v>70230/WHIZ 65W+ - OCEAN BLUE - SHAFT WOOD</v>
          </cell>
        </row>
        <row r="1924">
          <cell r="A1924" t="str">
            <v>AX196-WA-1VC</v>
          </cell>
          <cell r="B1924" t="str">
            <v>FG-G</v>
          </cell>
          <cell r="J1924" t="str">
            <v>70221/WHIZ 40W - SHADOW BLACK - SHAFT WOOD</v>
          </cell>
        </row>
        <row r="1925">
          <cell r="A1925" t="str">
            <v>AX198-IL-1VC</v>
          </cell>
          <cell r="B1925" t="str">
            <v>FG-G</v>
          </cell>
          <cell r="J1925" t="str">
            <v>70215/WHIZ 50H - SHADOW BLACK - SHAFT HYBRID</v>
          </cell>
        </row>
        <row r="1926">
          <cell r="A1926" t="str">
            <v>CW116-IS-3AY</v>
          </cell>
          <cell r="B1926" t="str">
            <v>FG-G</v>
          </cell>
          <cell r="J1926" t="str">
            <v>3579T3/SF WD HY MITSUBISHI MMT 80 GR STF FIT</v>
          </cell>
        </row>
        <row r="1927">
          <cell r="A1927" t="str">
            <v>CW116-IX-3AY</v>
          </cell>
          <cell r="B1927" t="str">
            <v>FG-G</v>
          </cell>
          <cell r="J1927" t="str">
            <v>3579T4/SF WD HY MITSUBISHI MMT 80 GR XST FIT</v>
          </cell>
        </row>
        <row r="1928">
          <cell r="A1928" t="str">
            <v>AU232-IR-7A</v>
          </cell>
          <cell r="B1928" t="str">
            <v>FG-G</v>
          </cell>
          <cell r="J1928" t="str">
            <v>2775957/MMT AMC BLUE 85 R #7</v>
          </cell>
        </row>
        <row r="1929">
          <cell r="A1929" t="str">
            <v>AU232-IS-7A</v>
          </cell>
          <cell r="B1929" t="str">
            <v>FG-G</v>
          </cell>
          <cell r="J1929" t="str">
            <v>2775967/MMT AMC BLUE 85 S #7</v>
          </cell>
        </row>
        <row r="1930">
          <cell r="A1930" t="str">
            <v>MX759-WR-1C</v>
          </cell>
          <cell r="B1930" t="str">
            <v>FG-G</v>
          </cell>
          <cell r="J1930" t="str">
            <v>KAI’LI™ DARK WAVES BLUE 60 R-FLEX</v>
          </cell>
        </row>
        <row r="1931">
          <cell r="A1931" t="str">
            <v>MX759-WX-1C</v>
          </cell>
          <cell r="B1931" t="str">
            <v>FG-G</v>
          </cell>
          <cell r="J1931" t="str">
            <v>KAI’LI™ DARK WAVES BLUE 60 X-FLEX</v>
          </cell>
        </row>
        <row r="1932">
          <cell r="A1932" t="str">
            <v>MX760-WX-1C</v>
          </cell>
          <cell r="B1932" t="str">
            <v>FG-G</v>
          </cell>
          <cell r="J1932" t="str">
            <v>KAI’LI™ DARK WAVES BLUE 70 X-FLEX</v>
          </cell>
        </row>
        <row r="1933">
          <cell r="A1933" t="str">
            <v>MX783-WR-1C</v>
          </cell>
          <cell r="B1933" t="str">
            <v>FG-G</v>
          </cell>
          <cell r="J1933" t="str">
            <v>KAI’LI™ DARK WAVES WHITE 60 R-FLEX</v>
          </cell>
        </row>
        <row r="1934">
          <cell r="A1934" t="str">
            <v>MX783-WX-1C</v>
          </cell>
          <cell r="B1934" t="str">
            <v>FG-G</v>
          </cell>
          <cell r="J1934" t="str">
            <v>KAI’LI™ DARK WAVES WHITE 60 X-FLEX</v>
          </cell>
        </row>
        <row r="1935">
          <cell r="A1935" t="str">
            <v>MX784-WS-1D</v>
          </cell>
          <cell r="B1935" t="str">
            <v>FG-G</v>
          </cell>
          <cell r="J1935" t="str">
            <v>KAI’LI™ DARK WAVES WHITE 70 S-FLEX</v>
          </cell>
        </row>
        <row r="1936">
          <cell r="A1936" t="str">
            <v>MX824-WR-1C</v>
          </cell>
          <cell r="B1936" t="str">
            <v>FG-G</v>
          </cell>
          <cell r="J1936" t="str">
            <v>KAI’LI™ DARK WAVES BLUE 50 R-FLEX</v>
          </cell>
        </row>
        <row r="1937">
          <cell r="A1937" t="str">
            <v>MX876-WX-1B</v>
          </cell>
          <cell r="B1937" t="str">
            <v>FG-G</v>
          </cell>
          <cell r="J1937" t="str">
            <v>KAI’LI™ DARK WAVES RED 60 X-FLEX</v>
          </cell>
        </row>
        <row r="1938">
          <cell r="A1938" t="str">
            <v>MX876-WR-1B</v>
          </cell>
          <cell r="B1938" t="str">
            <v>FG-G</v>
          </cell>
          <cell r="J1938" t="str">
            <v>KAI’LI™ DARK WAVES RED 60 R-FLEX</v>
          </cell>
        </row>
        <row r="1939">
          <cell r="A1939" t="str">
            <v>MX936-WA-1B</v>
          </cell>
          <cell r="B1939" t="str">
            <v>FG-G</v>
          </cell>
          <cell r="J1939" t="str">
            <v>KAI’LI™ DARK WAVES RED 50 R2-FLEX</v>
          </cell>
        </row>
        <row r="1940">
          <cell r="A1940" t="str">
            <v>MX982-WR-1A</v>
          </cell>
          <cell r="B1940" t="str">
            <v>FG-G</v>
          </cell>
          <cell r="J1940" t="str">
            <v>KAI’LI™ DARK WAVES CB BLUE 70 R-FLEX</v>
          </cell>
        </row>
        <row r="1941">
          <cell r="A1941" t="str">
            <v>MX877-WS-1B</v>
          </cell>
          <cell r="B1941" t="str">
            <v>FG-G</v>
          </cell>
          <cell r="J1941" t="str">
            <v>KAI’LI™ DARK WAVES RED 70 S-FLEX</v>
          </cell>
        </row>
        <row r="1942">
          <cell r="A1942" t="str">
            <v>SF245-WS-1K</v>
          </cell>
          <cell r="B1942" t="str">
            <v>FG-G</v>
          </cell>
          <cell r="J1942" t="str">
            <v>N9531101/SHM DIAMANA SV 2024 TM55 SR</v>
          </cell>
        </row>
        <row r="1943">
          <cell r="A1943" t="str">
            <v>SF245-WX-1K</v>
          </cell>
          <cell r="B1943" t="str">
            <v>FG-G</v>
          </cell>
          <cell r="J1943" t="str">
            <v>N9531001/SHM DIAMANA SV 2024 TM55 S</v>
          </cell>
        </row>
        <row r="1944">
          <cell r="A1944" t="str">
            <v>MX726-IR-7C</v>
          </cell>
          <cell r="B1944" t="str">
            <v>FG-G</v>
          </cell>
          <cell r="J1944" t="e">
            <v>#N/A</v>
          </cell>
        </row>
        <row r="1945">
          <cell r="A1945" t="str">
            <v>MX728-IA-7C</v>
          </cell>
          <cell r="B1945" t="str">
            <v>FG-G</v>
          </cell>
          <cell r="J1945" t="str">
            <v>MMT™ TAPER IRON 55 A-FLEX (0.355 TAPER) W/TIP PREP</v>
          </cell>
        </row>
        <row r="1946">
          <cell r="A1946" t="str">
            <v>MX729-IR-7C</v>
          </cell>
          <cell r="B1946" t="str">
            <v>FG-G</v>
          </cell>
          <cell r="J1946" t="e">
            <v>#N/A</v>
          </cell>
        </row>
        <row r="1947">
          <cell r="A1947" t="str">
            <v>AX173-IR-3VC</v>
          </cell>
          <cell r="B1947" t="str">
            <v>FG-G</v>
          </cell>
          <cell r="J1947" t="str">
            <v>70219/WHIZ 70H - SHADOW BLACK - SHAFT HYBRID</v>
          </cell>
        </row>
        <row r="1948">
          <cell r="A1948" t="str">
            <v>AX188-WR-1VF</v>
          </cell>
          <cell r="B1948" t="str">
            <v>FG-G</v>
          </cell>
          <cell r="J1948" t="str">
            <v>70226/WHIZ 65W - OCEAN BLUE - SHAFT WOOD</v>
          </cell>
        </row>
        <row r="1949">
          <cell r="A1949" t="str">
            <v>AX189-WA-1VC</v>
          </cell>
          <cell r="B1949" t="str">
            <v>FG-G</v>
          </cell>
          <cell r="J1949" t="str">
            <v>70227/WHIZ 55W+ - SHADOW BLACK - SHAFT WOOD</v>
          </cell>
        </row>
        <row r="1950">
          <cell r="A1950" t="str">
            <v>AX191-WS-1VC</v>
          </cell>
          <cell r="B1950" t="str">
            <v>FG-G</v>
          </cell>
          <cell r="J1950" t="str">
            <v>70231/WHIZ 80W+ - SHADOW BLACK - SHAFT WOOD</v>
          </cell>
        </row>
        <row r="1951">
          <cell r="A1951" t="str">
            <v>AX196-WA-1VF</v>
          </cell>
          <cell r="B1951" t="str">
            <v>FG-G</v>
          </cell>
          <cell r="J1951" t="str">
            <v>70222/WHIZ 40W - OCEAN BLUE - SHAFT WOOD</v>
          </cell>
        </row>
        <row r="1952">
          <cell r="A1952" t="str">
            <v>AX198-IL-1VF</v>
          </cell>
          <cell r="B1952" t="str">
            <v>FG-G</v>
          </cell>
          <cell r="J1952" t="str">
            <v>70216/WHIZ 50H - OCEAN BLUE - SHAFT HYBRID</v>
          </cell>
        </row>
        <row r="1953">
          <cell r="A1953" t="str">
            <v>MX760-WS-1C</v>
          </cell>
          <cell r="B1953" t="str">
            <v>FG-G</v>
          </cell>
          <cell r="J1953" t="str">
            <v>KAI’LI™ DARK WAVES BLUE 70 S-FLEX</v>
          </cell>
        </row>
        <row r="1954">
          <cell r="A1954" t="str">
            <v>MX783-WS-1C</v>
          </cell>
          <cell r="B1954" t="str">
            <v>FG-G</v>
          </cell>
          <cell r="J1954" t="str">
            <v>KAI’LI™ DARK WAVES WHITE 60 S-FLEX</v>
          </cell>
        </row>
        <row r="1955">
          <cell r="A1955" t="str">
            <v>MX784-WX-1D</v>
          </cell>
          <cell r="B1955" t="str">
            <v>FG-G</v>
          </cell>
          <cell r="J1955" t="str">
            <v>KAI’LI™ DARK WAVES WHITE 70 X-FLEX</v>
          </cell>
        </row>
        <row r="1956">
          <cell r="A1956" t="str">
            <v>MX824-WS-1C</v>
          </cell>
          <cell r="B1956" t="str">
            <v>FG-G</v>
          </cell>
          <cell r="J1956" t="str">
            <v>KAI’LI™ DARK WAVES BLUE 50 S-FLEX</v>
          </cell>
        </row>
        <row r="1957">
          <cell r="A1957" t="str">
            <v>MX876-WS-1B</v>
          </cell>
          <cell r="B1957" t="str">
            <v>FG-G</v>
          </cell>
          <cell r="J1957" t="str">
            <v>KAI’LI™ DARK WAVES RED 60 S-FLEX</v>
          </cell>
        </row>
        <row r="1958">
          <cell r="A1958" t="str">
            <v>MX877-WX-1B</v>
          </cell>
          <cell r="B1958" t="str">
            <v>FG-G</v>
          </cell>
          <cell r="J1958" t="str">
            <v>KAI’LI™ DARK WAVES RED 70 X-FLEX</v>
          </cell>
        </row>
        <row r="1959">
          <cell r="A1959" t="str">
            <v>MX936-WR-1B</v>
          </cell>
          <cell r="B1959" t="str">
            <v>FG-G</v>
          </cell>
          <cell r="J1959" t="str">
            <v>KAI’LI™ DARK WAVES RED 50 R-FLEX</v>
          </cell>
        </row>
        <row r="1960">
          <cell r="A1960" t="str">
            <v>YR187-IR-5A</v>
          </cell>
          <cell r="B1960" t="str">
            <v>FG-G</v>
          </cell>
          <cell r="J1960" t="str">
            <v>DIAM-37390/DIAM-IRONS FLEX-R</v>
          </cell>
        </row>
        <row r="1961">
          <cell r="A1961" t="str">
            <v>YR187-IR-6A</v>
          </cell>
          <cell r="B1961" t="str">
            <v>FG-G</v>
          </cell>
          <cell r="J1961" t="str">
            <v>DIAM-37385/DIAM-IRONS FLEX-R</v>
          </cell>
        </row>
        <row r="1962">
          <cell r="A1962" t="str">
            <v>YR187-IR-7A</v>
          </cell>
          <cell r="B1962" t="str">
            <v>FG-G</v>
          </cell>
          <cell r="J1962" t="str">
            <v>DIAM-37380/DIAM-IRONS FLEX-R</v>
          </cell>
        </row>
        <row r="1963">
          <cell r="A1963" t="str">
            <v>YR187-IR-8A</v>
          </cell>
          <cell r="B1963" t="str">
            <v>FG-G</v>
          </cell>
          <cell r="J1963" t="str">
            <v>DIAM-37375/DIAM-IRONS FLEX-R</v>
          </cell>
        </row>
        <row r="1964">
          <cell r="A1964" t="str">
            <v>YR187-IR-9A</v>
          </cell>
          <cell r="B1964" t="str">
            <v>FG-G</v>
          </cell>
          <cell r="J1964" t="str">
            <v>DIAM-37370/DIAM-IRONS FLEX-R</v>
          </cell>
        </row>
        <row r="1965">
          <cell r="A1965" t="str">
            <v>YR187-IR-AA</v>
          </cell>
          <cell r="B1965" t="str">
            <v>FG-G</v>
          </cell>
          <cell r="J1965" t="str">
            <v>DIAM-37360/DIAM-IRONS FLEX-R</v>
          </cell>
        </row>
        <row r="1966">
          <cell r="A1966" t="str">
            <v>YR187-IR-PA</v>
          </cell>
          <cell r="B1966" t="str">
            <v>FG-G</v>
          </cell>
          <cell r="J1966" t="str">
            <v>DIAM-37365/DIAM-IRONS FLEX-R</v>
          </cell>
        </row>
        <row r="1967">
          <cell r="A1967" t="str">
            <v>YR187-IR-SA</v>
          </cell>
          <cell r="B1967" t="str">
            <v>FG-G</v>
          </cell>
          <cell r="J1967" t="str">
            <v>DIAM-37355/DIAM-IRONS FLEX-R</v>
          </cell>
        </row>
        <row r="1968">
          <cell r="A1968" t="str">
            <v>MX681-ITX3AO</v>
          </cell>
          <cell r="B1968" t="str">
            <v>FG-G</v>
          </cell>
          <cell r="J1968" t="str">
            <v>MMT 105 TX #3 39.0</v>
          </cell>
        </row>
        <row r="1969">
          <cell r="A1969" t="str">
            <v>HI007-IR-3D</v>
          </cell>
          <cell r="B1969" t="str">
            <v>FG-G</v>
          </cell>
          <cell r="J1969" t="str">
            <v>70072/Whiz 60 Graphite - Black R-FLEX</v>
          </cell>
        </row>
        <row r="1970">
          <cell r="A1970" t="str">
            <v>MX747-WS-1A</v>
          </cell>
          <cell r="B1970" t="str">
            <v>FG-G</v>
          </cell>
          <cell r="J1970" t="e">
            <v>#N/A</v>
          </cell>
        </row>
        <row r="1971">
          <cell r="A1971" t="str">
            <v>MX747-WX-1A</v>
          </cell>
          <cell r="B1971" t="str">
            <v>FG-G</v>
          </cell>
          <cell r="J1971" t="e">
            <v>#N/A</v>
          </cell>
        </row>
        <row r="1972">
          <cell r="A1972" t="str">
            <v>YR187-IA-5A</v>
          </cell>
          <cell r="B1972" t="str">
            <v>FG-G</v>
          </cell>
          <cell r="J1972" t="str">
            <v>DIAM-35385/DIAM-IRONS FLEX-R2#5</v>
          </cell>
        </row>
        <row r="1973">
          <cell r="A1973" t="str">
            <v>YR187-IA-6A</v>
          </cell>
          <cell r="B1973" t="str">
            <v>FG-G</v>
          </cell>
          <cell r="J1973" t="str">
            <v>DIAM-35380/DIAM-IRONS FLEX-R2#6</v>
          </cell>
        </row>
        <row r="1974">
          <cell r="A1974" t="str">
            <v>YR187-IA-7A</v>
          </cell>
          <cell r="B1974" t="str">
            <v>FG-G</v>
          </cell>
          <cell r="J1974" t="str">
            <v>DIAM-35375/DIAM-IRONS FLEX-R2#7</v>
          </cell>
        </row>
        <row r="1975">
          <cell r="A1975" t="str">
            <v>YR187-IA-8A</v>
          </cell>
          <cell r="B1975" t="str">
            <v>FG-G</v>
          </cell>
          <cell r="J1975" t="str">
            <v>DIAM-35370/DIAM-IRONS FLEX-R2#8</v>
          </cell>
        </row>
        <row r="1976">
          <cell r="A1976" t="str">
            <v>YR187-IA-9A</v>
          </cell>
          <cell r="B1976" t="str">
            <v>FG-G</v>
          </cell>
          <cell r="J1976" t="str">
            <v>DIAM-35365/DIAM-IRONS FLEX-R2#9</v>
          </cell>
        </row>
        <row r="1977">
          <cell r="A1977" t="str">
            <v>YR187-IA-AA</v>
          </cell>
          <cell r="B1977" t="str">
            <v>FG-G</v>
          </cell>
          <cell r="J1977" t="str">
            <v>DIAM-35355/DIAM-IRONS FLEX-R2#A</v>
          </cell>
        </row>
        <row r="1978">
          <cell r="A1978" t="str">
            <v>YR187-IA-PA</v>
          </cell>
          <cell r="B1978" t="str">
            <v>FG-G</v>
          </cell>
          <cell r="J1978" t="str">
            <v>DIAM-35360/DIAM-IRONS FLEX-R2#P</v>
          </cell>
        </row>
        <row r="1979">
          <cell r="A1979" t="str">
            <v>YR187-IA-SA</v>
          </cell>
          <cell r="B1979" t="str">
            <v>FG-G</v>
          </cell>
          <cell r="J1979" t="str">
            <v>DIAM-35350/DIAM-IRONS FLEX-R2#S</v>
          </cell>
        </row>
        <row r="1980">
          <cell r="A1980" t="str">
            <v>SP397-IR-3A</v>
          </cell>
          <cell r="B1980" t="str">
            <v>FG-G</v>
          </cell>
          <cell r="J1980" t="str">
            <v>OBGBIRM/BG-100 IRON FLEX-R</v>
          </cell>
        </row>
        <row r="1981">
          <cell r="A1981" t="str">
            <v>SP397-UR-1A</v>
          </cell>
          <cell r="B1981" t="str">
            <v>FG-G</v>
          </cell>
          <cell r="J1981" t="str">
            <v>OBGBURM/BG-100 UTILITY FLEX-R</v>
          </cell>
        </row>
        <row r="1982">
          <cell r="A1982" t="str">
            <v>SP397-US-1A</v>
          </cell>
          <cell r="B1982" t="str">
            <v>FG-G</v>
          </cell>
          <cell r="J1982" t="str">
            <v>OBGBUSM/BG-100 UTILITY FLEX-S</v>
          </cell>
        </row>
        <row r="1983">
          <cell r="A1983" t="str">
            <v>SP397-WR-1A</v>
          </cell>
          <cell r="B1983" t="str">
            <v>FG-G</v>
          </cell>
          <cell r="J1983" t="str">
            <v>OBGBWRM/BG-100 WOOD FLEX-R</v>
          </cell>
        </row>
        <row r="1984">
          <cell r="A1984" t="str">
            <v>SP397-WS-1A</v>
          </cell>
          <cell r="B1984" t="str">
            <v>FG-G</v>
          </cell>
          <cell r="J1984" t="str">
            <v>OBGBWSM/BG-100 WOOD FLEX-S</v>
          </cell>
        </row>
        <row r="1985">
          <cell r="A1985" t="str">
            <v>MX728-IA-6A</v>
          </cell>
          <cell r="B1985" t="str">
            <v>FG-G</v>
          </cell>
          <cell r="J1985" t="str">
            <v>MMT™ Taper Iron 55 A-flex (0.355 taper)</v>
          </cell>
        </row>
        <row r="1986">
          <cell r="A1986" t="str">
            <v>MX550-WTX1AR</v>
          </cell>
          <cell r="B1986" t="str">
            <v>FG-G</v>
          </cell>
          <cell r="J1986" t="e">
            <v>#N/A</v>
          </cell>
        </row>
        <row r="1987">
          <cell r="A1987" t="str">
            <v>DS011-WA-1A</v>
          </cell>
          <cell r="B1987" t="str">
            <v>FG-G</v>
          </cell>
          <cell r="J1987" t="str">
            <v>7014652/KAILI RED 50 R2-FLEX (A)</v>
          </cell>
        </row>
        <row r="1988">
          <cell r="A1988" t="str">
            <v>DS011-WR-1A</v>
          </cell>
          <cell r="B1988" t="str">
            <v>FG-G</v>
          </cell>
          <cell r="J1988" t="str">
            <v>7014649/KAILI RED 60 R-FLEX</v>
          </cell>
        </row>
        <row r="1989">
          <cell r="A1989" t="str">
            <v>DS011-WS-1A</v>
          </cell>
          <cell r="B1989" t="str">
            <v>FG-G</v>
          </cell>
          <cell r="J1989" t="str">
            <v>7014650/KAILI RED 60 S-FLEX</v>
          </cell>
        </row>
        <row r="1990">
          <cell r="A1990" t="str">
            <v>MX729-IR-7AO</v>
          </cell>
          <cell r="B1990" t="str">
            <v>FG-G</v>
          </cell>
          <cell r="J1990" t="str">
            <v>MMT Taper Iron 65 R-FLEX #7</v>
          </cell>
        </row>
        <row r="1991">
          <cell r="A1991" t="str">
            <v>MX729-IR-8AO</v>
          </cell>
          <cell r="B1991" t="str">
            <v>FG-G</v>
          </cell>
          <cell r="J1991" t="str">
            <v>MMT Taper Iron 65 R-FLEX #8</v>
          </cell>
        </row>
        <row r="1992">
          <cell r="A1992" t="str">
            <v>MX729-IR-6AO</v>
          </cell>
          <cell r="B1992" t="str">
            <v>FG-G</v>
          </cell>
          <cell r="J1992" t="str">
            <v>MMT Taper Iron 65 R-FLEX #6</v>
          </cell>
        </row>
        <row r="1993">
          <cell r="A1993" t="str">
            <v>MX729-IR-9AO</v>
          </cell>
          <cell r="B1993" t="str">
            <v>FG-G</v>
          </cell>
          <cell r="J1993" t="str">
            <v>MMT Taper Iron 65 R-FLEX #9</v>
          </cell>
        </row>
        <row r="1994">
          <cell r="A1994" t="str">
            <v>MX729-IR-5AO</v>
          </cell>
          <cell r="B1994" t="str">
            <v>FG-G</v>
          </cell>
          <cell r="J1994" t="str">
            <v>MMT Taper Iron 65 R-FLEX #5</v>
          </cell>
        </row>
        <row r="1995">
          <cell r="A1995" t="str">
            <v>HI007-IA-3F</v>
          </cell>
          <cell r="B1995" t="str">
            <v>FG-G</v>
          </cell>
          <cell r="J1995" t="str">
            <v>70079/Whiz 45 Graphite - Lime A-FLEX</v>
          </cell>
        </row>
        <row r="1996">
          <cell r="A1996" t="str">
            <v>HI007-IA-3D</v>
          </cell>
          <cell r="B1996" t="str">
            <v>FG-G</v>
          </cell>
          <cell r="J1996" t="str">
            <v>70071/Whiz 45 Graphite - Black A-FLEX</v>
          </cell>
        </row>
        <row r="1997">
          <cell r="A1997" t="str">
            <v>HI007-IX-3D</v>
          </cell>
          <cell r="B1997" t="str">
            <v>FG-G</v>
          </cell>
          <cell r="J1997" t="str">
            <v>70074/Whiz 95 Graphite - Black X-FLEX</v>
          </cell>
        </row>
        <row r="1998">
          <cell r="A1998" t="str">
            <v>MX783-WR-1CO</v>
          </cell>
          <cell r="B1998" t="str">
            <v>FG-G</v>
          </cell>
          <cell r="J1998" t="str">
            <v>KAILI DARK WAVE WHITE 60 R-FLEX</v>
          </cell>
        </row>
        <row r="1999">
          <cell r="A1999" t="str">
            <v>HI007-IR-3F</v>
          </cell>
          <cell r="B1999" t="str">
            <v>FG-G</v>
          </cell>
          <cell r="J1999" t="str">
            <v>70080/Whiz 60 Graphite - Lime R-FLEX</v>
          </cell>
        </row>
        <row r="2000">
          <cell r="A2000" t="str">
            <v>HI007-IS-3F</v>
          </cell>
          <cell r="B2000" t="str">
            <v>FG-G</v>
          </cell>
          <cell r="J2000" t="str">
            <v>70081/Whiz 75 Graphite - Lime S-FLEX</v>
          </cell>
        </row>
        <row r="2001">
          <cell r="A2001" t="str">
            <v>HI007-IS-3D</v>
          </cell>
          <cell r="B2001" t="str">
            <v>FG-G</v>
          </cell>
          <cell r="J2001" t="str">
            <v>70073/Whiz 75 Graphite - Black S-FLEX</v>
          </cell>
        </row>
        <row r="2002">
          <cell r="A2002" t="str">
            <v>MY001-IR-2A</v>
          </cell>
          <cell r="B2002" t="str">
            <v>FG-G</v>
          </cell>
          <cell r="J2002" t="str">
            <v>TENSEI 1K BLUE HYBRID 65 R-FLEX</v>
          </cell>
        </row>
        <row r="2003">
          <cell r="A2003" t="str">
            <v>MY001-IS-2A</v>
          </cell>
          <cell r="B2003" t="str">
            <v>FG-G</v>
          </cell>
          <cell r="J2003" t="str">
            <v>TENSEI 1K BLUE HYBRID 65 S-FLEX</v>
          </cell>
        </row>
        <row r="2004">
          <cell r="A2004" t="str">
            <v>MY002-IR-2A</v>
          </cell>
          <cell r="B2004" t="str">
            <v>FG-G</v>
          </cell>
          <cell r="J2004" t="str">
            <v>TENSEI 1K BLUE HYBRID 75 R-FLEX</v>
          </cell>
        </row>
        <row r="2005">
          <cell r="A2005" t="str">
            <v>MY002-IS-2A</v>
          </cell>
          <cell r="B2005" t="str">
            <v>FG-G</v>
          </cell>
          <cell r="J2005" t="str">
            <v>TENSEI 1K BLUE HYBRID 75 S-FLEX</v>
          </cell>
        </row>
        <row r="2006">
          <cell r="A2006" t="str">
            <v>MY003-IS-2A</v>
          </cell>
          <cell r="B2006" t="str">
            <v>FG-G</v>
          </cell>
          <cell r="J2006" t="str">
            <v>TENSEI 1K BLUE HYBRID 85G S</v>
          </cell>
        </row>
        <row r="2007">
          <cell r="A2007" t="str">
            <v>MY003-IX-2A</v>
          </cell>
          <cell r="B2007" t="str">
            <v>FG-G</v>
          </cell>
          <cell r="J2007" t="str">
            <v>TENSEI 1K BLUE HYBRID 85G X</v>
          </cell>
        </row>
        <row r="2008">
          <cell r="A2008" t="str">
            <v>MX730-IS-PA</v>
          </cell>
          <cell r="B2008" t="str">
            <v>FG-G</v>
          </cell>
          <cell r="J2008" t="str">
            <v>MMT™ Taper Iron 75 S-flex (0.355 taper)</v>
          </cell>
        </row>
        <row r="2009">
          <cell r="A2009" t="str">
            <v>AX117-WX-1AB</v>
          </cell>
          <cell r="B2009" t="str">
            <v>FG-G</v>
          </cell>
          <cell r="J2009" t="str">
            <v>ROGUE® White 130 M.S.I. 80 X-flex</v>
          </cell>
        </row>
        <row r="2010">
          <cell r="A2010" t="str">
            <v>AX117-WS-1AB</v>
          </cell>
          <cell r="B2010" t="str">
            <v>FG-G</v>
          </cell>
          <cell r="J2010" t="str">
            <v>ROGUE® White 130 M.S.I. 80 S-flex</v>
          </cell>
        </row>
        <row r="2011">
          <cell r="A2011" t="str">
            <v>AX116-WX-1AB</v>
          </cell>
          <cell r="B2011" t="str">
            <v>FG-G</v>
          </cell>
          <cell r="J2011" t="str">
            <v>ROGUE® White 130 M.S.I. 60 X-flex</v>
          </cell>
        </row>
        <row r="2012">
          <cell r="A2012" t="str">
            <v>AX116-WS-1AB</v>
          </cell>
          <cell r="B2012" t="str">
            <v>FG-G</v>
          </cell>
          <cell r="J2012" t="str">
            <v>ROGUE® White 130 M.S.I. 60 S-flex</v>
          </cell>
        </row>
        <row r="2013">
          <cell r="A2013" t="str">
            <v>AX116-WR-1AB</v>
          </cell>
          <cell r="B2013" t="str">
            <v>FG-G</v>
          </cell>
          <cell r="J2013" t="str">
            <v>ROGUE® White 130 M.S.I. 60 R-flex</v>
          </cell>
        </row>
        <row r="2014">
          <cell r="A2014" t="str">
            <v>AX103-WX-1AB</v>
          </cell>
          <cell r="B2014" t="str">
            <v>FG-G</v>
          </cell>
          <cell r="J2014" t="str">
            <v>ROGUE® White 130 M.S.I. 70 X-flex</v>
          </cell>
        </row>
        <row r="2015">
          <cell r="A2015" t="str">
            <v>AX103-WS-1AB</v>
          </cell>
          <cell r="B2015" t="str">
            <v>FG-G</v>
          </cell>
          <cell r="J2015" t="str">
            <v>ROGUE® White 130 M.S.I. 70 S-flex</v>
          </cell>
        </row>
        <row r="2016">
          <cell r="A2016" t="str">
            <v>SF301-WR-1B</v>
          </cell>
          <cell r="B2016" t="str">
            <v>FG-G</v>
          </cell>
          <cell r="J2016" t="str">
            <v>N9538601/SHM 25 DS REAX JPAS R</v>
          </cell>
        </row>
        <row r="2017">
          <cell r="A2017" t="str">
            <v>SF301-WS-1B</v>
          </cell>
          <cell r="B2017" t="str">
            <v>FG-G</v>
          </cell>
          <cell r="J2017" t="str">
            <v>N9538401/SHM 25 DS REAX JPAS S</v>
          </cell>
        </row>
        <row r="2018">
          <cell r="A2018" t="str">
            <v>SF301-WSR1B</v>
          </cell>
          <cell r="B2018" t="str">
            <v>FG-G</v>
          </cell>
          <cell r="J2018" t="str">
            <v>N9538501/SHM 25 DS REAX JPAS SR</v>
          </cell>
        </row>
        <row r="2019">
          <cell r="A2019" t="str">
            <v>MX726-IS-3AO</v>
          </cell>
          <cell r="B2019" t="str">
            <v>FG-G</v>
          </cell>
          <cell r="J2019" t="str">
            <v>MMT 85 TAPER GS 39.0</v>
          </cell>
        </row>
        <row r="2020">
          <cell r="A2020" t="str">
            <v>MX730-IS-6A</v>
          </cell>
          <cell r="B2020" t="str">
            <v>FG-G</v>
          </cell>
          <cell r="J2020" t="str">
            <v>MMT™ Taper Iron 75 S-flex (0.355 taper)</v>
          </cell>
        </row>
        <row r="2021">
          <cell r="A2021" t="str">
            <v>MX968-WR-1AO</v>
          </cell>
          <cell r="B2021" t="str">
            <v>FG-G</v>
          </cell>
          <cell r="J2021" t="str">
            <v>VANQUISH PL 4 R-Flex</v>
          </cell>
        </row>
        <row r="2022">
          <cell r="A2022" t="str">
            <v>MX984-IR-1AO</v>
          </cell>
          <cell r="B2022" t="str">
            <v>FG-G</v>
          </cell>
          <cell r="J2022" t="str">
            <v>VANQUISH PL HY/IR 5 R-flex</v>
          </cell>
        </row>
        <row r="2023">
          <cell r="A2023" t="str">
            <v>MX984-IS-1AO</v>
          </cell>
          <cell r="B2023" t="str">
            <v>FG-G</v>
          </cell>
          <cell r="J2023" t="str">
            <v>Vanquish PL HYB/IR 5 S</v>
          </cell>
        </row>
        <row r="2024">
          <cell r="A2024" t="str">
            <v>XG004-IS-1A</v>
          </cell>
          <cell r="B2024" t="str">
            <v>FG-G</v>
          </cell>
          <cell r="J2024" t="str">
            <v>S-MMT-80-S MMT PARALLEL IRON 80S</v>
          </cell>
        </row>
        <row r="2025">
          <cell r="A2025" t="str">
            <v>CW139-IL-2B</v>
          </cell>
          <cell r="B2025" t="str">
            <v>FG-G</v>
          </cell>
          <cell r="J2025" t="str">
            <v>3582T1355/SF WG MCA ELDIO BLU/WHT 40GR TTIP LDY JV</v>
          </cell>
        </row>
        <row r="2026">
          <cell r="A2026" t="str">
            <v>AU228-IA-4A</v>
          </cell>
          <cell r="B2026" t="str">
            <v>FG-G</v>
          </cell>
          <cell r="J2026" t="str">
            <v>2775924/MMT AMC RED 65 R2 #4</v>
          </cell>
        </row>
        <row r="2027">
          <cell r="A2027" t="str">
            <v>AU228-IA-5A</v>
          </cell>
          <cell r="B2027" t="str">
            <v>FG-G</v>
          </cell>
          <cell r="J2027" t="str">
            <v>2775925/MMT AMC RED 65 R2 #5</v>
          </cell>
        </row>
        <row r="2028">
          <cell r="A2028" t="str">
            <v>AU228-IA-6A</v>
          </cell>
          <cell r="B2028" t="str">
            <v>FG-G</v>
          </cell>
          <cell r="J2028" t="str">
            <v>2775926/MMT AMC RED 65 R2 #6</v>
          </cell>
        </row>
        <row r="2029">
          <cell r="A2029" t="str">
            <v>AU228-IA-8A</v>
          </cell>
          <cell r="B2029" t="str">
            <v>FG-G</v>
          </cell>
          <cell r="J2029" t="str">
            <v>2775928/MMT AMC RED 65 R2 #8</v>
          </cell>
        </row>
        <row r="2030">
          <cell r="A2030" t="str">
            <v>AU228-IA-9A</v>
          </cell>
          <cell r="B2030" t="str">
            <v>FG-G</v>
          </cell>
          <cell r="J2030" t="str">
            <v>2775929/MMT AMC RED 65 R2 #9</v>
          </cell>
        </row>
        <row r="2031">
          <cell r="A2031" t="str">
            <v>AU228-IA-PA</v>
          </cell>
          <cell r="B2031" t="str">
            <v>FG-G</v>
          </cell>
          <cell r="J2031" t="str">
            <v>2775930/MMT AMC RED 65 R2 #W</v>
          </cell>
        </row>
        <row r="2032">
          <cell r="A2032" t="str">
            <v>AU228-IR-4A</v>
          </cell>
          <cell r="B2032" t="str">
            <v>FG-G</v>
          </cell>
          <cell r="J2032" t="str">
            <v>2775934/MMT AMC RED 65 R #4</v>
          </cell>
        </row>
        <row r="2033">
          <cell r="A2033" t="str">
            <v>AU228-IR-5A</v>
          </cell>
          <cell r="B2033" t="str">
            <v>FG-G</v>
          </cell>
          <cell r="J2033" t="str">
            <v>2775935/MMT AMC RED 65 R #5</v>
          </cell>
        </row>
        <row r="2034">
          <cell r="A2034" t="str">
            <v>AU228-IR-6A</v>
          </cell>
          <cell r="B2034" t="str">
            <v>FG-G</v>
          </cell>
          <cell r="J2034" t="str">
            <v>2775936/MMT AMC RED 65 R #6</v>
          </cell>
        </row>
        <row r="2035">
          <cell r="A2035" t="str">
            <v>AU228-IR-8A</v>
          </cell>
          <cell r="B2035" t="str">
            <v>FG-G</v>
          </cell>
          <cell r="J2035" t="str">
            <v>2775938/MMT AMC RED 65 R #8</v>
          </cell>
        </row>
        <row r="2036">
          <cell r="A2036" t="str">
            <v>AU228-IR-9A</v>
          </cell>
          <cell r="B2036" t="str">
            <v>FG-G</v>
          </cell>
          <cell r="J2036" t="str">
            <v>2775939/MMT AMC RED 65 R #9</v>
          </cell>
        </row>
        <row r="2037">
          <cell r="A2037" t="str">
            <v>AU228-IR-PA</v>
          </cell>
          <cell r="B2037" t="str">
            <v>FG-G</v>
          </cell>
          <cell r="J2037" t="str">
            <v>2775940/MMT AMC RED 65 R #W</v>
          </cell>
        </row>
        <row r="2038">
          <cell r="A2038" t="str">
            <v>AU228-IS-4A</v>
          </cell>
          <cell r="B2038" t="str">
            <v>FG-G</v>
          </cell>
          <cell r="J2038" t="str">
            <v>2775944/MMT AMC RED 65 S #4</v>
          </cell>
        </row>
        <row r="2039">
          <cell r="A2039" t="str">
            <v>AU228-IS-5A</v>
          </cell>
          <cell r="B2039" t="str">
            <v>FG-G</v>
          </cell>
          <cell r="J2039" t="str">
            <v>2775945/MMT AMC RED 65 S #5</v>
          </cell>
        </row>
        <row r="2040">
          <cell r="A2040" t="str">
            <v>AU228-IS-6A</v>
          </cell>
          <cell r="B2040" t="str">
            <v>FG-G</v>
          </cell>
          <cell r="J2040" t="str">
            <v>2775946/MMT AMC RED 65 S #6</v>
          </cell>
        </row>
        <row r="2041">
          <cell r="A2041" t="str">
            <v>AU228-IS-8A</v>
          </cell>
          <cell r="B2041" t="str">
            <v>FG-G</v>
          </cell>
          <cell r="J2041" t="str">
            <v>2775948/MMT AMC RED 65 S #8</v>
          </cell>
        </row>
        <row r="2042">
          <cell r="A2042" t="str">
            <v>AU228-IS-9A</v>
          </cell>
          <cell r="B2042" t="str">
            <v>FG-G</v>
          </cell>
          <cell r="J2042" t="str">
            <v>2775949/MMT AMC RED 65 S #9</v>
          </cell>
        </row>
        <row r="2043">
          <cell r="A2043" t="str">
            <v>AU228-IS-PA</v>
          </cell>
          <cell r="B2043" t="str">
            <v>FG-G</v>
          </cell>
          <cell r="J2043" t="str">
            <v>2775950/MMT AMC RED 65 S #W</v>
          </cell>
        </row>
        <row r="2044">
          <cell r="A2044" t="str">
            <v>AU230-IL-4A</v>
          </cell>
          <cell r="B2044" t="str">
            <v>FG-G</v>
          </cell>
          <cell r="J2044" t="str">
            <v>2775914/MMT AMC RED 55 R3 #4</v>
          </cell>
        </row>
        <row r="2045">
          <cell r="A2045" t="str">
            <v>AU230-IL-5A</v>
          </cell>
          <cell r="B2045" t="str">
            <v>FG-G</v>
          </cell>
          <cell r="J2045" t="str">
            <v>2775915/MMT AMC RED 55 R3 #5</v>
          </cell>
        </row>
        <row r="2046">
          <cell r="A2046" t="str">
            <v>AU230-IL-6A</v>
          </cell>
          <cell r="B2046" t="str">
            <v>FG-G</v>
          </cell>
          <cell r="J2046" t="str">
            <v>2775916/MMT AMC RED 55 R3 #6</v>
          </cell>
        </row>
        <row r="2047">
          <cell r="A2047" t="str">
            <v>AU230-IL-8A</v>
          </cell>
          <cell r="B2047" t="str">
            <v>FG-G</v>
          </cell>
          <cell r="J2047" t="str">
            <v>2775918/MMT AMC RED 55 R3 #8</v>
          </cell>
        </row>
        <row r="2048">
          <cell r="A2048" t="str">
            <v>AU230-IL-9A</v>
          </cell>
          <cell r="B2048" t="str">
            <v>FG-G</v>
          </cell>
          <cell r="J2048" t="str">
            <v>2775919/MMT AMC RED 55 R3 #9</v>
          </cell>
        </row>
        <row r="2049">
          <cell r="A2049" t="str">
            <v>AU230-IL-PA</v>
          </cell>
          <cell r="B2049" t="str">
            <v>FG-G</v>
          </cell>
          <cell r="J2049" t="str">
            <v>2775920/MMT AMC RED 55 R3 #W</v>
          </cell>
        </row>
        <row r="2050">
          <cell r="A2050" t="str">
            <v>AU231-ILL5A</v>
          </cell>
          <cell r="B2050" t="str">
            <v>FG-G</v>
          </cell>
          <cell r="J2050" t="str">
            <v>2775905/MMT AMC RED 45 R4 #5</v>
          </cell>
        </row>
        <row r="2051">
          <cell r="A2051" t="str">
            <v>AU231-ILL6A</v>
          </cell>
          <cell r="B2051" t="str">
            <v>FG-G</v>
          </cell>
          <cell r="J2051" t="str">
            <v>2775906/MMT AMC RED 45 R4 #6</v>
          </cell>
        </row>
        <row r="2052">
          <cell r="A2052" t="str">
            <v>AU231-ILLPA</v>
          </cell>
          <cell r="B2052" t="str">
            <v>FG-G</v>
          </cell>
          <cell r="J2052" t="str">
            <v>2775910/MMT AMC RED 45 R4 #W</v>
          </cell>
        </row>
        <row r="2053">
          <cell r="A2053" t="str">
            <v>XG004-IA-1A</v>
          </cell>
          <cell r="B2053" t="str">
            <v>FG-G</v>
          </cell>
          <cell r="J2053" t="str">
            <v>S-MMT-60-A MMT PARALLEL IRON 60A</v>
          </cell>
        </row>
        <row r="2054">
          <cell r="A2054" t="str">
            <v>AU231-ILL8A</v>
          </cell>
          <cell r="B2054" t="str">
            <v>FG-G</v>
          </cell>
          <cell r="J2054" t="str">
            <v>2775908/MMT AMC RED 45 R4 #8</v>
          </cell>
        </row>
        <row r="2055">
          <cell r="A2055" t="str">
            <v>AU231-ILL9A</v>
          </cell>
          <cell r="B2055" t="str">
            <v>FG-G</v>
          </cell>
          <cell r="J2055" t="str">
            <v>2775909/MMT AMC RED 45 R4 #9</v>
          </cell>
        </row>
        <row r="2056">
          <cell r="A2056" t="str">
            <v>MX669-IS-7CO</v>
          </cell>
          <cell r="B2056" t="str">
            <v>FG-G</v>
          </cell>
          <cell r="J2056" t="str">
            <v>MMT TAPER IRON 95 S-FLEX #7</v>
          </cell>
        </row>
        <row r="2057">
          <cell r="A2057" t="str">
            <v>MX721-ITX7CO</v>
          </cell>
          <cell r="B2057" t="str">
            <v>FG-G</v>
          </cell>
          <cell r="J2057" t="str">
            <v>MMT TAPER IRON 125 TX-FLEX #7</v>
          </cell>
        </row>
        <row r="2058">
          <cell r="A2058" t="str">
            <v>MX721-ITXPCO</v>
          </cell>
          <cell r="B2058" t="str">
            <v>FG-G</v>
          </cell>
          <cell r="J2058" t="str">
            <v>MMT TAPER IRON 125 TX-FLEX #W</v>
          </cell>
        </row>
        <row r="2059">
          <cell r="A2059" t="str">
            <v>AU228-IR-3A</v>
          </cell>
          <cell r="B2059" t="str">
            <v>FG-G</v>
          </cell>
          <cell r="J2059" t="str">
            <v>2775933/MMT AMC RED 65 R #3</v>
          </cell>
        </row>
        <row r="2060">
          <cell r="A2060" t="str">
            <v>AU228-IS-3A</v>
          </cell>
          <cell r="B2060" t="str">
            <v>FG-G</v>
          </cell>
          <cell r="J2060" t="str">
            <v>2775943/MMT AMC RED 65 S #3</v>
          </cell>
        </row>
        <row r="2061">
          <cell r="A2061" t="str">
            <v>DS011-WL-1A</v>
          </cell>
          <cell r="B2061" t="str">
            <v>FG-G</v>
          </cell>
          <cell r="J2061" t="str">
            <v>7014651/KAILI TEAL 40 L-FLEX</v>
          </cell>
        </row>
        <row r="2062">
          <cell r="A2062" t="str">
            <v>MX730-IS-7A</v>
          </cell>
          <cell r="B2062" t="str">
            <v>FG-G</v>
          </cell>
          <cell r="J2062" t="str">
            <v>MMT™ Taper Iron 75 S-flex (0.355 taper)</v>
          </cell>
        </row>
        <row r="2063">
          <cell r="A2063" t="str">
            <v>MX729-IR-4AO</v>
          </cell>
          <cell r="B2063" t="str">
            <v>FG-G</v>
          </cell>
          <cell r="J2063" t="str">
            <v>MMT Taper Iron 65 R-FLEX #4</v>
          </cell>
        </row>
        <row r="2064">
          <cell r="A2064" t="str">
            <v>AU232-IS-2A</v>
          </cell>
          <cell r="B2064" t="str">
            <v>FG-G</v>
          </cell>
          <cell r="J2064" t="str">
            <v>2775962/MMT AMC BLUE 85 S #2</v>
          </cell>
        </row>
        <row r="2065">
          <cell r="A2065" t="str">
            <v>AU232-IS-3A</v>
          </cell>
          <cell r="B2065" t="str">
            <v>FG-G</v>
          </cell>
          <cell r="J2065" t="str">
            <v>2775963/MMT AMC BLUE 85 S #3</v>
          </cell>
        </row>
        <row r="2066">
          <cell r="A2066" t="str">
            <v>AU232-IS-4A</v>
          </cell>
          <cell r="B2066" t="str">
            <v>FG-G</v>
          </cell>
          <cell r="J2066" t="str">
            <v>2775964/MMT AMC BLUE 85 S #4</v>
          </cell>
        </row>
        <row r="2067">
          <cell r="A2067" t="str">
            <v>AU232-IS-5A</v>
          </cell>
          <cell r="B2067" t="str">
            <v>FG-G</v>
          </cell>
          <cell r="J2067" t="str">
            <v>2775965/MMT AMC BLUE 85 S #5</v>
          </cell>
        </row>
        <row r="2068">
          <cell r="A2068" t="str">
            <v>AU232-IS-6A</v>
          </cell>
          <cell r="B2068" t="str">
            <v>FG-G</v>
          </cell>
          <cell r="J2068" t="str">
            <v>2775966/MMT AMC BLUE 85 S #6</v>
          </cell>
        </row>
        <row r="2069">
          <cell r="A2069" t="str">
            <v>AU232-IS-8A</v>
          </cell>
          <cell r="B2069" t="str">
            <v>FG-G</v>
          </cell>
          <cell r="J2069" t="str">
            <v>2775968/MMT AMC BLUE 85 S #8</v>
          </cell>
        </row>
        <row r="2070">
          <cell r="A2070" t="str">
            <v>AU232-IS-9A</v>
          </cell>
          <cell r="B2070" t="str">
            <v>FG-G</v>
          </cell>
          <cell r="J2070" t="str">
            <v>2775969/MMT AMC BLUE 85 S #9</v>
          </cell>
        </row>
        <row r="2071">
          <cell r="A2071" t="str">
            <v>AU232-IS-PA</v>
          </cell>
          <cell r="B2071" t="str">
            <v>FG-G</v>
          </cell>
          <cell r="J2071" t="str">
            <v>2775970/MMT AMC BLUE 85 S #W</v>
          </cell>
        </row>
        <row r="2072">
          <cell r="A2072" t="str">
            <v>SF228-WA-1A</v>
          </cell>
          <cell r="B2072" t="str">
            <v>FG-G</v>
          </cell>
          <cell r="J2072" t="str">
            <v>N6750901 / Global M1 DR / TENSEI RED 50G A-FLEX</v>
          </cell>
        </row>
        <row r="2073">
          <cell r="A2073" t="str">
            <v>SF242-WR-1A</v>
          </cell>
          <cell r="B2073" t="str">
            <v>FG-G</v>
          </cell>
          <cell r="J2073" t="str">
            <v>N8109101 / DIAMANA S+ Limited 60G R　　</v>
          </cell>
        </row>
        <row r="2074">
          <cell r="A2074" t="str">
            <v>SF271-WS-1A</v>
          </cell>
          <cell r="B2074" t="str">
            <v>FG-G</v>
          </cell>
          <cell r="J2074" t="str">
            <v>N8865001/Kaili Red Ultron DR 60 S-FLEX</v>
          </cell>
        </row>
        <row r="2075">
          <cell r="A2075" t="str">
            <v>SF242-WX-1A</v>
          </cell>
          <cell r="B2075" t="str">
            <v>FG-G</v>
          </cell>
          <cell r="J2075" t="str">
            <v>N8108901 / DIAMANA S+ Limited 60G X　</v>
          </cell>
        </row>
        <row r="2076">
          <cell r="A2076" t="str">
            <v>MX793-IR-1A</v>
          </cell>
          <cell r="B2076" t="str">
            <v>FG-G</v>
          </cell>
          <cell r="J2076" t="str">
            <v>MMT™ Hybrid 70 R-FLEX</v>
          </cell>
        </row>
        <row r="2077">
          <cell r="A2077" t="str">
            <v>MX794-IS-1A</v>
          </cell>
          <cell r="B2077" t="str">
            <v>FG-G</v>
          </cell>
          <cell r="J2077" t="str">
            <v>MMT™ Hybrid 80 S-FLEX</v>
          </cell>
        </row>
        <row r="2078">
          <cell r="A2078" t="str">
            <v>MX794-IX-1A</v>
          </cell>
          <cell r="B2078" t="str">
            <v>FG-G</v>
          </cell>
          <cell r="J2078" t="str">
            <v>MMT™ Hybrid 80 X-FLEX</v>
          </cell>
        </row>
        <row r="2079">
          <cell r="A2079" t="str">
            <v>MX795-ITX1A</v>
          </cell>
          <cell r="B2079" t="str">
            <v>FG-G</v>
          </cell>
          <cell r="J2079" t="str">
            <v>MMT™ Hybrid 90 TX-FLEX</v>
          </cell>
        </row>
        <row r="2080">
          <cell r="A2080" t="str">
            <v>MX796-ITX1A</v>
          </cell>
          <cell r="B2080" t="str">
            <v>FG-G</v>
          </cell>
          <cell r="J2080" t="str">
            <v>MMT™ Hybrid 100 TX-FLEX</v>
          </cell>
        </row>
        <row r="2081">
          <cell r="A2081" t="str">
            <v>YR193-IA-5A</v>
          </cell>
          <cell r="B2081" t="str">
            <v>FG-G</v>
          </cell>
          <cell r="J2081" t="str">
            <v>EI251-3705/YR193-IA-5A</v>
          </cell>
        </row>
        <row r="2082">
          <cell r="A2082" t="str">
            <v>YR193-IA-6A</v>
          </cell>
          <cell r="B2082" t="str">
            <v>FG-G</v>
          </cell>
          <cell r="J2082" t="str">
            <v>EI251-3706/YR193-IA-6A</v>
          </cell>
        </row>
        <row r="2083">
          <cell r="A2083" t="str">
            <v>YR193-IA-7A</v>
          </cell>
          <cell r="B2083" t="str">
            <v>FG-G</v>
          </cell>
          <cell r="J2083" t="str">
            <v>EI251-3707/YR193-IA-7A</v>
          </cell>
        </row>
        <row r="2084">
          <cell r="A2084" t="str">
            <v>YR193-IA-8A</v>
          </cell>
          <cell r="B2084" t="str">
            <v>FG-G</v>
          </cell>
          <cell r="J2084" t="str">
            <v>EI251-3708/YR193-IA-8A</v>
          </cell>
        </row>
        <row r="2085">
          <cell r="A2085" t="str">
            <v>YR193-IA-9A</v>
          </cell>
          <cell r="B2085" t="str">
            <v>FG-G</v>
          </cell>
          <cell r="J2085" t="str">
            <v>EI251-3709/YR193-IA-9A</v>
          </cell>
        </row>
        <row r="2086">
          <cell r="A2086" t="str">
            <v>YR193-IA-PA</v>
          </cell>
          <cell r="B2086" t="str">
            <v>FG-G</v>
          </cell>
          <cell r="J2086" t="str">
            <v>EI251-37W1/YR193-IA-PA</v>
          </cell>
        </row>
        <row r="2087">
          <cell r="A2087" t="str">
            <v>YR193-IA-AA</v>
          </cell>
          <cell r="B2087" t="str">
            <v>FG-G</v>
          </cell>
          <cell r="J2087" t="str">
            <v>EI251-37W2/YR193-IA-AA</v>
          </cell>
        </row>
        <row r="2088">
          <cell r="A2088" t="str">
            <v>YR193-IA-SA</v>
          </cell>
          <cell r="B2088" t="str">
            <v>FG-G</v>
          </cell>
          <cell r="J2088" t="str">
            <v>EI251-37W3/YR193-IA-SA</v>
          </cell>
        </row>
        <row r="2089">
          <cell r="A2089" t="str">
            <v>YR193-IL-6A</v>
          </cell>
          <cell r="B2089" t="str">
            <v>FG-G</v>
          </cell>
          <cell r="J2089" t="str">
            <v>EI251L3006/YR193-IL-6A</v>
          </cell>
        </row>
        <row r="2090">
          <cell r="A2090" t="str">
            <v>YR193-IL-7A</v>
          </cell>
          <cell r="B2090" t="str">
            <v>FG-G</v>
          </cell>
          <cell r="J2090" t="str">
            <v>EI251L3007/YR193-IL-7A</v>
          </cell>
        </row>
        <row r="2091">
          <cell r="A2091" t="str">
            <v>YR193-IL-8A</v>
          </cell>
          <cell r="B2091" t="str">
            <v>FG-G</v>
          </cell>
          <cell r="J2091" t="str">
            <v>EI251L3008/YR193-IL-8A</v>
          </cell>
        </row>
        <row r="2092">
          <cell r="A2092" t="str">
            <v>YR193-IL-9A</v>
          </cell>
          <cell r="B2092" t="str">
            <v>FG-G</v>
          </cell>
          <cell r="J2092" t="str">
            <v>EI251L3009/YR193-IL-9A</v>
          </cell>
        </row>
        <row r="2093">
          <cell r="A2093" t="str">
            <v>YR193-IL-PA</v>
          </cell>
          <cell r="B2093" t="str">
            <v>FG-G</v>
          </cell>
          <cell r="J2093" t="str">
            <v>EI251L30W1/YR193-IL-PA</v>
          </cell>
        </row>
        <row r="2094">
          <cell r="A2094" t="str">
            <v>YR193-IL-AA</v>
          </cell>
          <cell r="B2094" t="str">
            <v>FG-G</v>
          </cell>
          <cell r="J2094" t="str">
            <v>EI251L30W2/YR193-IL-AA</v>
          </cell>
        </row>
        <row r="2095">
          <cell r="A2095" t="str">
            <v>YR193-IL-SA</v>
          </cell>
          <cell r="B2095" t="str">
            <v>FG-G</v>
          </cell>
          <cell r="J2095" t="str">
            <v>EI251L30W3/YR193-IL-SA</v>
          </cell>
        </row>
        <row r="2096">
          <cell r="A2096" t="str">
            <v>YR193-IR-5A</v>
          </cell>
          <cell r="B2096" t="str">
            <v>FG-G</v>
          </cell>
          <cell r="J2096" t="str">
            <v>EI251-4005/YR193-IR-5A</v>
          </cell>
        </row>
        <row r="2097">
          <cell r="A2097" t="str">
            <v>YR193-IR-6A</v>
          </cell>
          <cell r="B2097" t="str">
            <v>FG-G</v>
          </cell>
          <cell r="J2097" t="str">
            <v>EI251-4006/YR193-IR-6A</v>
          </cell>
        </row>
        <row r="2098">
          <cell r="A2098" t="str">
            <v>YR193-IR-7A</v>
          </cell>
          <cell r="B2098" t="str">
            <v>FG-G</v>
          </cell>
          <cell r="J2098" t="str">
            <v>EI251-4007/YR193-IR-7A</v>
          </cell>
        </row>
        <row r="2099">
          <cell r="A2099" t="str">
            <v>YR193-IR-8A</v>
          </cell>
          <cell r="B2099" t="str">
            <v>FG-G</v>
          </cell>
          <cell r="J2099" t="str">
            <v>EI251-4008/YR193-IR-8A</v>
          </cell>
        </row>
        <row r="2100">
          <cell r="A2100" t="str">
            <v>YR193-IR-9A</v>
          </cell>
          <cell r="B2100" t="str">
            <v>FG-G</v>
          </cell>
          <cell r="J2100" t="str">
            <v>EI251-4009/YR193-IR-9A</v>
          </cell>
        </row>
        <row r="2101">
          <cell r="A2101" t="str">
            <v>YR193-IR-PA</v>
          </cell>
          <cell r="B2101" t="str">
            <v>FG-G</v>
          </cell>
          <cell r="J2101" t="str">
            <v>EI251-40W1/YR193-IR-PA</v>
          </cell>
        </row>
        <row r="2102">
          <cell r="A2102" t="str">
            <v>YR193-IR-AA</v>
          </cell>
          <cell r="B2102" t="str">
            <v>FG-G</v>
          </cell>
          <cell r="J2102" t="str">
            <v>EI251-40W2/YR193-IR-AA</v>
          </cell>
        </row>
        <row r="2103">
          <cell r="A2103" t="str">
            <v>YR193-IR-SA</v>
          </cell>
          <cell r="B2103" t="str">
            <v>FG-G</v>
          </cell>
          <cell r="J2103" t="str">
            <v>EI251-40W3/YR193-IR-SA</v>
          </cell>
        </row>
        <row r="2104">
          <cell r="A2104" t="str">
            <v>CW158-IS-2B</v>
          </cell>
          <cell r="B2104" t="str">
            <v>FG-G</v>
          </cell>
          <cell r="J2104" t="str">
            <v>3582Y3/SF WD MCA TENSEI BLK/SLV 70 GR STF JV</v>
          </cell>
        </row>
        <row r="2105">
          <cell r="A2105" t="str">
            <v>CW158-ISR2B</v>
          </cell>
          <cell r="B2105" t="str">
            <v>FG-G</v>
          </cell>
          <cell r="J2105" t="str">
            <v>3582Y5/SF WD MCA TENSEI BLK/SLV 70 GR SR JV</v>
          </cell>
        </row>
        <row r="2106">
          <cell r="A2106" t="str">
            <v>AU231-ILL4A</v>
          </cell>
          <cell r="B2106" t="str">
            <v>FG-G</v>
          </cell>
          <cell r="J2106" t="str">
            <v>2775904/MMT AMC RED 45 R4 #4</v>
          </cell>
        </row>
        <row r="2107">
          <cell r="A2107" t="str">
            <v>YM130-IR-5A</v>
          </cell>
          <cell r="B2107" t="str">
            <v>FG-G</v>
          </cell>
          <cell r="J2107" t="str">
            <v>26RMX IRON #5 R</v>
          </cell>
        </row>
        <row r="2108">
          <cell r="A2108" t="str">
            <v>YM130-IR-6A</v>
          </cell>
          <cell r="B2108" t="str">
            <v>FG-G</v>
          </cell>
          <cell r="J2108" t="str">
            <v>26RMX IRON #6 R</v>
          </cell>
        </row>
        <row r="2109">
          <cell r="A2109" t="str">
            <v>YM130-IR-7A</v>
          </cell>
          <cell r="B2109" t="str">
            <v>FG-G</v>
          </cell>
          <cell r="J2109" t="str">
            <v>26RMX IRON #7 R</v>
          </cell>
        </row>
        <row r="2110">
          <cell r="A2110" t="str">
            <v>YM130-IR-8A</v>
          </cell>
          <cell r="B2110" t="str">
            <v>FG-G</v>
          </cell>
          <cell r="J2110" t="str">
            <v>26RMX IRON #8 R</v>
          </cell>
        </row>
        <row r="2111">
          <cell r="A2111" t="str">
            <v>YM130-IR-9A</v>
          </cell>
          <cell r="B2111" t="str">
            <v>FG-G</v>
          </cell>
          <cell r="J2111" t="str">
            <v>26RMX IRON #9 R</v>
          </cell>
        </row>
        <row r="2112">
          <cell r="A2112" t="str">
            <v>YM130-IR-PA</v>
          </cell>
          <cell r="B2112" t="str">
            <v>FG-G</v>
          </cell>
          <cell r="J2112" t="str">
            <v>26RMX IRON #10 R</v>
          </cell>
        </row>
        <row r="2113">
          <cell r="A2113" t="str">
            <v>YM130-ISR5A</v>
          </cell>
          <cell r="B2113" t="str">
            <v>FG-G</v>
          </cell>
          <cell r="J2113" t="str">
            <v>26RMX IRON #5 SR</v>
          </cell>
        </row>
        <row r="2114">
          <cell r="A2114" t="str">
            <v>YM130-ISR6A</v>
          </cell>
          <cell r="B2114" t="str">
            <v>FG-G</v>
          </cell>
          <cell r="J2114" t="str">
            <v>26RMX IRON #6 SR</v>
          </cell>
        </row>
        <row r="2115">
          <cell r="A2115" t="str">
            <v>YM130-ISR7A</v>
          </cell>
          <cell r="B2115" t="str">
            <v>FG-G</v>
          </cell>
          <cell r="J2115" t="str">
            <v>26RMX IRON #7 SR</v>
          </cell>
        </row>
        <row r="2116">
          <cell r="A2116" t="str">
            <v>YM130-ISR8A</v>
          </cell>
          <cell r="B2116" t="str">
            <v>FG-G</v>
          </cell>
          <cell r="J2116" t="str">
            <v>26RMX IRON #8 SR</v>
          </cell>
        </row>
        <row r="2117">
          <cell r="A2117" t="str">
            <v>YM130-ISR9A</v>
          </cell>
          <cell r="B2117" t="str">
            <v>FG-G</v>
          </cell>
          <cell r="J2117" t="str">
            <v>26RMX IRON #9 SR</v>
          </cell>
        </row>
        <row r="2118">
          <cell r="A2118" t="str">
            <v>YM130-ISRPA</v>
          </cell>
          <cell r="B2118" t="str">
            <v>FG-G</v>
          </cell>
          <cell r="J2118" t="str">
            <v>26RMX IRON #10 SR</v>
          </cell>
        </row>
        <row r="2119">
          <cell r="A2119" t="str">
            <v>CW177-IA-3A</v>
          </cell>
          <cell r="B2119" t="str">
            <v>FG-G</v>
          </cell>
          <cell r="J2119" t="str">
            <v>3583N1/SF WD HY MITSUBISHI MMT 60 GR LGT</v>
          </cell>
        </row>
        <row r="2120">
          <cell r="A2120" t="str">
            <v>CW178-IR-3A</v>
          </cell>
          <cell r="B2120" t="str">
            <v>FG-G</v>
          </cell>
          <cell r="J2120" t="str">
            <v>3582H2/SF IR MCA MMT 80 PTIP GR REG</v>
          </cell>
        </row>
        <row r="2121">
          <cell r="A2121" t="str">
            <v>CW179-IS-3A</v>
          </cell>
          <cell r="B2121" t="str">
            <v>FG-G</v>
          </cell>
          <cell r="J2121" t="str">
            <v>3582I3/SF IR MCA MMT 90 PTIP GR STF</v>
          </cell>
        </row>
        <row r="2122">
          <cell r="A2122" t="str">
            <v>CW179-IS-3AC</v>
          </cell>
          <cell r="B2122" t="str">
            <v>FG-G</v>
          </cell>
          <cell r="J2122" t="str">
            <v>3582X3/SF IR MCA MMT 90 PTIP GR STF (DEMO)</v>
          </cell>
        </row>
        <row r="2123">
          <cell r="A2123" t="str">
            <v>CW178-IR-3AC</v>
          </cell>
          <cell r="B2123" t="str">
            <v>FG-G</v>
          </cell>
          <cell r="J2123" t="str">
            <v>3582W2/SF IR MCA MMT 80 PTIP GR REG (DEMO)</v>
          </cell>
        </row>
        <row r="2124">
          <cell r="A2124" t="str">
            <v>SP415-IR-3A</v>
          </cell>
          <cell r="B2124" t="str">
            <v>FG-G</v>
          </cell>
          <cell r="J2124" t="str">
            <v>MX2BIRM/BX2HT IRON FLEX-R</v>
          </cell>
        </row>
        <row r="2125">
          <cell r="A2125" t="str">
            <v>SP415-IS-3A</v>
          </cell>
          <cell r="B2125" t="str">
            <v>FG-G</v>
          </cell>
          <cell r="J2125" t="str">
            <v>MX2BISM/BX2HT IRON FLEX-S</v>
          </cell>
        </row>
        <row r="2126">
          <cell r="A2126" t="str">
            <v>SP415-UR-1A</v>
          </cell>
          <cell r="B2126" t="str">
            <v>FG-G</v>
          </cell>
          <cell r="J2126" t="str">
            <v>MX2BURM/BX2HT HY FLEX-R</v>
          </cell>
        </row>
        <row r="2127">
          <cell r="A2127" t="str">
            <v>SP415-US-1A</v>
          </cell>
          <cell r="B2127" t="str">
            <v>FG-G</v>
          </cell>
          <cell r="J2127" t="str">
            <v>MX2BUSM/BX2HT HY FLEX-S</v>
          </cell>
        </row>
        <row r="2128">
          <cell r="A2128" t="str">
            <v>SP415-USR1A</v>
          </cell>
          <cell r="B2128" t="str">
            <v>FG-G</v>
          </cell>
          <cell r="J2128" t="str">
            <v>MX2BUMM/BX2HT HY FLEX-SR</v>
          </cell>
        </row>
        <row r="2129">
          <cell r="A2129" t="str">
            <v>SP415-WR-1A</v>
          </cell>
          <cell r="B2129" t="str">
            <v>FG-G</v>
          </cell>
          <cell r="J2129" t="str">
            <v>MX2BWRM/BX2HT WOOD FLEX-R</v>
          </cell>
        </row>
        <row r="2130">
          <cell r="A2130" t="str">
            <v>SP415-WS-1A</v>
          </cell>
          <cell r="B2130" t="str">
            <v>FG-G</v>
          </cell>
          <cell r="J2130" t="str">
            <v>MX2BWSM/BX2HT WOOD FLEX-S</v>
          </cell>
        </row>
        <row r="2131">
          <cell r="A2131" t="str">
            <v>SP415-WSR1A</v>
          </cell>
          <cell r="B2131" t="str">
            <v>FG-G</v>
          </cell>
          <cell r="J2131" t="str">
            <v>MX2BWMM/BX2HT WOOD FLEX-SR</v>
          </cell>
        </row>
        <row r="2132">
          <cell r="A2132" t="str">
            <v>MX998-IW-1AO</v>
          </cell>
          <cell r="B2132" t="str">
            <v>FG-G</v>
          </cell>
          <cell r="J2132" t="str">
            <v>Vanquish PL HYB/IR 4 R3</v>
          </cell>
        </row>
        <row r="2133">
          <cell r="A2133" t="str">
            <v>AU232-IR-3A</v>
          </cell>
          <cell r="B2133" t="str">
            <v>FG-G</v>
          </cell>
          <cell r="J2133" t="str">
            <v>2775953/MMT AMC BLUE 85 R #3</v>
          </cell>
        </row>
        <row r="2134">
          <cell r="A2134" t="str">
            <v>AU232-IR-4A</v>
          </cell>
          <cell r="B2134" t="str">
            <v>FG-G</v>
          </cell>
          <cell r="J2134" t="str">
            <v>2775954/MMT AMC BLUE 85 R #4</v>
          </cell>
        </row>
        <row r="2135">
          <cell r="A2135" t="str">
            <v>AU232-IR-5A</v>
          </cell>
          <cell r="B2135" t="str">
            <v>FG-G</v>
          </cell>
          <cell r="J2135" t="str">
            <v>2775955/MMT AMC BLUE 85 R #5</v>
          </cell>
        </row>
        <row r="2136">
          <cell r="A2136" t="str">
            <v>AU232-IR-6A</v>
          </cell>
          <cell r="B2136" t="str">
            <v>FG-G</v>
          </cell>
          <cell r="J2136" t="str">
            <v>2775956/MMT AMC BLUE 85 R #6</v>
          </cell>
        </row>
        <row r="2137">
          <cell r="A2137" t="str">
            <v>AU232-IR-8A</v>
          </cell>
          <cell r="B2137" t="str">
            <v>FG-G</v>
          </cell>
          <cell r="J2137" t="str">
            <v>2775958/MMT AMC BLUE 85 R #8</v>
          </cell>
        </row>
        <row r="2138">
          <cell r="A2138" t="str">
            <v>AU232-IR-9A</v>
          </cell>
          <cell r="B2138" t="str">
            <v>FG-G</v>
          </cell>
          <cell r="J2138" t="str">
            <v>2775959/MMT AMC BLUE 85 R #9</v>
          </cell>
        </row>
        <row r="2139">
          <cell r="A2139" t="str">
            <v>AU232-IR-PA</v>
          </cell>
          <cell r="B2139" t="str">
            <v>FG-G</v>
          </cell>
          <cell r="J2139" t="str">
            <v>2775960/MMT AMC BLUE 85 R #W</v>
          </cell>
        </row>
        <row r="2140">
          <cell r="A2140" t="str">
            <v>MX669-IS-3CO</v>
          </cell>
          <cell r="B2140" t="str">
            <v>FG-G</v>
          </cell>
          <cell r="J2140" t="str">
            <v>MMT TAPER IRON 95 S-FLEX #3</v>
          </cell>
        </row>
        <row r="2141">
          <cell r="A2141" t="str">
            <v>MX669-IS-4CO</v>
          </cell>
          <cell r="B2141" t="str">
            <v>FG-G</v>
          </cell>
          <cell r="J2141" t="str">
            <v>MMT TAPER IRON 95 S-FLEX #4</v>
          </cell>
        </row>
        <row r="2142">
          <cell r="A2142" t="str">
            <v>MX669-IS-5CO</v>
          </cell>
          <cell r="B2142" t="str">
            <v>FG-G</v>
          </cell>
          <cell r="J2142" t="str">
            <v>MMT TAPER IRON 95 S-FLEX #5</v>
          </cell>
        </row>
        <row r="2143">
          <cell r="A2143" t="str">
            <v>MX669-IS-6CO</v>
          </cell>
          <cell r="B2143" t="str">
            <v>FG-G</v>
          </cell>
          <cell r="J2143" t="str">
            <v>MMT TAPER IRON 95 S-FLEX #6</v>
          </cell>
        </row>
        <row r="2144">
          <cell r="A2144" t="str">
            <v>MX669-IS-8CO</v>
          </cell>
          <cell r="B2144" t="str">
            <v>FG-G</v>
          </cell>
          <cell r="J2144" t="str">
            <v>MMT TAPER IRON 95 S-FLEX #8</v>
          </cell>
        </row>
        <row r="2145">
          <cell r="A2145" t="str">
            <v>MX669-IS-9CO</v>
          </cell>
          <cell r="B2145" t="str">
            <v>FG-G</v>
          </cell>
          <cell r="J2145" t="str">
            <v>MMT TAPER IRON 95 S-FLEX #9</v>
          </cell>
        </row>
        <row r="2146">
          <cell r="A2146" t="str">
            <v>MX669-IS-PCO</v>
          </cell>
          <cell r="B2146" t="str">
            <v>FG-G</v>
          </cell>
          <cell r="J2146" t="str">
            <v>MMT TAPER IRON 95 S-FLEX #W</v>
          </cell>
        </row>
        <row r="2147">
          <cell r="A2147" t="str">
            <v>MX681-IS-3CO</v>
          </cell>
          <cell r="B2147" t="str">
            <v>FG-G</v>
          </cell>
          <cell r="J2147" t="str">
            <v>MMT TAPER IRON 105 S-FLEX #3</v>
          </cell>
        </row>
        <row r="2148">
          <cell r="A2148" t="str">
            <v>MX681-IS-4CO</v>
          </cell>
          <cell r="B2148" t="str">
            <v>FG-G</v>
          </cell>
          <cell r="J2148" t="str">
            <v>MMT TAPER IRON 105 S-FLEX #4</v>
          </cell>
        </row>
        <row r="2149">
          <cell r="A2149" t="str">
            <v>MX681-IS-5CO</v>
          </cell>
          <cell r="B2149" t="str">
            <v>FG-G</v>
          </cell>
          <cell r="J2149" t="str">
            <v>MMT TAPER IRON 105 S-FLEX #5</v>
          </cell>
        </row>
        <row r="2150">
          <cell r="A2150" t="str">
            <v>MX681-IS-6CO</v>
          </cell>
          <cell r="B2150" t="str">
            <v>FG-G</v>
          </cell>
          <cell r="J2150" t="str">
            <v>MMT TAPER IRON 105 S-FLEX #6</v>
          </cell>
        </row>
        <row r="2151">
          <cell r="A2151" t="str">
            <v>MX681-IS-7CO</v>
          </cell>
          <cell r="B2151" t="str">
            <v>FG-G</v>
          </cell>
          <cell r="J2151" t="str">
            <v>MMT TAPER IRON 105 S-FLEX #7</v>
          </cell>
        </row>
        <row r="2152">
          <cell r="A2152" t="str">
            <v>MX681-IS-8CO</v>
          </cell>
          <cell r="B2152" t="str">
            <v>FG-G</v>
          </cell>
          <cell r="J2152" t="str">
            <v>MMT TAPER IRON 105 S-FLEX #8</v>
          </cell>
        </row>
        <row r="2153">
          <cell r="A2153" t="str">
            <v>MX681-IS-9CO</v>
          </cell>
          <cell r="B2153" t="str">
            <v>FG-G</v>
          </cell>
          <cell r="J2153" t="str">
            <v>MMT TAPER IRON 105 S-FLEX #9</v>
          </cell>
        </row>
        <row r="2154">
          <cell r="A2154" t="str">
            <v>MX681-IS-PCO</v>
          </cell>
          <cell r="B2154" t="str">
            <v>FG-G</v>
          </cell>
          <cell r="J2154" t="str">
            <v>MMT TAPER IRON 105 S-FLEX #W</v>
          </cell>
        </row>
        <row r="2155">
          <cell r="A2155" t="str">
            <v>MX681-ITX3CO</v>
          </cell>
          <cell r="B2155" t="str">
            <v>FG-G</v>
          </cell>
          <cell r="J2155" t="str">
            <v>MMT TAPER IRON 105 TX-FLEX #3</v>
          </cell>
        </row>
        <row r="2156">
          <cell r="A2156" t="str">
            <v>MX681-ITX4CO</v>
          </cell>
          <cell r="B2156" t="str">
            <v>FG-G</v>
          </cell>
          <cell r="J2156" t="str">
            <v>MMT TAPER IRON 105 TX-FLEX #4</v>
          </cell>
        </row>
        <row r="2157">
          <cell r="A2157" t="str">
            <v>MX681-ITX5CO</v>
          </cell>
          <cell r="B2157" t="str">
            <v>FG-G</v>
          </cell>
          <cell r="J2157" t="str">
            <v>MMT TAPER IRON 105 TX-FLEX #5</v>
          </cell>
        </row>
        <row r="2158">
          <cell r="A2158" t="str">
            <v>MX681-ITX6CO</v>
          </cell>
          <cell r="B2158" t="str">
            <v>FG-G</v>
          </cell>
          <cell r="J2158" t="str">
            <v>MMT TAPER IRON 105 TX-FLEX #6</v>
          </cell>
        </row>
        <row r="2159">
          <cell r="A2159" t="str">
            <v>MX681-ITX7CO</v>
          </cell>
          <cell r="B2159" t="str">
            <v>FG-G</v>
          </cell>
          <cell r="J2159" t="str">
            <v>MMT TAPER IRON 105 TX-FLEX #7</v>
          </cell>
        </row>
        <row r="2160">
          <cell r="A2160" t="str">
            <v>MX681-ITX8CO</v>
          </cell>
          <cell r="B2160" t="str">
            <v>FG-G</v>
          </cell>
          <cell r="J2160" t="str">
            <v>MMT TAPER IRON 105 TX-FLEX #8</v>
          </cell>
        </row>
        <row r="2161">
          <cell r="A2161" t="str">
            <v>MX681-ITX9CO</v>
          </cell>
          <cell r="B2161" t="str">
            <v>FG-G</v>
          </cell>
          <cell r="J2161" t="str">
            <v>MMT TAPER IRON 105 TX-FLEX #9</v>
          </cell>
        </row>
        <row r="2162">
          <cell r="A2162" t="str">
            <v>MX681-ITXPCO</v>
          </cell>
          <cell r="B2162" t="str">
            <v>FG-G</v>
          </cell>
          <cell r="J2162" t="str">
            <v>MMT TAPER IRON 105 TX-FLEX #W</v>
          </cell>
        </row>
        <row r="2163">
          <cell r="A2163" t="str">
            <v>MX721-ITX3CO</v>
          </cell>
          <cell r="B2163" t="str">
            <v>FG-G</v>
          </cell>
          <cell r="J2163" t="str">
            <v>MMT TAPER IRON 125 TX-FLEX #3</v>
          </cell>
        </row>
        <row r="2164">
          <cell r="A2164" t="str">
            <v>MX721-ITX4CO</v>
          </cell>
          <cell r="B2164" t="str">
            <v>FG-G</v>
          </cell>
          <cell r="J2164" t="str">
            <v>MMT TAPER IRON 125 TX-FLEX #4</v>
          </cell>
        </row>
        <row r="2165">
          <cell r="A2165" t="str">
            <v>MX721-ITX5CO</v>
          </cell>
          <cell r="B2165" t="str">
            <v>FG-G</v>
          </cell>
          <cell r="J2165" t="str">
            <v>MMT TAPER IRON 125 TX-FLEX #5</v>
          </cell>
        </row>
        <row r="2166">
          <cell r="A2166" t="str">
            <v>MX721-ITX6CO</v>
          </cell>
          <cell r="B2166" t="str">
            <v>FG-G</v>
          </cell>
          <cell r="J2166" t="str">
            <v>MMT TAPER IRON 125 TX-FLEX #6</v>
          </cell>
        </row>
        <row r="2167">
          <cell r="A2167" t="str">
            <v>MX721-ITX8CO</v>
          </cell>
          <cell r="B2167" t="str">
            <v>FG-G</v>
          </cell>
          <cell r="J2167" t="str">
            <v>MMT TAPER IRON 125 TX-FLEX #8</v>
          </cell>
        </row>
        <row r="2168">
          <cell r="A2168" t="str">
            <v>MX721-ITX9CO</v>
          </cell>
          <cell r="B2168" t="str">
            <v>FG-G</v>
          </cell>
          <cell r="J2168" t="str">
            <v>MMT TAPER IRON 125 TX-FLEX #9</v>
          </cell>
        </row>
        <row r="2169">
          <cell r="A2169" t="str">
            <v>MX795-IX-1A</v>
          </cell>
          <cell r="B2169" t="str">
            <v>FG-G</v>
          </cell>
          <cell r="J2169" t="str">
            <v>MMT™ Hybrid 90 X-FLEX</v>
          </cell>
        </row>
        <row r="2170">
          <cell r="A2170" t="str">
            <v>MX794-IS-1AO</v>
          </cell>
          <cell r="B2170" t="str">
            <v>FG-G</v>
          </cell>
          <cell r="J2170" t="str">
            <v>MMT™ Hybrid 80 S-FLEX</v>
          </cell>
        </row>
        <row r="2171">
          <cell r="A2171" t="str">
            <v>TE056-WA-1A</v>
          </cell>
          <cell r="B2171" t="str">
            <v>FG-G</v>
          </cell>
          <cell r="J2171" t="str">
            <v>YD2WGA01/MCA VANQUISH PL40 4R2 WOOD SHAFT A-FLEX</v>
          </cell>
        </row>
        <row r="2172">
          <cell r="A2172" t="str">
            <v>TE056-WR-1A</v>
          </cell>
          <cell r="B2172" t="str">
            <v>FG-G</v>
          </cell>
          <cell r="J2172" t="str">
            <v>YD2WGR01/MCA VANQUISH PL40 4R WOOD SHAFT R-FLEX</v>
          </cell>
        </row>
        <row r="2173">
          <cell r="A2173" t="str">
            <v>TE056-WW-1A</v>
          </cell>
          <cell r="B2173" t="str">
            <v>FG-G</v>
          </cell>
          <cell r="J2173" t="str">
            <v>YD2WGL01/MCA VANQUISH PL40 R3 WOOD SHAFT L-FLEX</v>
          </cell>
        </row>
        <row r="2174">
          <cell r="A2174" t="str">
            <v>TE057-WS-1A</v>
          </cell>
          <cell r="B2174" t="str">
            <v>FG-G</v>
          </cell>
          <cell r="J2174" t="str">
            <v>YD2WGS01/MCA VANQUISH PL40 5S WOOD SHAFT S-FLEX</v>
          </cell>
        </row>
        <row r="2175">
          <cell r="A2175" t="str">
            <v>YM130-UR-2A</v>
          </cell>
          <cell r="B2175" t="str">
            <v>FG-G</v>
          </cell>
          <cell r="J2175" t="str">
            <v>26RMX UT #2 R</v>
          </cell>
        </row>
        <row r="2176">
          <cell r="A2176" t="str">
            <v>YM130-US-2A</v>
          </cell>
          <cell r="B2176" t="str">
            <v>FG-G</v>
          </cell>
          <cell r="J2176" t="str">
            <v>26RMX UT #2 S</v>
          </cell>
        </row>
        <row r="2177">
          <cell r="A2177" t="str">
            <v>YM130-USR2A</v>
          </cell>
          <cell r="B2177" t="str">
            <v>FG-G</v>
          </cell>
          <cell r="J2177" t="str">
            <v>26RMX UT #2 SR</v>
          </cell>
        </row>
        <row r="2178">
          <cell r="A2178" t="str">
            <v>YM130-WR-1A</v>
          </cell>
          <cell r="B2178" t="str">
            <v>FG-G</v>
          </cell>
          <cell r="J2178" t="str">
            <v>26RMX WOOD #1 R</v>
          </cell>
        </row>
        <row r="2179">
          <cell r="A2179" t="str">
            <v>YM130-WR-3A</v>
          </cell>
          <cell r="B2179" t="str">
            <v>FG-G</v>
          </cell>
          <cell r="J2179" t="str">
            <v>26RMX WOOD #3 R</v>
          </cell>
        </row>
        <row r="2180">
          <cell r="A2180" t="str">
            <v>YM130-WS-1A</v>
          </cell>
          <cell r="B2180" t="str">
            <v>FG-G</v>
          </cell>
          <cell r="J2180" t="str">
            <v>26RMX WOOD #1 S</v>
          </cell>
        </row>
        <row r="2181">
          <cell r="A2181" t="str">
            <v>YM130-WS-3A</v>
          </cell>
          <cell r="B2181" t="str">
            <v>FG-G</v>
          </cell>
          <cell r="J2181" t="str">
            <v>26RMX WOOD #3 S</v>
          </cell>
        </row>
        <row r="2182">
          <cell r="A2182" t="str">
            <v>YM130-WSR1A</v>
          </cell>
          <cell r="B2182" t="str">
            <v>FG-G</v>
          </cell>
          <cell r="J2182" t="str">
            <v>26RMX WOOD #1 SR</v>
          </cell>
        </row>
        <row r="2183">
          <cell r="A2183" t="str">
            <v>YM130-WSR3A</v>
          </cell>
          <cell r="B2183" t="str">
            <v>FG-G</v>
          </cell>
          <cell r="J2183" t="str">
            <v>26RMX WOOD #3 SR</v>
          </cell>
        </row>
        <row r="2184">
          <cell r="A2184" t="str">
            <v>YM131-US-2A</v>
          </cell>
          <cell r="B2184" t="str">
            <v>FG-G</v>
          </cell>
          <cell r="J2184" t="str">
            <v>26RMX HEAVY UT #2 S</v>
          </cell>
        </row>
        <row r="2185">
          <cell r="A2185" t="str">
            <v>YM131-WS-1A</v>
          </cell>
          <cell r="B2185" t="str">
            <v>FG-G</v>
          </cell>
          <cell r="J2185" t="str">
            <v>26RMX HEAVY WOOD #1 S</v>
          </cell>
        </row>
        <row r="2186">
          <cell r="A2186" t="str">
            <v>YM131-WS-3A</v>
          </cell>
          <cell r="B2186" t="str">
            <v>FG-G</v>
          </cell>
          <cell r="J2186" t="str">
            <v>26RMX HEAVY WOOD #3 S</v>
          </cell>
        </row>
        <row r="2187">
          <cell r="A2187" t="str">
            <v>MX730-IS-9A</v>
          </cell>
          <cell r="B2187" t="str">
            <v>FG-G</v>
          </cell>
          <cell r="J2187" t="str">
            <v>MMT™ Taper Iron 75 S-flex (0.355 taper)</v>
          </cell>
        </row>
        <row r="2188">
          <cell r="A2188" t="str">
            <v>MX728-IA-4AO</v>
          </cell>
          <cell r="B2188" t="str">
            <v>FG-G</v>
          </cell>
          <cell r="J2188" t="str">
            <v>SH IR MCA MMT 55 TAPER GA 395</v>
          </cell>
        </row>
        <row r="2189">
          <cell r="A2189" t="str">
            <v>MX728-IA-5AO</v>
          </cell>
          <cell r="B2189" t="str">
            <v>FG-G</v>
          </cell>
          <cell r="J2189" t="str">
            <v>SH IR MCA MMT 55 TAPER GA 390</v>
          </cell>
        </row>
        <row r="2190">
          <cell r="A2190" t="str">
            <v>MX728-IA-6AO</v>
          </cell>
          <cell r="B2190" t="str">
            <v>FG-G</v>
          </cell>
          <cell r="J2190" t="str">
            <v>SH IR MCA MMT 55 TAPER GA 385</v>
          </cell>
        </row>
        <row r="2191">
          <cell r="A2191" t="str">
            <v>MX728-IA-7AO</v>
          </cell>
          <cell r="B2191" t="str">
            <v>FG-G</v>
          </cell>
          <cell r="J2191" t="str">
            <v>SH IR MCA MMT 55 TAPER GA 380</v>
          </cell>
        </row>
        <row r="2192">
          <cell r="A2192" t="str">
            <v>MX728-IA-8AO</v>
          </cell>
          <cell r="B2192" t="str">
            <v>FG-G</v>
          </cell>
          <cell r="J2192" t="str">
            <v>SH IR MCA MMT 55 TAPER GA 375</v>
          </cell>
        </row>
        <row r="2193">
          <cell r="A2193" t="str">
            <v>MX728-IA-9AO</v>
          </cell>
          <cell r="B2193" t="str">
            <v>FG-G</v>
          </cell>
          <cell r="J2193" t="str">
            <v>SH IR MCA MMT 55 TAPER GA 370</v>
          </cell>
        </row>
        <row r="2194">
          <cell r="A2194" t="str">
            <v>MX728-IA-PAO</v>
          </cell>
          <cell r="B2194" t="str">
            <v>FG-G</v>
          </cell>
          <cell r="J2194" t="str">
            <v>SH IR MCA MMT 55 TAPER GA 365</v>
          </cell>
        </row>
        <row r="2195">
          <cell r="A2195" t="str">
            <v>CB050-WR-1A</v>
          </cell>
          <cell r="B2195" t="str">
            <v>FG-G</v>
          </cell>
          <cell r="J2195" t="str">
            <v>SD22GR150460/SH DF MCA KAILI DW BU 60 GR 460</v>
          </cell>
        </row>
        <row r="2196">
          <cell r="A2196" t="str">
            <v>CB050-WS-1A</v>
          </cell>
          <cell r="B2196" t="str">
            <v>FG-G</v>
          </cell>
          <cell r="J2196" t="str">
            <v>SD22GS258460/SH DF MCA KAILI DW BU 60 GS 460</v>
          </cell>
        </row>
        <row r="2197">
          <cell r="A2197" t="str">
            <v>CB050-WX-1A</v>
          </cell>
          <cell r="B2197" t="str">
            <v>FG-G</v>
          </cell>
          <cell r="J2197" t="str">
            <v>SD22GX225460/SH DF MCA KAILI DW BU 60 GX 460</v>
          </cell>
        </row>
        <row r="2198">
          <cell r="A2198" t="str">
            <v>CB052-WS-1A</v>
          </cell>
          <cell r="B2198" t="str">
            <v>FG-G</v>
          </cell>
          <cell r="J2198" t="str">
            <v>SD22GS256460/SH DF MCA KAILI DW WT 60 GS 460</v>
          </cell>
        </row>
        <row r="2199">
          <cell r="A2199" t="str">
            <v>CB052-WX-1A</v>
          </cell>
          <cell r="B2199" t="str">
            <v>FG-G</v>
          </cell>
          <cell r="J2199" t="str">
            <v>SD22GX223460/SH DF MCA KAILI DW WT 60 GX 460</v>
          </cell>
        </row>
        <row r="2200">
          <cell r="A2200" t="str">
            <v>CB054-WA-1A</v>
          </cell>
          <cell r="B2200" t="str">
            <v>FG-G</v>
          </cell>
          <cell r="J2200" t="str">
            <v>SD22GA029460/SH DF MCA KAILI DW RD 50 GA 460</v>
          </cell>
        </row>
        <row r="2201">
          <cell r="A2201" t="str">
            <v>CB054-WR-1A</v>
          </cell>
          <cell r="B2201" t="str">
            <v>FG-G</v>
          </cell>
          <cell r="J2201" t="str">
            <v>SD22GR151460/SH DF MCA KAILI DW RD 50 GR 460</v>
          </cell>
        </row>
        <row r="2202">
          <cell r="A2202" t="str">
            <v>CB054-WS-1A</v>
          </cell>
          <cell r="B2202" t="str">
            <v>FG-G</v>
          </cell>
          <cell r="J2202" t="str">
            <v>SD22GS260460/SH DF MCA KAILI DW RD 50 GS 460</v>
          </cell>
        </row>
        <row r="2203">
          <cell r="A2203" t="str">
            <v>MX793-IR-1AO</v>
          </cell>
          <cell r="B2203" t="str">
            <v>FG-G</v>
          </cell>
          <cell r="J2203" t="str">
            <v>MMT™ Hybrid 70 R-FLEX</v>
          </cell>
        </row>
        <row r="2204">
          <cell r="A2204" t="str">
            <v>MX794-IX-1AO</v>
          </cell>
          <cell r="B2204" t="str">
            <v>FG-G</v>
          </cell>
          <cell r="J2204" t="str">
            <v>MMT™ Hybrid 80 X-FLEX</v>
          </cell>
        </row>
        <row r="2205">
          <cell r="A2205" t="str">
            <v>CB044-WW-1A</v>
          </cell>
          <cell r="B2205" t="str">
            <v>FG-G</v>
          </cell>
          <cell r="J2205" t="str">
            <v>VANQUISH OEM WOOD 40 GRAM W</v>
          </cell>
        </row>
        <row r="2206">
          <cell r="A2206" t="str">
            <v>YR161-WS-1A</v>
          </cell>
          <cell r="B2206" t="str">
            <v>FG-G</v>
          </cell>
          <cell r="J2206" t="str">
            <v>VD201-43A,2020 RS Driver S-flex</v>
          </cell>
        </row>
        <row r="2207">
          <cell r="A2207" t="str">
            <v>YR161-WSR1A</v>
          </cell>
          <cell r="B2207" t="str">
            <v>FG-G</v>
          </cell>
          <cell r="J2207" t="str">
            <v>VD201-40A,2020 RS Driver SR-flex</v>
          </cell>
        </row>
        <row r="2208">
          <cell r="A2208" t="str">
            <v>MX730-IS-8A</v>
          </cell>
          <cell r="J2208" t="str">
            <v>MMT™ Taper Iron 75 S-flex (0.355 taper)</v>
          </cell>
        </row>
        <row r="2209">
          <cell r="A2209" t="str">
            <v>XG015-WL-1C</v>
          </cell>
          <cell r="B2209" t="str">
            <v>FG-G</v>
          </cell>
          <cell r="J2209" t="str">
            <v>MCA DIAMANA V3 PXG 40L</v>
          </cell>
        </row>
        <row r="2210">
          <cell r="A2210" t="str">
            <v>XG015-WR-1C</v>
          </cell>
          <cell r="B2210" t="str">
            <v>FG-G</v>
          </cell>
          <cell r="J2210" t="str">
            <v>MCA DIAMANA V3PXG 50R</v>
          </cell>
        </row>
        <row r="2211">
          <cell r="A2211" t="str">
            <v>XG015-WS-1C</v>
          </cell>
          <cell r="B2211" t="str">
            <v>FG-G</v>
          </cell>
          <cell r="J2211" t="str">
            <v>MCA DIAMANA V3 PXG 50S</v>
          </cell>
        </row>
        <row r="2212">
          <cell r="A2212" t="str">
            <v>XG016-WR-1C</v>
          </cell>
          <cell r="B2212" t="str">
            <v>FG-G</v>
          </cell>
          <cell r="J2212" t="str">
            <v>MCA DIAMANA V3 PXG 60R</v>
          </cell>
        </row>
        <row r="2213">
          <cell r="A2213" t="str">
            <v>XG016-WS-1C</v>
          </cell>
          <cell r="B2213" t="str">
            <v>FG-G</v>
          </cell>
          <cell r="J2213" t="str">
            <v>MCA DIAMANA V3 PXG 60S</v>
          </cell>
        </row>
        <row r="2214">
          <cell r="A2214" t="str">
            <v>XG018-IL-1C</v>
          </cell>
          <cell r="B2214" t="str">
            <v>FG-G</v>
          </cell>
          <cell r="J2214" t="str">
            <v>MCA DIAMANA V3 PXG HYBRID 50L</v>
          </cell>
        </row>
        <row r="2215">
          <cell r="A2215" t="str">
            <v>XG018-IR-1C</v>
          </cell>
          <cell r="B2215" t="str">
            <v>FG-G</v>
          </cell>
          <cell r="J2215" t="str">
            <v>MCA DIAMANA V3 PXG HYBRID 60R</v>
          </cell>
        </row>
        <row r="2216">
          <cell r="A2216" t="str">
            <v>XG018-IS-1C</v>
          </cell>
          <cell r="B2216" t="str">
            <v>FG-G</v>
          </cell>
          <cell r="J2216" t="str">
            <v>S-DIAMANA-PXG-V3-HYB-60S/MCA DIAMANA V3 PXG HYBRID 60 S</v>
          </cell>
        </row>
        <row r="2217">
          <cell r="A2217" t="str">
            <v>XG019-IL-1C</v>
          </cell>
          <cell r="B2217" t="str">
            <v>FG-G</v>
          </cell>
          <cell r="J2217" t="str">
            <v>MCA DIAMANA V3 PXG IRON 50L</v>
          </cell>
        </row>
        <row r="2218">
          <cell r="A2218" t="str">
            <v>XG020-IR-1C</v>
          </cell>
          <cell r="B2218" t="str">
            <v>FG-G</v>
          </cell>
          <cell r="J2218" t="str">
            <v>MCA DIAMANA V3 PXG IRON 60R</v>
          </cell>
        </row>
        <row r="2219">
          <cell r="A2219" t="str">
            <v>XG020-IS-1C</v>
          </cell>
          <cell r="B2219" t="str">
            <v>FG-G</v>
          </cell>
          <cell r="J2219" t="str">
            <v>S-DIAMANA-PXG-V3-IRON-60S/MCA DIAMANA V3 PXG IRON 60 S</v>
          </cell>
        </row>
        <row r="2220">
          <cell r="A2220" t="str">
            <v>XG021-IS-1C</v>
          </cell>
          <cell r="B2220" t="str">
            <v>FG-G</v>
          </cell>
          <cell r="J2220" t="str">
            <v>S-DIAMANA-PXG-V3-IRON-70S/MCA DIAMANA V3 PXG IRON 70 S</v>
          </cell>
        </row>
        <row r="2221">
          <cell r="A2221" t="str">
            <v>XG022-IS-1C</v>
          </cell>
          <cell r="B2221" t="str">
            <v>FG-G</v>
          </cell>
          <cell r="J2221" t="str">
            <v>MCA DIAMANA V3 PXG IRON 80-S</v>
          </cell>
        </row>
        <row r="2222">
          <cell r="A2222" t="str">
            <v>XG049-IR-1C</v>
          </cell>
          <cell r="B2222" t="str">
            <v>FG-G</v>
          </cell>
          <cell r="J2222" t="str">
            <v>MCA DIAMANA V3　PXG　HYBRID 　70R</v>
          </cell>
        </row>
        <row r="2223">
          <cell r="A2223" t="str">
            <v>XG050-IS-1C</v>
          </cell>
          <cell r="B2223" t="str">
            <v>FG-G</v>
          </cell>
          <cell r="J2223" t="str">
            <v>MCA DIAMANA V3　PXG　HYBRID 　80S</v>
          </cell>
        </row>
        <row r="2224">
          <cell r="A2224" t="str">
            <v>XG051-IS-1C</v>
          </cell>
          <cell r="B2224" t="str">
            <v>FG-G</v>
          </cell>
          <cell r="J2224" t="str">
            <v>MCA DIAMANA V3　PXG　HYBRID 　90S</v>
          </cell>
        </row>
        <row r="2225">
          <cell r="A2225" t="str">
            <v>CB053-WS-1A</v>
          </cell>
          <cell r="B2225" t="str">
            <v>FG-G</v>
          </cell>
          <cell r="J2225" t="str">
            <v>SD22GS257460/SH DF MCA KAILI DW WT 70 GS 460</v>
          </cell>
        </row>
        <row r="2226">
          <cell r="A2226" t="str">
            <v>SP416-IR-4A</v>
          </cell>
          <cell r="B2226" t="str">
            <v>FG-G</v>
          </cell>
          <cell r="J2226" t="str">
            <v>MVJBIRM/BASSARA B50Ⅱ V300Ⅹ Iron Flex-R</v>
          </cell>
        </row>
        <row r="2227">
          <cell r="A2227" t="str">
            <v>MX836-WS-1AO</v>
          </cell>
          <cell r="B2227" t="str">
            <v>FG-G</v>
          </cell>
          <cell r="J2227" t="str">
            <v>TENSEI AV BLUE 75 S-FLEX WITH XLINK</v>
          </cell>
        </row>
        <row r="2228">
          <cell r="A2228" t="str">
            <v>SP397-IR-3C</v>
          </cell>
          <cell r="B2228" t="str">
            <v>FG-G</v>
          </cell>
          <cell r="J2228" t="str">
            <v>OKGBIRM/KUROKAGE GR IRON FLEX R</v>
          </cell>
        </row>
        <row r="2229">
          <cell r="A2229" t="str">
            <v>SP397-UR-1C</v>
          </cell>
          <cell r="B2229" t="str">
            <v>FG-G</v>
          </cell>
          <cell r="J2229" t="str">
            <v>OKGBURM/KUROKAGE GR UTILITY FLEX R</v>
          </cell>
        </row>
        <row r="2230">
          <cell r="A2230" t="str">
            <v>SP397-US-1C</v>
          </cell>
          <cell r="B2230" t="str">
            <v>FG-G</v>
          </cell>
          <cell r="J2230" t="str">
            <v>OKGBUSM/KUROKAGE GR UTILITY FLEX-S</v>
          </cell>
        </row>
        <row r="2231">
          <cell r="A2231" t="str">
            <v>SP397-WR-1C</v>
          </cell>
          <cell r="B2231" t="str">
            <v>FG-G</v>
          </cell>
          <cell r="J2231" t="str">
            <v>OKGBWRM/KUROKAGE GR WOOD FLEX R</v>
          </cell>
        </row>
        <row r="2232">
          <cell r="A2232" t="str">
            <v>SP397-WS-1C</v>
          </cell>
          <cell r="B2232" t="str">
            <v>FG-G</v>
          </cell>
          <cell r="J2232" t="str">
            <v>OKGBWSM/KUROKAGE GR WOOD FLEX-R</v>
          </cell>
        </row>
        <row r="2233">
          <cell r="A2233" t="str">
            <v>MX730-IS-5A</v>
          </cell>
          <cell r="B2233" t="str">
            <v>FG-G</v>
          </cell>
          <cell r="J2233" t="str">
            <v>MMT™ Taper Iron 75 S-flex (0.355 taper)</v>
          </cell>
        </row>
        <row r="2234">
          <cell r="A2234" t="str">
            <v>MX792-IR-1A</v>
          </cell>
          <cell r="B2234" t="str">
            <v>FG-G</v>
          </cell>
          <cell r="J2234" t="str">
            <v>MMT™ Hybrid 60 R-FLEX</v>
          </cell>
        </row>
        <row r="2235">
          <cell r="A2235" t="str">
            <v>MX946-WA-1A</v>
          </cell>
          <cell r="B2235" t="str">
            <v>FG-G</v>
          </cell>
          <cell r="J2235" t="str">
            <v>DIAMANA™ BB-SERIES 43 R2-FLEX</v>
          </cell>
        </row>
        <row r="2236">
          <cell r="A2236" t="str">
            <v>MX947-WS-1A</v>
          </cell>
          <cell r="B2236" t="str">
            <v>FG-G</v>
          </cell>
          <cell r="J2236" t="str">
            <v>DIAMANA™ BB-SERIES 53 S-FLEX</v>
          </cell>
        </row>
        <row r="2237">
          <cell r="A2237" t="str">
            <v>MX948-WX-1A</v>
          </cell>
          <cell r="B2237" t="str">
            <v>FG-G</v>
          </cell>
          <cell r="J2237" t="str">
            <v>DIAMANA™ BB-SERIES 63 X-FLEX</v>
          </cell>
        </row>
        <row r="2238">
          <cell r="A2238" t="str">
            <v>MX949-WS-1A</v>
          </cell>
          <cell r="B2238" t="str">
            <v>FG-G</v>
          </cell>
          <cell r="J2238" t="str">
            <v>DIAMANA™ BB-SERIES 73 S-FLEX</v>
          </cell>
        </row>
        <row r="2239">
          <cell r="A2239" t="str">
            <v>MX949-WTX1A</v>
          </cell>
          <cell r="B2239" t="str">
            <v>FG-G</v>
          </cell>
          <cell r="J2239" t="str">
            <v>DIAMANA™ BB-SERIES 73 TX-FLEX</v>
          </cell>
        </row>
        <row r="2240">
          <cell r="A2240" t="str">
            <v>MX949-WX-1A</v>
          </cell>
          <cell r="B2240" t="str">
            <v>FG-G</v>
          </cell>
          <cell r="J2240" t="str">
            <v>DIAMANA™ BB-SERIES 73 X-FLEX</v>
          </cell>
        </row>
        <row r="2241">
          <cell r="A2241" t="str">
            <v>MX955-WX-1A</v>
          </cell>
          <cell r="B2241" t="str">
            <v>FG-G</v>
          </cell>
          <cell r="J2241" t="str">
            <v>6TH GEN. DIAMANA™ WB-SERIES 73 X-FLEX</v>
          </cell>
        </row>
        <row r="2242">
          <cell r="A2242" t="str">
            <v>MX948-WS-1AO</v>
          </cell>
          <cell r="B2242" t="str">
            <v>FG-G</v>
          </cell>
          <cell r="J2242" t="str">
            <v>DIAMANA™ BB-SERIES 63 S-FLEX</v>
          </cell>
        </row>
        <row r="2243">
          <cell r="A2243" t="str">
            <v>MX948-WX-1AO</v>
          </cell>
          <cell r="B2243" t="str">
            <v>FG-G</v>
          </cell>
          <cell r="J2243" t="str">
            <v>DIAMANA™ BB-SERIES 63 X-FLEX</v>
          </cell>
        </row>
        <row r="2244">
          <cell r="A2244" t="str">
            <v>MX954-WX-1AO</v>
          </cell>
          <cell r="B2244" t="str">
            <v>FG-G</v>
          </cell>
          <cell r="J2244" t="str">
            <v>DIAMANA™ WB-SERIES 63 X-FLEX</v>
          </cell>
        </row>
        <row r="2245">
          <cell r="A2245" t="str">
            <v>MX955-WTX1AO</v>
          </cell>
          <cell r="B2245" t="str">
            <v>FG-G</v>
          </cell>
          <cell r="J2245" t="str">
            <v>DIAMANA™ WB-SERIES 73 TX-FLEX</v>
          </cell>
        </row>
        <row r="2246">
          <cell r="A2246" t="str">
            <v>CW158-IR-2B</v>
          </cell>
          <cell r="B2246" t="str">
            <v>FG-G</v>
          </cell>
          <cell r="J2246" t="str">
            <v>3582Y2/SF WD MCA TENSEI BLK/SLV 70 GR REG JV</v>
          </cell>
        </row>
        <row r="2247">
          <cell r="A2247" t="str">
            <v>MX949-WX-1AO</v>
          </cell>
          <cell r="B2247" t="str">
            <v>FG-G</v>
          </cell>
          <cell r="J2247" t="str">
            <v>DIAMANA™ BB-SERIES 73 X-FLEX</v>
          </cell>
        </row>
        <row r="2248">
          <cell r="A2248" t="str">
            <v>MX955-WX-1AO</v>
          </cell>
          <cell r="B2248" t="str">
            <v>FG-G</v>
          </cell>
          <cell r="J2248" t="str">
            <v>DIAMANA™ WB-SERIES 73 X-FLEX</v>
          </cell>
        </row>
        <row r="2249">
          <cell r="A2249" t="str">
            <v>MX960-WX-1AO</v>
          </cell>
          <cell r="B2249" t="str">
            <v>FG-G</v>
          </cell>
          <cell r="J2249" t="str">
            <v>DIAMANA RB-SERIES 63 X-FLEX</v>
          </cell>
        </row>
        <row r="2250">
          <cell r="A2250" t="str">
            <v>CB051-WS-1A</v>
          </cell>
          <cell r="B2250" t="str">
            <v>FG-G</v>
          </cell>
          <cell r="J2250" t="str">
            <v>SD22GS259460/SH DF MCA KAILI DW BU 70 GS 460</v>
          </cell>
        </row>
        <row r="2251">
          <cell r="A2251" t="str">
            <v>CB051-WX-1A</v>
          </cell>
          <cell r="B2251" t="str">
            <v>FG-G</v>
          </cell>
          <cell r="J2251" t="str">
            <v>SD22GX226460/SH DF MCA KAILI DW BU 70 GX 460</v>
          </cell>
        </row>
        <row r="2252">
          <cell r="A2252" t="str">
            <v>CB053-WX-1A</v>
          </cell>
          <cell r="B2252" t="str">
            <v>FG-G</v>
          </cell>
          <cell r="J2252" t="str">
            <v>SD22GX224460/SH DF MCA KAILI DW WT 70 GX 460</v>
          </cell>
        </row>
        <row r="2253">
          <cell r="A2253" t="str">
            <v>AX202-WA-1EB</v>
          </cell>
          <cell r="B2253" t="str">
            <v>FG-G</v>
          </cell>
          <cell r="J2253" t="str">
            <v>YA8WGA01/ASCENT Blue 50 A-FLEX WOOD</v>
          </cell>
        </row>
        <row r="2254">
          <cell r="A2254" t="str">
            <v>AX202-WL-1EB</v>
          </cell>
          <cell r="B2254" t="str">
            <v>FG-G</v>
          </cell>
          <cell r="J2254" t="str">
            <v>YA8WGL01/ASCENT White 45 L-FLEX WOOD</v>
          </cell>
        </row>
        <row r="2255">
          <cell r="A2255" t="str">
            <v>AX202-WR-1EB</v>
          </cell>
          <cell r="B2255" t="str">
            <v>FG-G</v>
          </cell>
          <cell r="J2255" t="str">
            <v>YA8WGR01/ASCENT Blue 50 R-FLEX WOOD</v>
          </cell>
        </row>
        <row r="2256">
          <cell r="A2256" t="str">
            <v>AX202-WS-1EB</v>
          </cell>
          <cell r="B2256" t="str">
            <v>FG-G</v>
          </cell>
          <cell r="J2256" t="str">
            <v>YA8WGS01/ASCENT Blue 55 S-FLEX WOOD</v>
          </cell>
        </row>
        <row r="2257">
          <cell r="A2257" t="str">
            <v>AX203-IA-1EB</v>
          </cell>
          <cell r="B2257" t="str">
            <v>FG-G</v>
          </cell>
          <cell r="J2257" t="str">
            <v>YA8IGA01/ASCENT Blue 55 A-FLEX HY/IRON</v>
          </cell>
        </row>
        <row r="2258">
          <cell r="A2258" t="str">
            <v>AX203-IL-1EB</v>
          </cell>
          <cell r="B2258" t="str">
            <v>FG-G</v>
          </cell>
          <cell r="J2258" t="str">
            <v>YA8IGL01/ASCENT White 50 L-FLEX HY/IRON</v>
          </cell>
        </row>
        <row r="2259">
          <cell r="A2259" t="str">
            <v>AX203-IR-1EB</v>
          </cell>
          <cell r="B2259" t="str">
            <v>FG-G</v>
          </cell>
          <cell r="J2259" t="str">
            <v>YA8IGR01/ASCENT Blue 55 R-FLEX HY/IRON</v>
          </cell>
        </row>
        <row r="2260">
          <cell r="A2260" t="str">
            <v>AX203-IS-1EB</v>
          </cell>
          <cell r="B2260" t="str">
            <v>FG-G</v>
          </cell>
          <cell r="J2260" t="str">
            <v>YA8IGS01/ASCENT Blue 60 S-FLEX HY/IRON</v>
          </cell>
        </row>
        <row r="2261">
          <cell r="A2261" t="str">
            <v>LB001-IS-TA</v>
          </cell>
          <cell r="B2261" t="str">
            <v>FG-G</v>
          </cell>
          <cell r="J2261" t="str">
            <v>LB001-IS-TA/DIAMANA 12K PUTTER SHAFT - LAB LOGO / BLACK / MA</v>
          </cell>
        </row>
        <row r="2262">
          <cell r="A2262" t="str">
            <v>LB002-IS-TA</v>
          </cell>
          <cell r="B2262" t="str">
            <v>FG-G</v>
          </cell>
          <cell r="J2262" t="str">
            <v>LB002-IS-TA/DIAMANA PUTTER SHAFT - LAB LOGO / BLACK / MATTE</v>
          </cell>
        </row>
        <row r="2263">
          <cell r="A2263" t="str">
            <v>MX954-WTX1AO</v>
          </cell>
          <cell r="B2263" t="str">
            <v>FG-G</v>
          </cell>
          <cell r="J2263" t="str">
            <v>DIAMANA™ WB-SERIES 63 TX-FLEX</v>
          </cell>
        </row>
        <row r="2264">
          <cell r="A2264" t="str">
            <v>SF328-WS-1A</v>
          </cell>
          <cell r="B2264" t="str">
            <v>FG-G</v>
          </cell>
          <cell r="J2264" t="str">
            <v>N9545401/SHM-26 REAX LR 60 S</v>
          </cell>
        </row>
        <row r="2265">
          <cell r="A2265" t="str">
            <v>SF328-WX-1A</v>
          </cell>
          <cell r="B2265" t="str">
            <v>FG-G</v>
          </cell>
          <cell r="J2265" t="str">
            <v>M5302001/SHM-26 REAX LR 60 X</v>
          </cell>
        </row>
        <row r="2266">
          <cell r="A2266" t="str">
            <v>SF329-WS-1A</v>
          </cell>
          <cell r="B2266" t="str">
            <v>FG-G</v>
          </cell>
          <cell r="J2266" t="str">
            <v>N9545501/SHM-26 REAX MR 60 S</v>
          </cell>
        </row>
        <row r="2267">
          <cell r="A2267" t="str">
            <v>SF329-WX-1A</v>
          </cell>
          <cell r="B2267" t="str">
            <v>FG-G</v>
          </cell>
          <cell r="J2267" t="str">
            <v>M5302101/SHM-26 REAX MR 60 X</v>
          </cell>
        </row>
        <row r="2268">
          <cell r="A2268" t="str">
            <v>SF330-WS-1A</v>
          </cell>
          <cell r="B2268" t="str">
            <v>FG-G</v>
          </cell>
          <cell r="J2268" t="str">
            <v>N9545601/SHM-26 REAX MR 50 S</v>
          </cell>
        </row>
        <row r="2269">
          <cell r="A2269" t="str">
            <v>SF332-WA-1A</v>
          </cell>
          <cell r="B2269" t="str">
            <v>FG-G</v>
          </cell>
          <cell r="J2269" t="str">
            <v>M5300501/SHM-26 REAX MR 40 A</v>
          </cell>
        </row>
        <row r="2270">
          <cell r="A2270" t="str">
            <v>SF332-WA-1B</v>
          </cell>
          <cell r="B2270" t="str">
            <v>FG-G</v>
          </cell>
          <cell r="J2270" t="str">
            <v>M5303601/SHM-26 REAX 40 A</v>
          </cell>
        </row>
        <row r="2271">
          <cell r="A2271" t="str">
            <v>SF332-WL-1A</v>
          </cell>
          <cell r="B2271" t="str">
            <v>FG-G</v>
          </cell>
          <cell r="J2271" t="str">
            <v>M5300601/SHM-26 REAX MR 40 L</v>
          </cell>
        </row>
        <row r="2272">
          <cell r="A2272" t="str">
            <v>SF332-WL-1B</v>
          </cell>
          <cell r="B2272" t="str">
            <v>FG-G</v>
          </cell>
          <cell r="J2272" t="str">
            <v>M5303701/SHM-26 REAX 40 L</v>
          </cell>
        </row>
        <row r="2273">
          <cell r="A2273" t="str">
            <v>SF332-WR-1A</v>
          </cell>
          <cell r="B2273" t="str">
            <v>FG-G</v>
          </cell>
          <cell r="J2273" t="str">
            <v>M5300401/SHM-26 REAX MR 40 R</v>
          </cell>
        </row>
        <row r="2274">
          <cell r="A2274" t="str">
            <v>SF332-WR-1B</v>
          </cell>
          <cell r="B2274" t="str">
            <v>FG-G</v>
          </cell>
          <cell r="J2274" t="str">
            <v>M5303501/SHM-26 REAX 45 R</v>
          </cell>
        </row>
        <row r="2275">
          <cell r="A2275" t="str">
            <v>SF332-WS-1A</v>
          </cell>
          <cell r="B2275" t="str">
            <v>FG-G</v>
          </cell>
          <cell r="J2275" t="str">
            <v>M5300201/SHM-26 REAX MR 40 S</v>
          </cell>
        </row>
        <row r="2276">
          <cell r="A2276" t="str">
            <v>SF332-WS-1B</v>
          </cell>
          <cell r="B2276" t="str">
            <v>FG-G</v>
          </cell>
          <cell r="J2276" t="str">
            <v>M5303301/SHM-26 REAX 45 S</v>
          </cell>
        </row>
        <row r="2277">
          <cell r="A2277" t="str">
            <v>SF332-WSR1A</v>
          </cell>
          <cell r="B2277" t="str">
            <v>FG-G</v>
          </cell>
          <cell r="J2277" t="str">
            <v>M5300301/SHM-26 REAX MR 40 SR</v>
          </cell>
        </row>
        <row r="2278">
          <cell r="A2278" t="str">
            <v>SF332-WSR1B</v>
          </cell>
          <cell r="B2278" t="str">
            <v>FG-G</v>
          </cell>
          <cell r="J2278" t="str">
            <v>M5303401/SHM-26 REAX 45 SR</v>
          </cell>
        </row>
        <row r="2279">
          <cell r="A2279" t="str">
            <v>SF333-WS-1A</v>
          </cell>
          <cell r="B2279" t="str">
            <v>FG-G</v>
          </cell>
          <cell r="J2279" t="str">
            <v>M5302301/SHM-26 REAX 75 S</v>
          </cell>
        </row>
        <row r="2280">
          <cell r="A2280" t="str">
            <v>SF333-WSR1A</v>
          </cell>
          <cell r="B2280" t="str">
            <v>FG-G</v>
          </cell>
          <cell r="J2280" t="str">
            <v>M5302401/SHM-26 REAX 75 SR</v>
          </cell>
        </row>
        <row r="2281">
          <cell r="A2281" t="str">
            <v>SF333-WX-1A</v>
          </cell>
          <cell r="B2281" t="str">
            <v>FG-G</v>
          </cell>
          <cell r="J2281" t="str">
            <v>M5302201/SHM-26 REAX 75 X</v>
          </cell>
        </row>
        <row r="2282">
          <cell r="A2282" t="str">
            <v>SF334-WS-1A</v>
          </cell>
          <cell r="B2282" t="str">
            <v>FG-G</v>
          </cell>
          <cell r="J2282" t="str">
            <v>M5303101/SHM-26 REAX 65 S</v>
          </cell>
        </row>
        <row r="2283">
          <cell r="A2283" t="str">
            <v>SF334-WSR1A</v>
          </cell>
          <cell r="B2283" t="str">
            <v>FG-G</v>
          </cell>
          <cell r="J2283" t="str">
            <v>M5303201/SHM-26 REAX 65 SR</v>
          </cell>
        </row>
        <row r="2284">
          <cell r="A2284" t="str">
            <v>SF334-WX-1A</v>
          </cell>
          <cell r="B2284" t="str">
            <v>FG-G</v>
          </cell>
          <cell r="J2284" t="str">
            <v>M5302501/SHM-26 REAX 65 X</v>
          </cell>
        </row>
        <row r="2285">
          <cell r="A2285" t="str">
            <v>SF335-WS-1A</v>
          </cell>
          <cell r="B2285" t="str">
            <v>FG-G</v>
          </cell>
          <cell r="J2285" t="str">
            <v>M5300901/SHM-26 REAX 55 S</v>
          </cell>
        </row>
        <row r="2286">
          <cell r="A2286" t="str">
            <v>SF340-IA-1A</v>
          </cell>
          <cell r="B2286" t="str">
            <v>FG-G</v>
          </cell>
          <cell r="J2286" t="str">
            <v>N9541201/SHI REAX 40 A</v>
          </cell>
        </row>
        <row r="2287">
          <cell r="A2287" t="str">
            <v>SF340-IL-1A</v>
          </cell>
          <cell r="B2287" t="str">
            <v>FG-G</v>
          </cell>
          <cell r="J2287" t="str">
            <v>N9541301/SHI REAX 40 L</v>
          </cell>
        </row>
        <row r="2288">
          <cell r="A2288" t="str">
            <v>SF313-WS-1A</v>
          </cell>
          <cell r="B2288" t="str">
            <v>FG-G</v>
          </cell>
          <cell r="J2288" t="str">
            <v>N3714701/SHM-REAX 60 MR S</v>
          </cell>
        </row>
        <row r="2289">
          <cell r="A2289" t="str">
            <v>SF314-WA-1A</v>
          </cell>
          <cell r="B2289" t="str">
            <v>FG-G</v>
          </cell>
          <cell r="J2289" t="str">
            <v>N3712301/SHM-REAX 50 HR A</v>
          </cell>
        </row>
        <row r="2290">
          <cell r="A2290" t="str">
            <v>SF314-WS-1A</v>
          </cell>
          <cell r="B2290" t="str">
            <v>FG-G</v>
          </cell>
          <cell r="J2290" t="str">
            <v>N3712101/SHM-REAX 50 HR S</v>
          </cell>
        </row>
        <row r="2291">
          <cell r="A2291" t="str">
            <v>SF314-WX-1A</v>
          </cell>
          <cell r="B2291" t="str">
            <v>FG-G</v>
          </cell>
          <cell r="J2291" t="str">
            <v>N3712001/SHM-REAX 50 HR X</v>
          </cell>
        </row>
        <row r="2292">
          <cell r="A2292" t="str">
            <v>SF325-WR-1A</v>
          </cell>
          <cell r="B2292" t="str">
            <v>FG-G</v>
          </cell>
          <cell r="J2292" t="str">
            <v>N3721301/SHM-REAX 65 R</v>
          </cell>
        </row>
        <row r="2293">
          <cell r="A2293" t="str">
            <v>SF325-WX-1A</v>
          </cell>
          <cell r="B2293" t="str">
            <v>FG-G</v>
          </cell>
          <cell r="J2293" t="str">
            <v>N3721101/SHM-REAX 75 X</v>
          </cell>
        </row>
        <row r="2294">
          <cell r="A2294" t="str">
            <v>SF341-WA-1A</v>
          </cell>
          <cell r="B2294" t="str">
            <v>FG-G</v>
          </cell>
          <cell r="J2294" t="str">
            <v>M2538101/SHM-REAX 40 MR A</v>
          </cell>
        </row>
        <row r="2295">
          <cell r="A2295" t="str">
            <v>SF341-WL-1A</v>
          </cell>
          <cell r="B2295" t="str">
            <v>FG-G</v>
          </cell>
          <cell r="J2295" t="str">
            <v>M2538201/SHM-REAX 40 MR L</v>
          </cell>
        </row>
        <row r="2296">
          <cell r="A2296" t="str">
            <v>SF341-WR-1A</v>
          </cell>
          <cell r="B2296" t="str">
            <v>FG-G</v>
          </cell>
          <cell r="J2296" t="str">
            <v>M2538001/SHM-REAX 40 MR R</v>
          </cell>
        </row>
        <row r="2297">
          <cell r="A2297" t="str">
            <v>CW159-IW-1C</v>
          </cell>
          <cell r="B2297" t="str">
            <v>FG-G</v>
          </cell>
          <cell r="J2297" t="str">
            <v>3586R1/SF IR/HY MCA ELDIO WHT/SLV 40 GR WMS</v>
          </cell>
        </row>
        <row r="2298">
          <cell r="A2298" t="str">
            <v>CW159-WW-1C</v>
          </cell>
          <cell r="B2298" t="str">
            <v>FG-G</v>
          </cell>
          <cell r="J2298" t="str">
            <v>3585Y1/SF WD MCA ELDIO WHT/SLV 40 GR WMS</v>
          </cell>
        </row>
        <row r="2299">
          <cell r="A2299" t="str">
            <v>SF312-WS-1A</v>
          </cell>
          <cell r="B2299" t="str">
            <v>FG-G</v>
          </cell>
          <cell r="J2299" t="str">
            <v>N3714401/SHM-REAX 60 LR S</v>
          </cell>
        </row>
        <row r="2300">
          <cell r="A2300" t="str">
            <v>SF312-WX-1A</v>
          </cell>
          <cell r="B2300" t="str">
            <v>FG-G</v>
          </cell>
          <cell r="J2300" t="str">
            <v>N3714301/SHM-REAX 60 LR X</v>
          </cell>
        </row>
        <row r="2301">
          <cell r="A2301" t="str">
            <v>SF327-IA-1A</v>
          </cell>
          <cell r="B2301" t="str">
            <v>FG-G</v>
          </cell>
          <cell r="J2301" t="str">
            <v>N3766301/SHI-REAX 45 A</v>
          </cell>
        </row>
        <row r="2302">
          <cell r="A2302" t="str">
            <v>SF327-IL-1A</v>
          </cell>
          <cell r="B2302" t="str">
            <v>FG-G</v>
          </cell>
          <cell r="J2302" t="str">
            <v>N3766401/SHI-REAX 45 HY/IR (MCA) L</v>
          </cell>
        </row>
        <row r="2303">
          <cell r="A2303" t="str">
            <v>SF341-WA-1B</v>
          </cell>
          <cell r="B2303" t="str">
            <v>FG-G</v>
          </cell>
          <cell r="J2303" t="str">
            <v>N3764901/SHM-REAX FW 45 A</v>
          </cell>
        </row>
        <row r="2304">
          <cell r="A2304" t="str">
            <v>SF341-WL-1B</v>
          </cell>
          <cell r="B2304" t="str">
            <v>FG-G</v>
          </cell>
          <cell r="J2304" t="str">
            <v>N3765001/SHM-REAX FW 40 L</v>
          </cell>
        </row>
        <row r="2305">
          <cell r="A2305" t="str">
            <v>SF341-WR-1B</v>
          </cell>
          <cell r="B2305" t="str">
            <v>FG-G</v>
          </cell>
          <cell r="J2305" t="str">
            <v>N3764801/SHM-REAX FW 45 R</v>
          </cell>
        </row>
        <row r="2306">
          <cell r="A2306" t="str">
            <v>CW180-WS-1A</v>
          </cell>
          <cell r="B2306" t="str">
            <v>FG-G</v>
          </cell>
          <cell r="J2306" t="str">
            <v>3588W3/SF WD MCA TENSEI GRAY 60 GR STF JV</v>
          </cell>
        </row>
        <row r="2307">
          <cell r="A2307" t="str">
            <v>CW159-IW-1CY</v>
          </cell>
          <cell r="B2307" t="str">
            <v>FG-G</v>
          </cell>
          <cell r="J2307" t="str">
            <v>3589M1/SF IR/HY MCA ELDIO WHT/SLV 40 GR WMS (DEMO)</v>
          </cell>
        </row>
        <row r="2308">
          <cell r="A2308" t="str">
            <v>SF327-IR-1A</v>
          </cell>
          <cell r="B2308" t="str">
            <v>FG-G</v>
          </cell>
          <cell r="J2308" t="str">
            <v>N3766201/SHI-REAX 45 R</v>
          </cell>
        </row>
        <row r="2309">
          <cell r="A2309" t="str">
            <v>MX946-WS-1A</v>
          </cell>
          <cell r="B2309" t="str">
            <v>FG-G</v>
          </cell>
          <cell r="J2309" t="str">
            <v>DIAMANA™ BB-SERIES 43 S-FLEX</v>
          </cell>
        </row>
        <row r="2310">
          <cell r="A2310" t="str">
            <v>MX952-WR-1A</v>
          </cell>
          <cell r="B2310" t="str">
            <v>FG-G</v>
          </cell>
          <cell r="J2310" t="str">
            <v>DIAMANA™ WB-SERIES 43 R-FLEX</v>
          </cell>
        </row>
        <row r="2311">
          <cell r="A2311" t="str">
            <v>MX960-WS-1AO</v>
          </cell>
          <cell r="B2311" t="str">
            <v>FG-G</v>
          </cell>
          <cell r="J2311" t="str">
            <v>DIAMANA™ RB-SERIES 63 S-FLEX</v>
          </cell>
        </row>
        <row r="2312">
          <cell r="A2312" t="str">
            <v>MX954-WS-1AO</v>
          </cell>
          <cell r="B2312" t="str">
            <v>FG-G</v>
          </cell>
          <cell r="J2312" t="str">
            <v>DIAMANA™ WB-SERIES 63 S-FLEX</v>
          </cell>
        </row>
        <row r="2313">
          <cell r="A2313" t="str">
            <v>MX955-WS-1AO</v>
          </cell>
          <cell r="B2313" t="str">
            <v>FG-G</v>
          </cell>
          <cell r="J2313" t="str">
            <v>DIAMANA™ WB-SERIES 73 S-FLEX</v>
          </cell>
        </row>
        <row r="2314">
          <cell r="A2314" t="str">
            <v>MX961-WS-1AO</v>
          </cell>
          <cell r="B2314" t="str">
            <v>FG-G</v>
          </cell>
          <cell r="J2314" t="str">
            <v>DIAMANA™ RB-SERIES 73 S-FLEX</v>
          </cell>
        </row>
        <row r="2315">
          <cell r="A2315" t="str">
            <v>XG052-WR-1A</v>
          </cell>
          <cell r="B2315" t="str">
            <v>FG-G</v>
          </cell>
          <cell r="J2315" t="str">
            <v>S-MC-KAILI-BLU-60-R/KAILI DARK WAVES BLUE 60-R</v>
          </cell>
        </row>
        <row r="2316">
          <cell r="A2316" t="str">
            <v>XG052-WS-1A</v>
          </cell>
          <cell r="B2316" t="str">
            <v>FG-G</v>
          </cell>
          <cell r="J2316" t="str">
            <v>S-MC-KAILI-BLU-60-S/KAILI DARK WAVES BLUE 60-S</v>
          </cell>
        </row>
        <row r="2317">
          <cell r="A2317" t="str">
            <v>XG052-WX-1A</v>
          </cell>
          <cell r="B2317" t="str">
            <v>FG-G</v>
          </cell>
          <cell r="J2317" t="str">
            <v>S-MC-KAILI-BLU-60-X/KAILI DARK WAVES BLUE 60-X</v>
          </cell>
        </row>
        <row r="2318">
          <cell r="A2318" t="str">
            <v>XG053-WS-1A</v>
          </cell>
          <cell r="B2318" t="str">
            <v>FG-G</v>
          </cell>
          <cell r="J2318" t="str">
            <v>S-MC-KAILI-BLU-70-S//KAILI DARK WAVES BLUE 70-S</v>
          </cell>
        </row>
        <row r="2319">
          <cell r="A2319" t="str">
            <v>XG053-WX-1A</v>
          </cell>
          <cell r="B2319" t="str">
            <v>FG-G</v>
          </cell>
          <cell r="J2319" t="str">
            <v>S-MC-KAILI-BLU-70-X//KAILI DARK WAVES BLUE 70-X</v>
          </cell>
        </row>
        <row r="2320">
          <cell r="A2320" t="str">
            <v>XG010-IS-1A</v>
          </cell>
          <cell r="B2320" t="str">
            <v>FG-G</v>
          </cell>
          <cell r="J2320" t="str">
            <v>S-MMT-90-S MMT Parallel IRON 90S</v>
          </cell>
        </row>
        <row r="2321">
          <cell r="A2321" t="str">
            <v>SF299-WS-1A</v>
          </cell>
          <cell r="B2321" t="str">
            <v>FG-G</v>
          </cell>
          <cell r="J2321" t="str">
            <v>N3302501/SHM-24 Diamana BK TM60 S</v>
          </cell>
        </row>
        <row r="2322">
          <cell r="A2322" t="str">
            <v>CW159-WW-1CY</v>
          </cell>
          <cell r="B2322" t="str">
            <v>FG-G</v>
          </cell>
          <cell r="J2322" t="str">
            <v>3589S1/SF WD MCA ELDIO WHT/SLV 40 GR WMS (DEMO)</v>
          </cell>
        </row>
        <row r="2323">
          <cell r="A2323" t="str">
            <v>MX955-WTX1A</v>
          </cell>
          <cell r="B2323" t="str">
            <v>FG-G</v>
          </cell>
          <cell r="J2323" t="str">
            <v>DIAMANA™ WB-SERIES 73 TX-FLEX</v>
          </cell>
        </row>
        <row r="2324">
          <cell r="A2324" t="str">
            <v>MX959-WR-1A</v>
          </cell>
          <cell r="B2324" t="str">
            <v>FG-G</v>
          </cell>
          <cell r="J2324" t="str">
            <v>DIAMANA™ RB-SERIES 53 R-FLEX</v>
          </cell>
        </row>
        <row r="2325">
          <cell r="A2325" t="str">
            <v>MX959-WS-1A</v>
          </cell>
          <cell r="B2325" t="str">
            <v>FG-G</v>
          </cell>
          <cell r="J2325" t="str">
            <v>DIAMANA™ RB-SERIES 53 S-FLEX</v>
          </cell>
        </row>
        <row r="2326">
          <cell r="A2326" t="str">
            <v>MX960-WS-1A</v>
          </cell>
          <cell r="B2326" t="str">
            <v>FG-G</v>
          </cell>
          <cell r="J2326" t="str">
            <v>DIAMANA™ RB-SERIES 63 S-FLEX</v>
          </cell>
        </row>
        <row r="2327">
          <cell r="A2327" t="str">
            <v>MX961-WS-1A</v>
          </cell>
          <cell r="B2327" t="str">
            <v>FG-G</v>
          </cell>
          <cell r="J2327" t="str">
            <v>DIAMANA™ RB-SERIES 73 S-FLEX</v>
          </cell>
        </row>
        <row r="2328">
          <cell r="A2328" t="str">
            <v>MX961-WX-1A</v>
          </cell>
          <cell r="B2328" t="str">
            <v>FG-G</v>
          </cell>
          <cell r="J2328" t="str">
            <v>DIAMANA™ RB-SERIES 73 X-FLEX</v>
          </cell>
        </row>
        <row r="2329">
          <cell r="A2329" t="str">
            <v>MX954-WS-1A</v>
          </cell>
          <cell r="B2329" t="str">
            <v>FG-G</v>
          </cell>
          <cell r="J2329" t="str">
            <v>DIAMANA™ WB-SERIES 63 S-FLEX</v>
          </cell>
        </row>
        <row r="2330">
          <cell r="A2330" t="str">
            <v>MX954-WTX1A</v>
          </cell>
          <cell r="B2330" t="str">
            <v>FG-G</v>
          </cell>
          <cell r="J2330" t="str">
            <v>DIAMANA™ WB-SERIES 63 TX-FLEX</v>
          </cell>
        </row>
        <row r="2331">
          <cell r="A2331" t="str">
            <v>MX960-WR-1A</v>
          </cell>
          <cell r="B2331" t="str">
            <v>FG-G</v>
          </cell>
          <cell r="J2331" t="str">
            <v>DIAMANA™ RB-SERIES 63 R-FLEX</v>
          </cell>
        </row>
        <row r="2332">
          <cell r="A2332" t="str">
            <v>SF331-WR-1A</v>
          </cell>
          <cell r="B2332" t="str">
            <v>FG-G</v>
          </cell>
          <cell r="J2332" t="str">
            <v>M5300001/SHM-26 REAX HR 50 R</v>
          </cell>
        </row>
        <row r="2333">
          <cell r="A2333" t="str">
            <v>MX699-IA-1C</v>
          </cell>
          <cell r="B2333" t="str">
            <v>FG-G</v>
          </cell>
          <cell r="J2333" t="str">
            <v>MMT PLATINUM IRON 80 R-FLEX</v>
          </cell>
        </row>
        <row r="2334">
          <cell r="A2334" t="str">
            <v>MX700-IR-1C</v>
          </cell>
          <cell r="B2334" t="str">
            <v>FG-G</v>
          </cell>
          <cell r="J2334" t="str">
            <v>MMT PLATINUM IRON 90 S-FLEX</v>
          </cell>
        </row>
        <row r="2335">
          <cell r="A2335" t="str">
            <v>MX701-IR-1C</v>
          </cell>
          <cell r="B2335" t="str">
            <v>FG-G</v>
          </cell>
          <cell r="J2335" t="str">
            <v>MMT Platinum Iron 80 R-Flex</v>
          </cell>
        </row>
        <row r="2336">
          <cell r="A2336" t="str">
            <v>MX727-IS-1C</v>
          </cell>
          <cell r="B2336" t="str">
            <v>FG-G</v>
          </cell>
          <cell r="J2336" t="str">
            <v>MMT Platinum Iron 90 S-Flex</v>
          </cell>
        </row>
        <row r="2337">
          <cell r="A2337" t="str">
            <v>MX830-WR-1A</v>
          </cell>
          <cell r="B2337" t="str">
            <v>FG-G</v>
          </cell>
          <cell r="J2337" t="str">
            <v>C6™ BLUE 50 R-FLEX</v>
          </cell>
        </row>
        <row r="2338">
          <cell r="A2338" t="str">
            <v>MX830-WS-1A</v>
          </cell>
          <cell r="B2338" t="str">
            <v>FG-G</v>
          </cell>
          <cell r="J2338" t="str">
            <v>C6™ BLUE 50 S-FLEX</v>
          </cell>
        </row>
        <row r="2339">
          <cell r="A2339" t="str">
            <v>MX831-WR-1A</v>
          </cell>
          <cell r="B2339" t="str">
            <v>FG-G</v>
          </cell>
          <cell r="J2339" t="str">
            <v>C6™ BLUE 60 R-FLEX</v>
          </cell>
        </row>
        <row r="2340">
          <cell r="A2340" t="str">
            <v>MX831-WS-1A</v>
          </cell>
          <cell r="B2340" t="str">
            <v>FG-G</v>
          </cell>
          <cell r="J2340" t="str">
            <v>C6™ BLUE 60 S-FLEX</v>
          </cell>
        </row>
        <row r="2341">
          <cell r="A2341" t="str">
            <v>MX831-WX-1A</v>
          </cell>
          <cell r="B2341" t="str">
            <v>FG-G</v>
          </cell>
          <cell r="J2341" t="str">
            <v>C6™ BLUE 60 X-FLEX</v>
          </cell>
        </row>
        <row r="2342">
          <cell r="A2342" t="str">
            <v>MX832-WS-1A</v>
          </cell>
          <cell r="B2342" t="str">
            <v>FG-G</v>
          </cell>
          <cell r="J2342" t="str">
            <v>C6™ BLUE 70 S-FLEX</v>
          </cell>
        </row>
        <row r="2343">
          <cell r="A2343" t="str">
            <v>MX697-IL-1C</v>
          </cell>
          <cell r="B2343" t="str">
            <v>FG-G</v>
          </cell>
          <cell r="J2343" t="str">
            <v>MMT PLATINUM IRON 70 R-FLEX</v>
          </cell>
        </row>
        <row r="2344">
          <cell r="A2344" t="str">
            <v>CW159-WW-1AY</v>
          </cell>
          <cell r="B2344" t="str">
            <v>FG-G</v>
          </cell>
          <cell r="J2344" t="str">
            <v>3591P1/SF WD MCA VANQUISH 40 GR R3 (DEMO)</v>
          </cell>
        </row>
        <row r="2345">
          <cell r="A2345" t="str">
            <v>MX847-IL-1A</v>
          </cell>
          <cell r="B2345" t="str">
            <v>FG-G</v>
          </cell>
          <cell r="J2345" t="str">
            <v>C6™ HYB 50 R3-FLEX</v>
          </cell>
        </row>
        <row r="2346">
          <cell r="A2346" t="str">
            <v>MX848-IA-1A</v>
          </cell>
          <cell r="B2346" t="str">
            <v>FG-G</v>
          </cell>
          <cell r="J2346" t="str">
            <v>C6™ HYB 60 R2-FLEX</v>
          </cell>
        </row>
        <row r="2347">
          <cell r="A2347" t="str">
            <v>MX848-IR-1A</v>
          </cell>
          <cell r="B2347" t="str">
            <v>FG-G</v>
          </cell>
          <cell r="J2347" t="str">
            <v>C6™ HYB 60 R-FLEX</v>
          </cell>
        </row>
        <row r="2348">
          <cell r="A2348" t="str">
            <v>MX849-IR-1A</v>
          </cell>
          <cell r="B2348" t="str">
            <v>FG-G</v>
          </cell>
          <cell r="J2348" t="str">
            <v>C6™ HYB 70 R-FLEX</v>
          </cell>
        </row>
        <row r="2349">
          <cell r="A2349" t="str">
            <v>MX850-IS-1A</v>
          </cell>
          <cell r="B2349" t="str">
            <v>FG-G</v>
          </cell>
          <cell r="J2349" t="str">
            <v>C6™ HYB 80 S-FLEX</v>
          </cell>
        </row>
        <row r="2350">
          <cell r="A2350" t="str">
            <v>MX851-ILL1A</v>
          </cell>
          <cell r="B2350" t="str">
            <v>FG-G</v>
          </cell>
          <cell r="J2350" t="str">
            <v>C6™ IRON 40 R3-FLEX</v>
          </cell>
        </row>
        <row r="2351">
          <cell r="A2351" t="str">
            <v>MX852-IL-1A</v>
          </cell>
          <cell r="B2351" t="str">
            <v>FG-G</v>
          </cell>
          <cell r="J2351" t="str">
            <v>C6™ IRON 50 R3-FLEX</v>
          </cell>
        </row>
        <row r="2352">
          <cell r="A2352" t="str">
            <v>MX853-IA-1A</v>
          </cell>
          <cell r="B2352" t="str">
            <v>FG-G</v>
          </cell>
          <cell r="J2352" t="str">
            <v>C6™ IRON 60 R2-FLEX</v>
          </cell>
        </row>
        <row r="2353">
          <cell r="A2353" t="str">
            <v>MX853-IR-1A</v>
          </cell>
          <cell r="B2353" t="str">
            <v>FG-G</v>
          </cell>
          <cell r="J2353" t="str">
            <v>C6™ IRON 60 R-FLEX</v>
          </cell>
        </row>
        <row r="2354">
          <cell r="A2354" t="str">
            <v>MX855-IS-1A</v>
          </cell>
          <cell r="B2354" t="str">
            <v>FG-G</v>
          </cell>
          <cell r="J2354" t="str">
            <v>C6™ IRON 80 S-FLEX</v>
          </cell>
        </row>
        <row r="2355">
          <cell r="A2355" t="str">
            <v>CW180-WSR1A</v>
          </cell>
          <cell r="B2355" t="str">
            <v>FG-G</v>
          </cell>
          <cell r="J2355" t="str">
            <v>3588W5/SF WD MCA TENSEI GRAY 60 GR SR JV</v>
          </cell>
        </row>
        <row r="2356">
          <cell r="A2356" t="str">
            <v>CW180-WX-1A</v>
          </cell>
          <cell r="B2356" t="str">
            <v>FG-G</v>
          </cell>
          <cell r="J2356" t="str">
            <v>3588W4/SF WD MCA TENSEI GRAY 60 GR XST JV</v>
          </cell>
        </row>
        <row r="2357">
          <cell r="A2357" t="str">
            <v>CW181-WS-1A</v>
          </cell>
          <cell r="B2357" t="str">
            <v>FG-G</v>
          </cell>
          <cell r="J2357" t="str">
            <v>3587U3/SF WD MCA TENSEI GRAY 70 GR STF JV</v>
          </cell>
        </row>
        <row r="2358">
          <cell r="A2358" t="str">
            <v>CW181-WSR1A</v>
          </cell>
          <cell r="B2358" t="str">
            <v>FG-G</v>
          </cell>
          <cell r="J2358" t="str">
            <v>3587U5/SF WD MCA TENSEI GRAY 70 GR SR JV</v>
          </cell>
        </row>
        <row r="2359">
          <cell r="A2359" t="str">
            <v>CW181-WX-1A</v>
          </cell>
          <cell r="B2359" t="str">
            <v>FG-G</v>
          </cell>
          <cell r="J2359" t="str">
            <v>3591G4/SF WD MCA TENSEI GRAY 70 GR XST JV</v>
          </cell>
        </row>
        <row r="2360">
          <cell r="A2360" t="str">
            <v>CB044-WW-1B</v>
          </cell>
          <cell r="B2360" t="str">
            <v>FG-G</v>
          </cell>
          <cell r="J2360" t="str">
            <v>SD22GL005450 /SH DF MCA VANQUISH PL 4 GL 450 (W)</v>
          </cell>
        </row>
        <row r="2361">
          <cell r="A2361" t="str">
            <v>MX948-WSR1A</v>
          </cell>
          <cell r="B2361" t="str">
            <v>FG-G</v>
          </cell>
          <cell r="J2361" t="str">
            <v>DIAMANA™ BB-SERIES 63 SR-FLEX</v>
          </cell>
        </row>
        <row r="2362">
          <cell r="A2362" t="str">
            <v>MX956-WTX1A</v>
          </cell>
          <cell r="B2362" t="str">
            <v>FG-G</v>
          </cell>
          <cell r="J2362" t="str">
            <v>DIAMANA™ WB-SERIES 83 TX-FLEX</v>
          </cell>
        </row>
        <row r="2363">
          <cell r="A2363" t="str">
            <v>MX826-WA-1A</v>
          </cell>
          <cell r="B2363" t="str">
            <v>FG-G</v>
          </cell>
          <cell r="J2363" t="str">
            <v>C6™ RED 40 R2-FLEX</v>
          </cell>
        </row>
        <row r="2364">
          <cell r="A2364" t="str">
            <v>MX827-WA-1A</v>
          </cell>
          <cell r="B2364" t="str">
            <v>FG-G</v>
          </cell>
          <cell r="J2364" t="str">
            <v>C6™ RED 50 R2-FLEX</v>
          </cell>
        </row>
        <row r="2365">
          <cell r="A2365" t="str">
            <v>MX827-WR-1A</v>
          </cell>
          <cell r="B2365" t="str">
            <v>FG-G</v>
          </cell>
          <cell r="J2365" t="str">
            <v>C6™ RED 50 R-FLEX</v>
          </cell>
        </row>
        <row r="2366">
          <cell r="A2366" t="str">
            <v>MX828-WR-1A</v>
          </cell>
          <cell r="B2366" t="str">
            <v>FG-G</v>
          </cell>
          <cell r="J2366" t="str">
            <v>C6™ RED 60 R-FLEX</v>
          </cell>
        </row>
        <row r="2367">
          <cell r="A2367" t="str">
            <v>MX828-WS-1A</v>
          </cell>
          <cell r="B2367" t="str">
            <v>FG-G</v>
          </cell>
          <cell r="J2367" t="str">
            <v>C6™ RED 60 S-FLEX</v>
          </cell>
        </row>
        <row r="2368">
          <cell r="A2368" t="str">
            <v>MX829-WS-1A</v>
          </cell>
          <cell r="B2368" t="str">
            <v>FG-G</v>
          </cell>
          <cell r="J2368" t="str">
            <v>C6™ RED 70 S-FLEX</v>
          </cell>
        </row>
        <row r="2369">
          <cell r="A2369" t="str">
            <v>MY013-WS-1A</v>
          </cell>
          <cell r="B2369" t="str">
            <v>FG-G</v>
          </cell>
          <cell r="J2369" t="str">
            <v>KAI'LI DARK WAVES CB WHITE 60S</v>
          </cell>
        </row>
        <row r="2370">
          <cell r="A2370" t="str">
            <v>MY013-WX-1A</v>
          </cell>
          <cell r="B2370" t="str">
            <v>FG-G</v>
          </cell>
          <cell r="J2370" t="str">
            <v>KAI'LI DARK WAVES CB WHITE 60X</v>
          </cell>
        </row>
        <row r="2371">
          <cell r="A2371" t="str">
            <v>MY014-WS-1A</v>
          </cell>
          <cell r="B2371" t="str">
            <v>FG-G</v>
          </cell>
          <cell r="J2371" t="str">
            <v>KAI'LI DARK WAVES CB WHITE 70S</v>
          </cell>
        </row>
        <row r="2372">
          <cell r="A2372" t="str">
            <v>MY014-WX-1A</v>
          </cell>
          <cell r="B2372" t="str">
            <v>FG-G</v>
          </cell>
          <cell r="J2372" t="str">
            <v>KAI'LI DARK WAVES CB WHITE 70X</v>
          </cell>
        </row>
        <row r="2373">
          <cell r="A2373" t="str">
            <v>MY015-WA-1A</v>
          </cell>
          <cell r="B2373" t="str">
            <v>FG-G</v>
          </cell>
          <cell r="J2373" t="str">
            <v>KAI'LI DARK WAVES CB RED 40R2</v>
          </cell>
        </row>
        <row r="2374">
          <cell r="A2374" t="str">
            <v>MY015-WL-1A</v>
          </cell>
          <cell r="B2374" t="str">
            <v>FG-G</v>
          </cell>
          <cell r="J2374" t="str">
            <v>KAI'LI DARK WAVES CB RED 40R3</v>
          </cell>
        </row>
        <row r="2375">
          <cell r="A2375" t="str">
            <v>MY015-WR-1A</v>
          </cell>
          <cell r="B2375" t="str">
            <v>FG-G</v>
          </cell>
          <cell r="J2375" t="str">
            <v>KAI'LI DARK WAVES CB RED 40R</v>
          </cell>
        </row>
        <row r="2376">
          <cell r="A2376" t="str">
            <v>MY016-WA-1A</v>
          </cell>
          <cell r="B2376" t="str">
            <v>FG-G</v>
          </cell>
          <cell r="J2376" t="str">
            <v>KAI'LI DARK WAVES CB RED 50R2</v>
          </cell>
        </row>
        <row r="2377">
          <cell r="A2377" t="str">
            <v>MY016-WR-1A</v>
          </cell>
          <cell r="B2377" t="str">
            <v>FG-G</v>
          </cell>
          <cell r="J2377" t="str">
            <v>KAI'LI DARK WAVES CB RED 50R</v>
          </cell>
        </row>
        <row r="2378">
          <cell r="A2378" t="str">
            <v>MY016-WS-1A</v>
          </cell>
          <cell r="B2378" t="str">
            <v>FG-G</v>
          </cell>
          <cell r="J2378" t="str">
            <v>KAI'LI DARK WAVES CB RED 50S</v>
          </cell>
        </row>
        <row r="2379">
          <cell r="A2379" t="str">
            <v>MY017-WS-1A</v>
          </cell>
          <cell r="B2379" t="str">
            <v>FG-G</v>
          </cell>
          <cell r="J2379" t="str">
            <v>KAI'LI DARK WAVES CB RED 60S</v>
          </cell>
        </row>
        <row r="2380">
          <cell r="A2380" t="str">
            <v>CB049-WR-1A</v>
          </cell>
          <cell r="B2380" t="str">
            <v>FG-G</v>
          </cell>
          <cell r="J2380" t="str">
            <v>SD22GR154460/SH DF MCA TENSEI 1K BLUE 65 GR 460</v>
          </cell>
        </row>
        <row r="2381">
          <cell r="A2381" t="str">
            <v>CB049-WS-1A</v>
          </cell>
          <cell r="B2381" t="str">
            <v>FG-G</v>
          </cell>
          <cell r="J2381" t="str">
            <v>SD22GS272460/SH DF MCA TENSEI 1K BLUE 65 GS 460</v>
          </cell>
        </row>
        <row r="2382">
          <cell r="A2382" t="str">
            <v>XG007-IL-1A</v>
          </cell>
          <cell r="B2382" t="str">
            <v>FG-G</v>
          </cell>
          <cell r="J2382" t="str">
            <v>S-MMT-40-L MMT Parallel IRON 40L</v>
          </cell>
        </row>
        <row r="2383">
          <cell r="A2383" t="str">
            <v>XG008-IR-1A</v>
          </cell>
          <cell r="B2383" t="str">
            <v>FG-G</v>
          </cell>
          <cell r="J2383" t="str">
            <v>S-MMT-60-R MMT Parallel IRON 60R</v>
          </cell>
        </row>
        <row r="2384">
          <cell r="A2384" t="str">
            <v>MX835-WS-1AO</v>
          </cell>
          <cell r="B2384" t="str">
            <v>FG-G</v>
          </cell>
          <cell r="J2384" t="str">
            <v>TENSEI™ AV BLUE W/XLINK 65 S-Flex</v>
          </cell>
        </row>
        <row r="2385">
          <cell r="A2385" t="str">
            <v>MX950-WS-1A</v>
          </cell>
          <cell r="B2385" t="str">
            <v>FG-G</v>
          </cell>
          <cell r="J2385" t="str">
            <v>DIAMANA™ BB-SERIES 83 S-FLEX</v>
          </cell>
        </row>
        <row r="2386">
          <cell r="A2386" t="str">
            <v>MX952-WA-1A</v>
          </cell>
          <cell r="B2386" t="str">
            <v>FG-G</v>
          </cell>
          <cell r="J2386" t="str">
            <v>DIAMANA™ WB-SERIES 43 A-FLEX</v>
          </cell>
        </row>
        <row r="2387">
          <cell r="A2387" t="str">
            <v>MY015-WA-1AC</v>
          </cell>
          <cell r="B2387" t="str">
            <v>FG-G</v>
          </cell>
          <cell r="J2387" t="str">
            <v>KAILI RED CB 40 R2 (DEMO)</v>
          </cell>
        </row>
        <row r="2388">
          <cell r="A2388" t="str">
            <v>MX728-IA-5A</v>
          </cell>
          <cell r="B2388" t="str">
            <v>FG-G</v>
          </cell>
          <cell r="J2388" t="str">
            <v>MMT™ Taper Iron 55 A-flex (0.355 taper)</v>
          </cell>
        </row>
        <row r="2389">
          <cell r="A2389" t="str">
            <v>CW182-WS-1A</v>
          </cell>
          <cell r="B2389" t="str">
            <v>FG-G</v>
          </cell>
          <cell r="J2389" t="str">
            <v>3593Q3/SF WD MCA TENSEI GRAY 50 GR STF JV</v>
          </cell>
        </row>
        <row r="2390">
          <cell r="A2390" t="str">
            <v>MX794-ITX1A</v>
          </cell>
          <cell r="B2390" t="str">
            <v>FG-G</v>
          </cell>
          <cell r="J2390" t="str">
            <v>MMT™ Hybrid 80 TX-FLEX</v>
          </cell>
        </row>
        <row r="2391">
          <cell r="A2391" t="str">
            <v>MX948-WS-1AT</v>
          </cell>
          <cell r="B2391" t="str">
            <v>FG-G</v>
          </cell>
          <cell r="J2391" t="str">
            <v>DIAMANA BB 60 S-Flex (DEMO)</v>
          </cell>
        </row>
        <row r="2392">
          <cell r="A2392" t="str">
            <v>MX948-WX-1AT</v>
          </cell>
          <cell r="B2392" t="str">
            <v>FG-G</v>
          </cell>
          <cell r="J2392" t="str">
            <v>DIAMANA BB 60 X-Flex (DEMO)</v>
          </cell>
        </row>
        <row r="2393">
          <cell r="A2393" t="str">
            <v>MX949-WS-1AT</v>
          </cell>
          <cell r="B2393" t="str">
            <v>FG-G</v>
          </cell>
          <cell r="J2393" t="str">
            <v>DIAMANA BB 70 S-Flex (DEMO)</v>
          </cell>
        </row>
        <row r="2394">
          <cell r="A2394" t="str">
            <v>MX949-WX-1AT</v>
          </cell>
          <cell r="B2394" t="str">
            <v>FG-G</v>
          </cell>
          <cell r="J2394" t="str">
            <v>DIAMANA BB 70 X-Flex (DEMO)</v>
          </cell>
        </row>
        <row r="2395">
          <cell r="A2395" t="str">
            <v>MX954-WS-1AT</v>
          </cell>
          <cell r="B2395" t="str">
            <v>FG-G</v>
          </cell>
          <cell r="J2395" t="str">
            <v>DIAMANA WB 63 S-Flex (DEMO)</v>
          </cell>
        </row>
        <row r="2396">
          <cell r="A2396" t="str">
            <v>MX954-WX-1AT</v>
          </cell>
          <cell r="B2396" t="str">
            <v>FG-G</v>
          </cell>
          <cell r="J2396" t="str">
            <v>DIAMANA WB 63 TX-Flex (DEMO)</v>
          </cell>
        </row>
        <row r="2397">
          <cell r="A2397" t="str">
            <v>MX955-WS-1AT</v>
          </cell>
          <cell r="B2397" t="str">
            <v>FG-G</v>
          </cell>
          <cell r="J2397" t="str">
            <v>DIAMANA WB 73 S-Flex (DEMO)</v>
          </cell>
        </row>
        <row r="2398">
          <cell r="A2398" t="str">
            <v>MX955-WX-1AT</v>
          </cell>
          <cell r="B2398" t="str">
            <v>FG-G</v>
          </cell>
          <cell r="J2398" t="str">
            <v>DIAMANA WB 73 X-Flex (DEMO)</v>
          </cell>
        </row>
        <row r="2399">
          <cell r="A2399" t="str">
            <v>YR194-UA-1A</v>
          </cell>
          <cell r="B2399" t="str">
            <v>FG-G</v>
          </cell>
          <cell r="J2399" t="str">
            <v>EU261-35D/26 SUPER egg Utility A-flex</v>
          </cell>
        </row>
        <row r="2400">
          <cell r="A2400" t="str">
            <v>YR194-UL-1A</v>
          </cell>
          <cell r="B2400" t="str">
            <v>FG-G</v>
          </cell>
          <cell r="J2400" t="str">
            <v>EU261L30D/26 SUPER egg Utility L-flex</v>
          </cell>
        </row>
        <row r="2401">
          <cell r="A2401" t="str">
            <v>YR194-UR-1A</v>
          </cell>
          <cell r="B2401" t="str">
            <v>FG-G</v>
          </cell>
          <cell r="J2401" t="str">
            <v>EU261-37D/26 SUPER egg Utility R-flex</v>
          </cell>
        </row>
        <row r="2402">
          <cell r="A2402" t="str">
            <v>YR194-US-1A</v>
          </cell>
          <cell r="B2402" t="str">
            <v>FG-G</v>
          </cell>
          <cell r="J2402" t="str">
            <v>EU261-43D/26 SUPER egg Utility S-flex</v>
          </cell>
        </row>
        <row r="2403">
          <cell r="A2403" t="str">
            <v>YR194-USR1A</v>
          </cell>
          <cell r="B2403" t="str">
            <v>FG-G</v>
          </cell>
          <cell r="J2403" t="str">
            <v>EU261-40D/26 SUPER egg Utility SR-flex</v>
          </cell>
        </row>
        <row r="2404">
          <cell r="A2404" t="str">
            <v>YR194-WA-3A</v>
          </cell>
          <cell r="B2404" t="str">
            <v>FG-G</v>
          </cell>
          <cell r="J2404" t="str">
            <v>EF261-37C/26 SUPER egg FW A-flex</v>
          </cell>
        </row>
        <row r="2405">
          <cell r="A2405" t="str">
            <v>YR194-WA-3B</v>
          </cell>
          <cell r="B2405" t="str">
            <v>FG-G</v>
          </cell>
          <cell r="J2405" t="str">
            <v>EF262-37C/26 SUPER egg FW A-flex</v>
          </cell>
        </row>
        <row r="2406">
          <cell r="A2406" t="str">
            <v>YR194-WL-3A</v>
          </cell>
          <cell r="B2406" t="str">
            <v>FG-G</v>
          </cell>
          <cell r="J2406" t="str">
            <v>EF261L30C/26 SUPER egg FW A-flex</v>
          </cell>
        </row>
        <row r="2407">
          <cell r="A2407" t="str">
            <v>YR194-WL-3B</v>
          </cell>
          <cell r="B2407" t="str">
            <v>FG-G</v>
          </cell>
          <cell r="J2407" t="str">
            <v>EF262L30C/26 SUPER egg FW L-flex</v>
          </cell>
        </row>
        <row r="2408">
          <cell r="A2408" t="str">
            <v>YR194-WLA3A</v>
          </cell>
          <cell r="B2408" t="str">
            <v>FG-G</v>
          </cell>
          <cell r="J2408" t="str">
            <v>EF261-35C/26 SUPER egg FW LA-flex</v>
          </cell>
        </row>
        <row r="2409">
          <cell r="A2409" t="str">
            <v>YR194-WR-3A</v>
          </cell>
          <cell r="B2409" t="str">
            <v>FG-G</v>
          </cell>
          <cell r="J2409" t="str">
            <v>EF261-40C/26 SUPER egg FW R-flex</v>
          </cell>
        </row>
        <row r="2410">
          <cell r="A2410" t="str">
            <v>YR194-WR-3B</v>
          </cell>
          <cell r="B2410" t="str">
            <v>FG-G</v>
          </cell>
          <cell r="J2410" t="str">
            <v>EF262-40C/26 SUPER egg FW R-flex</v>
          </cell>
        </row>
        <row r="2411">
          <cell r="A2411" t="str">
            <v>YR194-WS-3A</v>
          </cell>
          <cell r="B2411" t="str">
            <v>FG-G</v>
          </cell>
          <cell r="J2411" t="str">
            <v>EF261-43C/26 SUPER egg FW S-flex</v>
          </cell>
        </row>
        <row r="2412">
          <cell r="A2412" t="str">
            <v>CW182-WSR1A</v>
          </cell>
          <cell r="B2412" t="str">
            <v>FG-G</v>
          </cell>
          <cell r="J2412" t="str">
            <v>3593Q9 /SF WD MCA TENSEI GRAY 50 GR SR JV</v>
          </cell>
        </row>
        <row r="2413">
          <cell r="A2413" t="str">
            <v>MX721-IS-7AC</v>
          </cell>
          <cell r="B2413" t="str">
            <v>FG-G</v>
          </cell>
          <cell r="J2413" t="str">
            <v>MMT TTIP 125 GR STF 37.0 (DEMO)</v>
          </cell>
        </row>
        <row r="2414">
          <cell r="A2414" t="str">
            <v>MX681-IS-7AC</v>
          </cell>
          <cell r="B2414" t="str">
            <v>FG-G</v>
          </cell>
          <cell r="J2414" t="str">
            <v>MMT TTIP 105 GR STF 37 (DEMO)</v>
          </cell>
        </row>
        <row r="2415">
          <cell r="A2415" t="str">
            <v>SF348-WX-1A</v>
          </cell>
          <cell r="B2415" t="str">
            <v>FG-G</v>
          </cell>
          <cell r="J2415" t="str">
            <v>M2512401/SHM-REAX 60 HR X</v>
          </cell>
        </row>
        <row r="2416">
          <cell r="A2416" t="str">
            <v>MX792-IA-1A</v>
          </cell>
          <cell r="B2416" t="str">
            <v>FG-G</v>
          </cell>
          <cell r="J2416" t="str">
            <v>MMT™ Hybrid 60 A-FLEX</v>
          </cell>
        </row>
        <row r="2417">
          <cell r="A2417" t="str">
            <v>MX876-WR-1BC</v>
          </cell>
          <cell r="B2417" t="str">
            <v>FG-G</v>
          </cell>
          <cell r="J2417" t="str">
            <v>KAILI Dark Waves Red 60 R (DEMO)</v>
          </cell>
        </row>
        <row r="2418">
          <cell r="A2418" t="str">
            <v>MX934-IX-1AC</v>
          </cell>
          <cell r="B2418" t="str">
            <v>FG-G</v>
          </cell>
          <cell r="J2418" t="str">
            <v>SF HY MCA TENSEI 1K BLK 95 X DM</v>
          </cell>
        </row>
        <row r="2419">
          <cell r="A2419" t="str">
            <v>MX936-WR-1BC</v>
          </cell>
          <cell r="B2419" t="str">
            <v>FG-G</v>
          </cell>
          <cell r="J2419" t="str">
            <v>KAILI Dark Waves Red 50 R (DEMO)</v>
          </cell>
        </row>
        <row r="2420">
          <cell r="A2420" t="str">
            <v>MY015-WR-1AC</v>
          </cell>
          <cell r="B2420" t="str">
            <v>FG-G</v>
          </cell>
          <cell r="J2420" t="str">
            <v>KAILI RED CB 40 REG (DEMO)</v>
          </cell>
        </row>
        <row r="2421">
          <cell r="A2421" t="str">
            <v>CW150-WS-1B</v>
          </cell>
          <cell r="B2421" t="str">
            <v>FG-G</v>
          </cell>
          <cell r="J2421" t="str">
            <v>3591S3 /SF WD MCA TENSEI CR BLU 50 GR STF</v>
          </cell>
        </row>
        <row r="2422">
          <cell r="A2422" t="str">
            <v>CW151-WR-3B</v>
          </cell>
          <cell r="B2422" t="str">
            <v>FG-G</v>
          </cell>
          <cell r="J2422" t="str">
            <v>3591T2 /SF WD MCA TENSEI CR BLU 60 GR REG</v>
          </cell>
        </row>
        <row r="2423">
          <cell r="A2423" t="str">
            <v>CW151-WS-3B</v>
          </cell>
          <cell r="B2423" t="str">
            <v>FG-G</v>
          </cell>
          <cell r="J2423" t="str">
            <v>3591T3 /SF WD MCA TENSEI CR BLU 60 GR STF</v>
          </cell>
        </row>
        <row r="2424">
          <cell r="A2424" t="str">
            <v>MX697-IL-1AO</v>
          </cell>
          <cell r="B2424" t="str">
            <v>FG-G</v>
          </cell>
          <cell r="J2424" t="str">
            <v>MMT™ Iron 40 L-flex (Parallel)</v>
          </cell>
        </row>
        <row r="2425">
          <cell r="A2425" t="str">
            <v>CW150-WR-1B</v>
          </cell>
          <cell r="B2425" t="str">
            <v>FG-G</v>
          </cell>
          <cell r="J2425" t="str">
            <v>3591S2 /SF WD MCA TENSEI CR BLU 50 GR REG</v>
          </cell>
        </row>
        <row r="2426">
          <cell r="A2426" t="str">
            <v>YR195-IS-PA</v>
          </cell>
          <cell r="B2426" t="str">
            <v>FG-G</v>
          </cell>
          <cell r="J2426" t="str">
            <v>DIAM-43W1/0TOUR WEDGE FLEX-S</v>
          </cell>
        </row>
        <row r="2427">
          <cell r="A2427" t="str">
            <v>CL047-IA-1A</v>
          </cell>
          <cell r="B2427" t="str">
            <v>FG-G</v>
          </cell>
          <cell r="J2427" t="str">
            <v>10383467(JN)/11265116(US)/MMT IRON 60G A-FLEX</v>
          </cell>
        </row>
        <row r="2428">
          <cell r="A2428" t="str">
            <v>CL047-IR-1A</v>
          </cell>
          <cell r="B2428" t="str">
            <v>FG-G</v>
          </cell>
          <cell r="J2428" t="str">
            <v>10383466(JN)/11265117(US)/MMT IRON 60G R-FLEX</v>
          </cell>
        </row>
        <row r="2429">
          <cell r="A2429" t="str">
            <v>CL048-IS-1A</v>
          </cell>
          <cell r="B2429" t="str">
            <v>FG-G</v>
          </cell>
          <cell r="J2429" t="str">
            <v>10383464(JN)/11265115(US)/MMT IRON 80G S-FLEX</v>
          </cell>
        </row>
        <row r="2430">
          <cell r="A2430" t="str">
            <v>MX954-WS-1B</v>
          </cell>
          <cell r="B2430" t="str">
            <v>FG-G</v>
          </cell>
          <cell r="J2430" t="str">
            <v>DIAMANA WB 63 S-FLEX BLACKOUT</v>
          </cell>
        </row>
        <row r="2431">
          <cell r="A2431" t="str">
            <v>MX954-WX-1B</v>
          </cell>
          <cell r="B2431" t="str">
            <v>FG-G</v>
          </cell>
          <cell r="J2431" t="str">
            <v>DIAMANA WB 63 X-FLEX BLACKOUT</v>
          </cell>
        </row>
        <row r="2432">
          <cell r="A2432" t="str">
            <v>MX959-WS-1AT</v>
          </cell>
          <cell r="B2432" t="str">
            <v>FG-G</v>
          </cell>
          <cell r="J2432" t="str">
            <v>DIAMANA RB 53 S-FLEX (DEMO)</v>
          </cell>
        </row>
        <row r="2433">
          <cell r="A2433" t="str">
            <v>MX960-WS-1AT</v>
          </cell>
          <cell r="B2433" t="str">
            <v>FG-G</v>
          </cell>
          <cell r="J2433" t="str">
            <v>DIAMANA RB 63 S-FLEX (DEMO)</v>
          </cell>
        </row>
        <row r="2434">
          <cell r="A2434" t="str">
            <v>SF312-WR-1A</v>
          </cell>
          <cell r="B2434" t="str">
            <v>FG-G</v>
          </cell>
          <cell r="J2434" t="str">
            <v>N3714501/SHM-REAX 60 HR R</v>
          </cell>
        </row>
        <row r="2435">
          <cell r="A2435" t="str">
            <v>CW183-IR-2B</v>
          </cell>
          <cell r="B2435" t="str">
            <v>FG-G</v>
          </cell>
          <cell r="J2435" t="str">
            <v>3591U2/SF IR/HY MCA TENSEI CR BLU 55 GR REG</v>
          </cell>
        </row>
        <row r="2436">
          <cell r="A2436" t="str">
            <v>CW183-IS-2B</v>
          </cell>
          <cell r="B2436" t="str">
            <v>FG-G</v>
          </cell>
          <cell r="J2436" t="str">
            <v>3591U3/SF IR/HY MCA TENSEI CR BLU 55 GR STF</v>
          </cell>
        </row>
        <row r="2437">
          <cell r="A2437" t="str">
            <v>CL049-WL-1A</v>
          </cell>
          <cell r="B2437" t="str">
            <v>FG-G</v>
          </cell>
          <cell r="J2437" t="str">
            <v>10384102(JN)/11265129(US)/BASSARA DR 40GRAM R3</v>
          </cell>
        </row>
        <row r="2438">
          <cell r="A2438" t="str">
            <v>CL049-WL-3A</v>
          </cell>
          <cell r="B2438" t="str">
            <v>FG-G</v>
          </cell>
          <cell r="J2438" t="e">
            <v>#N/A</v>
          </cell>
        </row>
        <row r="2439">
          <cell r="A2439" t="str">
            <v>AU233-WS-1A</v>
          </cell>
          <cell r="B2439" t="str">
            <v>FG-G</v>
          </cell>
          <cell r="J2439" t="str">
            <v>2694305/SHAFT DRIVER/FAIRWAY TENSEI 1K BLUE RIP 55 S 46.0</v>
          </cell>
        </row>
        <row r="2440">
          <cell r="A2440" t="str">
            <v>AU234-WS-1A</v>
          </cell>
          <cell r="B2440" t="str">
            <v>FG-G</v>
          </cell>
          <cell r="J2440" t="str">
            <v>2694311/SHAFT DRIVER/FAIRWAY TENSEI 1K BLUE RIP 65 S 46.0</v>
          </cell>
        </row>
        <row r="2441">
          <cell r="A2441" t="str">
            <v>AU235-WS-1A</v>
          </cell>
          <cell r="B2441" t="str">
            <v>FG-G</v>
          </cell>
          <cell r="J2441" t="str">
            <v>2694317/SHAFT DRIVER/FAIRWAY TENSEI 1K BLUE RIP 75 S 46.0</v>
          </cell>
        </row>
        <row r="2442">
          <cell r="A2442" t="str">
            <v>AU236-WS-1A</v>
          </cell>
          <cell r="B2442" t="str">
            <v>FG-G</v>
          </cell>
          <cell r="J2442" t="str">
            <v>2694345/SHAFT DRIVER/FAIRWAY TENSEI 1K WHITE RIP 65 S 46.0</v>
          </cell>
        </row>
        <row r="2443">
          <cell r="A2443" t="str">
            <v>AU237-WS-1A</v>
          </cell>
          <cell r="B2443" t="str">
            <v>FG-G</v>
          </cell>
          <cell r="J2443" t="str">
            <v>2694351/SHAFT DRIVER/FAIRWAY TENSEI 1K WHITE RIP 75 S 46.0</v>
          </cell>
        </row>
        <row r="2444">
          <cell r="A2444" t="str">
            <v>AU238-WS-1A</v>
          </cell>
          <cell r="B2444" t="str">
            <v>FG-G</v>
          </cell>
          <cell r="J2444" t="str">
            <v>2694357/SHAFT DRIVER/FAIRWAY TENSEI 1K WHITE RIP 85 S 46.0</v>
          </cell>
        </row>
        <row r="2445">
          <cell r="A2445" t="str">
            <v>AU233-WA-1A</v>
          </cell>
          <cell r="B2445" t="str">
            <v>FG-G</v>
          </cell>
          <cell r="J2445" t="str">
            <v>2694301/SHAFT DRIVER/FAIRWAY TENSEI 1K BLUE RIP 55 R2 46.0</v>
          </cell>
        </row>
        <row r="2446">
          <cell r="A2446" t="str">
            <v>AU233-WR-1A</v>
          </cell>
          <cell r="B2446" t="str">
            <v>FG-G</v>
          </cell>
          <cell r="J2446" t="str">
            <v>2694303/SHAFT DRIVER/FAIRWAY TENSEI 1K BLUE RIP 55 R 46.0</v>
          </cell>
        </row>
        <row r="2447">
          <cell r="A2447" t="str">
            <v>AU233-WX-1A</v>
          </cell>
          <cell r="B2447" t="str">
            <v>FG-G</v>
          </cell>
          <cell r="J2447" t="str">
            <v>2694307/SHAFT DRIVER/FAIRWAY TENSEI 1K BLUE RIP 55 X 46.0</v>
          </cell>
        </row>
        <row r="2448">
          <cell r="A2448" t="str">
            <v>AU234-WR-1A</v>
          </cell>
          <cell r="B2448" t="str">
            <v>FG-G</v>
          </cell>
          <cell r="J2448" t="str">
            <v>2694309/SHAFT DRIVER/FAIRWAY TENSEI 1K BLUE RIP 65 R 46.0</v>
          </cell>
        </row>
        <row r="2449">
          <cell r="A2449" t="str">
            <v>AU234-WX-1A</v>
          </cell>
          <cell r="B2449" t="str">
            <v>FG-G</v>
          </cell>
          <cell r="J2449" t="str">
            <v>2694313/SHAFT DRIVER/FAIRWAY TENSEI 1K BLUE RIP 65 X 46.0</v>
          </cell>
        </row>
        <row r="2450">
          <cell r="A2450" t="str">
            <v>AU235-WX-1A</v>
          </cell>
          <cell r="B2450" t="str">
            <v>FG-G</v>
          </cell>
          <cell r="J2450" t="str">
            <v>2694319/SHAFT DRIVER/FAIRWAY TENSEI 1K BLUE RIP 75 X 46.0</v>
          </cell>
        </row>
        <row r="2451">
          <cell r="A2451" t="str">
            <v>AU236-WX-1A</v>
          </cell>
          <cell r="B2451" t="str">
            <v>FG-G</v>
          </cell>
          <cell r="J2451" t="str">
            <v>2694347/SHAFT DRIVER/FAIRWAY TENSEI 1K WHITE RIP 65 X 46.0</v>
          </cell>
        </row>
        <row r="2452">
          <cell r="A2452" t="str">
            <v>AU237-WX-1A</v>
          </cell>
          <cell r="B2452" t="str">
            <v>FG-G</v>
          </cell>
          <cell r="J2452" t="str">
            <v>2694353/SHAFT DRIVER/FAIRWAY TENSEI 1K WHITE RIP 75 X 46.0</v>
          </cell>
        </row>
        <row r="2453">
          <cell r="A2453" t="str">
            <v>AU238-WX-1A</v>
          </cell>
          <cell r="B2453" t="str">
            <v>FG-G</v>
          </cell>
          <cell r="J2453" t="str">
            <v>2694359/SHAFT DRIVER/FAIRWAY TENSEI 1K WHITE RIP 85 X 46.0</v>
          </cell>
        </row>
        <row r="2454">
          <cell r="A2454" t="str">
            <v>MX956-WTX1AO</v>
          </cell>
          <cell r="B2454" t="str">
            <v>FG-G</v>
          </cell>
          <cell r="J2454" t="str">
            <v>DIAMANA WB 83 TX-Flex</v>
          </cell>
        </row>
        <row r="2455">
          <cell r="A2455" t="str">
            <v>CB049-WX-1A</v>
          </cell>
          <cell r="B2455" t="str">
            <v>FG-G</v>
          </cell>
          <cell r="J2455" t="str">
            <v>SD22GX233460/SH DF MCA TENSEI 1K BLUE 65 GX 460</v>
          </cell>
        </row>
        <row r="2456">
          <cell r="A2456" t="str">
            <v>CW159-IW-1A</v>
          </cell>
          <cell r="B2456" t="str">
            <v>FG-G</v>
          </cell>
          <cell r="J2456" t="str">
            <v>3590U1/SF HY/IR MCA VANQUISH 40 GR R3</v>
          </cell>
        </row>
        <row r="2457">
          <cell r="A2457" t="str">
            <v>AU240-WA-1A</v>
          </cell>
          <cell r="B2457" t="str">
            <v>FG-G</v>
          </cell>
          <cell r="J2457" t="str">
            <v>2694289/SHAFT DRIVER/FAIRWAY TENSEI 1K RED RIP 55 R2 46.0</v>
          </cell>
        </row>
        <row r="2458">
          <cell r="A2458" t="str">
            <v>MX953-WS-1B</v>
          </cell>
          <cell r="B2458" t="str">
            <v>FG-G</v>
          </cell>
          <cell r="J2458" t="str">
            <v>DIAMANA WB 53 S-FLEX BLACKOUT</v>
          </cell>
        </row>
        <row r="2459">
          <cell r="A2459" t="str">
            <v>MX955-WS-1B</v>
          </cell>
          <cell r="B2459" t="str">
            <v>FG-G</v>
          </cell>
          <cell r="J2459" t="str">
            <v>DIAMANA WB 73 S-FLEX BLACKOUT</v>
          </cell>
        </row>
        <row r="2460">
          <cell r="A2460" t="str">
            <v>MX955-WX-1B</v>
          </cell>
          <cell r="B2460" t="str">
            <v>FG-G</v>
          </cell>
          <cell r="J2460" t="str">
            <v>DIAMANA WB 73 X-FLEX BLACKOUT</v>
          </cell>
        </row>
        <row r="2461">
          <cell r="A2461" t="str">
            <v>AU240-WR-1A</v>
          </cell>
          <cell r="B2461" t="str">
            <v>FG-G</v>
          </cell>
          <cell r="J2461" t="str">
            <v>2694291/SHAFT DRIVER/FAIRWAY TENSEI 1K RED RIP 55 R 46.0</v>
          </cell>
        </row>
        <row r="2462">
          <cell r="A2462" t="str">
            <v>AU240-WS-1A</v>
          </cell>
          <cell r="B2462" t="str">
            <v>FG-G</v>
          </cell>
          <cell r="J2462" t="str">
            <v>2694293/SHAFT DRIVER/FAIRWAY TENSEI 1K RED RIP 55 S 46.0</v>
          </cell>
        </row>
        <row r="2463">
          <cell r="A2463" t="str">
            <v>AU241-WA-1A</v>
          </cell>
          <cell r="B2463" t="str">
            <v>FG-G</v>
          </cell>
          <cell r="J2463" t="str">
            <v>2694295/SHAFT DRIVER/FAIRWAY TENSEI 1K RED RIP 65 R2 46.0</v>
          </cell>
        </row>
        <row r="2464">
          <cell r="A2464" t="str">
            <v>AU241-WR-1A</v>
          </cell>
          <cell r="B2464" t="str">
            <v>FG-G</v>
          </cell>
          <cell r="J2464" t="str">
            <v>2694297/SHAFT DRIVER/FAIRWAY TENSEI 1K RED RIP 65 R 46.0</v>
          </cell>
        </row>
        <row r="2465">
          <cell r="A2465" t="str">
            <v>AU241-WS-1A</v>
          </cell>
          <cell r="B2465" t="str">
            <v>FG-G</v>
          </cell>
          <cell r="J2465" t="str">
            <v>2694299/SHAFT DRIVER/FAIRWAY TENSEI 1K RED RIP 65 S 46.0</v>
          </cell>
        </row>
        <row r="2466">
          <cell r="A2466" t="str">
            <v>MX792-IA-1AO</v>
          </cell>
          <cell r="B2466" t="str">
            <v>FG-G</v>
          </cell>
          <cell r="J2466" t="str">
            <v>MMT™ Hybrid 60 A-FLEX</v>
          </cell>
        </row>
        <row r="2467">
          <cell r="A2467" t="str">
            <v>MX795-IX-1AO</v>
          </cell>
          <cell r="B2467" t="str">
            <v>FG-G</v>
          </cell>
          <cell r="J2467" t="str">
            <v>MMT HYBRID 90 X</v>
          </cell>
        </row>
        <row r="2468">
          <cell r="A2468" t="str">
            <v>AU242-WW-1A</v>
          </cell>
          <cell r="B2468" t="str">
            <v>FG-G</v>
          </cell>
          <cell r="J2468" t="str">
            <v>2694287/SHAFT DRIVER/FAIRWAY TENSEI 1K RED RIP 45 R3 46.0</v>
          </cell>
        </row>
        <row r="2469">
          <cell r="A2469" t="str">
            <v>AU235-WTX1A</v>
          </cell>
          <cell r="B2469" t="str">
            <v>FG-G</v>
          </cell>
          <cell r="J2469" t="str">
            <v>2694321/SHAFT DRIVER/FAIRWAY TENSEI 1K BLUE RIP 75 TX 46.0</v>
          </cell>
        </row>
        <row r="2470">
          <cell r="A2470" t="str">
            <v>MY025-ILL4A</v>
          </cell>
          <cell r="B2470" t="str">
            <v>FG-G</v>
          </cell>
          <cell r="J2470" t="str">
            <v>MMT AMC RED 45 R4 #4</v>
          </cell>
        </row>
        <row r="2471">
          <cell r="A2471" t="str">
            <v>MY025-ILL5A</v>
          </cell>
          <cell r="B2471" t="str">
            <v>FG-G</v>
          </cell>
          <cell r="J2471" t="str">
            <v>MMT AMC RED 45 R4 #5</v>
          </cell>
        </row>
        <row r="2472">
          <cell r="A2472" t="str">
            <v>MY025-ILL6A</v>
          </cell>
          <cell r="B2472" t="str">
            <v>FG-G</v>
          </cell>
          <cell r="J2472" t="str">
            <v>MMT AMC RED 45 R4 #6</v>
          </cell>
        </row>
        <row r="2473">
          <cell r="A2473" t="str">
            <v>MY025-ILL7A</v>
          </cell>
          <cell r="B2473" t="str">
            <v>FG-G</v>
          </cell>
          <cell r="J2473" t="str">
            <v>MMT AMC RED 45 R4 #7</v>
          </cell>
        </row>
        <row r="2474">
          <cell r="A2474" t="str">
            <v>MY025-ILL8A</v>
          </cell>
          <cell r="B2474" t="str">
            <v>FG-G</v>
          </cell>
          <cell r="J2474" t="str">
            <v>MMT AMC RED 45 R4 #8</v>
          </cell>
        </row>
        <row r="2475">
          <cell r="A2475" t="str">
            <v>MY025-ILL9A</v>
          </cell>
          <cell r="B2475" t="str">
            <v>FG-G</v>
          </cell>
          <cell r="J2475" t="str">
            <v>MMT AMC RED 45 R4 #9</v>
          </cell>
        </row>
        <row r="2476">
          <cell r="A2476" t="str">
            <v>MY025-ILLPA</v>
          </cell>
          <cell r="B2476" t="str">
            <v>FG-G</v>
          </cell>
          <cell r="J2476" t="str">
            <v>MMT AMC RED 45 R4 #W</v>
          </cell>
        </row>
        <row r="2477">
          <cell r="A2477" t="str">
            <v>MY026-IL-4A</v>
          </cell>
          <cell r="B2477" t="str">
            <v>FG-G</v>
          </cell>
          <cell r="J2477" t="str">
            <v>MMT AMC RED 55 R3 #4</v>
          </cell>
        </row>
        <row r="2478">
          <cell r="A2478" t="str">
            <v>MY026-IL-5A</v>
          </cell>
          <cell r="B2478" t="str">
            <v>FG-G</v>
          </cell>
          <cell r="J2478" t="str">
            <v>MMT AMC RED 55 R3 #5</v>
          </cell>
        </row>
        <row r="2479">
          <cell r="A2479" t="str">
            <v>MY026-IL-6A</v>
          </cell>
          <cell r="B2479" t="str">
            <v>FG-G</v>
          </cell>
          <cell r="J2479" t="str">
            <v>MMT AMC RED 55 R3 #6</v>
          </cell>
        </row>
        <row r="2480">
          <cell r="A2480" t="str">
            <v>MY026-IL-7A</v>
          </cell>
          <cell r="B2480" t="str">
            <v>FG-G</v>
          </cell>
          <cell r="J2480" t="str">
            <v>MMT AMC RED 55 R3 #7</v>
          </cell>
        </row>
        <row r="2481">
          <cell r="A2481" t="str">
            <v>MY026-IL-8A</v>
          </cell>
          <cell r="B2481" t="str">
            <v>FG-G</v>
          </cell>
          <cell r="J2481" t="str">
            <v>MMT AMC RED 55 R3 #8</v>
          </cell>
        </row>
        <row r="2482">
          <cell r="A2482" t="str">
            <v>MY026-IL-9A</v>
          </cell>
          <cell r="B2482" t="str">
            <v>FG-G</v>
          </cell>
          <cell r="J2482" t="str">
            <v>MMT AMC RED 55 R3 #9</v>
          </cell>
        </row>
        <row r="2483">
          <cell r="A2483" t="str">
            <v>MY026-IL-PA</v>
          </cell>
          <cell r="B2483" t="str">
            <v>FG-G</v>
          </cell>
          <cell r="J2483" t="str">
            <v>MMT AMC RED 55 R3 #W</v>
          </cell>
        </row>
        <row r="2484">
          <cell r="A2484" t="str">
            <v>MY027-IA-4A</v>
          </cell>
          <cell r="B2484" t="str">
            <v>FG-G</v>
          </cell>
          <cell r="J2484" t="str">
            <v>MMT AMC RED 65 A #4</v>
          </cell>
        </row>
        <row r="2485">
          <cell r="A2485" t="str">
            <v>MY027-IA-5A</v>
          </cell>
          <cell r="B2485" t="str">
            <v>FG-G</v>
          </cell>
          <cell r="J2485" t="str">
            <v>MMT AMC RED 65 A #5</v>
          </cell>
        </row>
        <row r="2486">
          <cell r="A2486" t="str">
            <v>MY027-IA-6A</v>
          </cell>
          <cell r="B2486" t="str">
            <v>FG-G</v>
          </cell>
          <cell r="J2486" t="str">
            <v>MMT AMC RED 65 A #6</v>
          </cell>
        </row>
        <row r="2487">
          <cell r="A2487" t="str">
            <v>MY027-IA-7A</v>
          </cell>
          <cell r="B2487" t="str">
            <v>FG-G</v>
          </cell>
          <cell r="J2487" t="str">
            <v>MMT AMC RED 65 A #7</v>
          </cell>
        </row>
        <row r="2488">
          <cell r="A2488" t="str">
            <v>MY027-IA-8A</v>
          </cell>
          <cell r="B2488" t="str">
            <v>FG-G</v>
          </cell>
          <cell r="J2488" t="str">
            <v>MMT AMC RED 65 A #8</v>
          </cell>
        </row>
        <row r="2489">
          <cell r="A2489" t="str">
            <v>MY027-IA-9A</v>
          </cell>
          <cell r="B2489" t="str">
            <v>FG-G</v>
          </cell>
          <cell r="J2489" t="str">
            <v>MMT AMC RED 65 A #9</v>
          </cell>
        </row>
        <row r="2490">
          <cell r="A2490" t="str">
            <v>MY027-IA-PA</v>
          </cell>
          <cell r="B2490" t="str">
            <v>FG-G</v>
          </cell>
          <cell r="J2490" t="str">
            <v>MMT AMC RED 65 A #W</v>
          </cell>
        </row>
        <row r="2491">
          <cell r="A2491" t="str">
            <v>MY027-IR-3A</v>
          </cell>
          <cell r="B2491" t="str">
            <v>FG-G</v>
          </cell>
          <cell r="J2491" t="str">
            <v>MMT AMC RED 65 R #3</v>
          </cell>
        </row>
        <row r="2492">
          <cell r="A2492" t="str">
            <v>MY027-IR-4A</v>
          </cell>
          <cell r="B2492" t="str">
            <v>FG-G</v>
          </cell>
          <cell r="J2492" t="str">
            <v>MMT AMC RED 65 R #4</v>
          </cell>
        </row>
        <row r="2493">
          <cell r="A2493" t="str">
            <v>MY027-IR-5A</v>
          </cell>
          <cell r="B2493" t="str">
            <v>FG-G</v>
          </cell>
          <cell r="J2493" t="str">
            <v>MMT AMC RED 65 R #5</v>
          </cell>
        </row>
        <row r="2494">
          <cell r="A2494" t="str">
            <v>MY027-IR-6A</v>
          </cell>
          <cell r="B2494" t="str">
            <v>FG-G</v>
          </cell>
          <cell r="J2494" t="str">
            <v>MMT AMC RED 65 R #6</v>
          </cell>
        </row>
        <row r="2495">
          <cell r="A2495" t="str">
            <v>MY027-IR-7A</v>
          </cell>
          <cell r="B2495" t="str">
            <v>FG-G</v>
          </cell>
          <cell r="J2495" t="str">
            <v>MMT AMC RED 65 R #7</v>
          </cell>
        </row>
        <row r="2496">
          <cell r="A2496" t="str">
            <v>MY027-IR-8A</v>
          </cell>
          <cell r="B2496" t="str">
            <v>FG-G</v>
          </cell>
          <cell r="J2496" t="str">
            <v>MMT AMC RED 65 R #8</v>
          </cell>
        </row>
        <row r="2497">
          <cell r="A2497" t="str">
            <v>MY027-IR-9A</v>
          </cell>
          <cell r="B2497" t="str">
            <v>FG-G</v>
          </cell>
          <cell r="J2497" t="str">
            <v>MMT AMC RED 65 R #9</v>
          </cell>
        </row>
        <row r="2498">
          <cell r="A2498" t="str">
            <v>MY027-IR-PA</v>
          </cell>
          <cell r="B2498" t="str">
            <v>FG-G</v>
          </cell>
          <cell r="J2498" t="str">
            <v>MMT AMC RED 65 R #W</v>
          </cell>
        </row>
        <row r="2499">
          <cell r="A2499" t="str">
            <v>MY027-IS-3A</v>
          </cell>
          <cell r="B2499" t="str">
            <v>FG-G</v>
          </cell>
          <cell r="J2499" t="str">
            <v>MMT AMC RED 65 S #3</v>
          </cell>
        </row>
        <row r="2500">
          <cell r="A2500" t="str">
            <v>MY027-IS-4A</v>
          </cell>
          <cell r="B2500" t="str">
            <v>FG-G</v>
          </cell>
          <cell r="J2500" t="str">
            <v>MMT AMC RED 65 S #4</v>
          </cell>
        </row>
        <row r="2501">
          <cell r="A2501" t="str">
            <v>MY027-IS-5A</v>
          </cell>
          <cell r="B2501" t="str">
            <v>FG-G</v>
          </cell>
          <cell r="J2501" t="str">
            <v>MMT AMC RED 65 S #5</v>
          </cell>
        </row>
        <row r="2502">
          <cell r="A2502" t="str">
            <v>MY027-IS-6A</v>
          </cell>
          <cell r="B2502" t="str">
            <v>FG-G</v>
          </cell>
          <cell r="J2502" t="str">
            <v>MMT AMC RED 65 S #6</v>
          </cell>
        </row>
        <row r="2503">
          <cell r="A2503" t="str">
            <v>MY027-IS-7A</v>
          </cell>
          <cell r="B2503" t="str">
            <v>FG-G</v>
          </cell>
          <cell r="J2503" t="str">
            <v>MMT AMC RED 65 S #7</v>
          </cell>
        </row>
        <row r="2504">
          <cell r="A2504" t="str">
            <v>MY027-IS-8A</v>
          </cell>
          <cell r="B2504" t="str">
            <v>FG-G</v>
          </cell>
          <cell r="J2504" t="str">
            <v>MMT AMC RED 65 S #8</v>
          </cell>
        </row>
        <row r="2505">
          <cell r="A2505" t="str">
            <v>MY027-IS-9A</v>
          </cell>
          <cell r="B2505" t="str">
            <v>FG-G</v>
          </cell>
          <cell r="J2505" t="str">
            <v>MMT AMC RED 65 S #9</v>
          </cell>
        </row>
        <row r="2506">
          <cell r="A2506" t="str">
            <v>MY027-IS-PA</v>
          </cell>
          <cell r="B2506" t="str">
            <v>FG-G</v>
          </cell>
          <cell r="J2506" t="str">
            <v>MMT AMC RED 65 S #W</v>
          </cell>
        </row>
        <row r="2507">
          <cell r="A2507" t="str">
            <v>MY028-IR-3A</v>
          </cell>
          <cell r="B2507" t="str">
            <v>FG-G</v>
          </cell>
          <cell r="J2507" t="str">
            <v>MMT AMC BLUE 85 R #3</v>
          </cell>
        </row>
        <row r="2508">
          <cell r="A2508" t="str">
            <v>MY028-IR-4A</v>
          </cell>
          <cell r="B2508" t="str">
            <v>FG-G</v>
          </cell>
          <cell r="J2508" t="str">
            <v>MMT AMC BLUE 85 R #4</v>
          </cell>
        </row>
        <row r="2509">
          <cell r="A2509" t="str">
            <v>MY028-IR-5A</v>
          </cell>
          <cell r="B2509" t="str">
            <v>FG-G</v>
          </cell>
          <cell r="J2509" t="str">
            <v>MMT AMC BLUE 85 R #5</v>
          </cell>
        </row>
        <row r="2510">
          <cell r="A2510" t="str">
            <v>MY028-IR-6A</v>
          </cell>
          <cell r="B2510" t="str">
            <v>FG-G</v>
          </cell>
          <cell r="J2510" t="str">
            <v>MMT AMC BLUE 85 R #6</v>
          </cell>
        </row>
        <row r="2511">
          <cell r="A2511" t="str">
            <v>MY028-IR-7A</v>
          </cell>
          <cell r="B2511" t="str">
            <v>FG-G</v>
          </cell>
          <cell r="J2511" t="str">
            <v>MMT AMC BLUE 85 R #7</v>
          </cell>
        </row>
        <row r="2512">
          <cell r="A2512" t="str">
            <v>MY028-IR-8A</v>
          </cell>
          <cell r="B2512" t="str">
            <v>FG-G</v>
          </cell>
          <cell r="J2512" t="str">
            <v>MMT AMC BLUE 85 R #8</v>
          </cell>
        </row>
        <row r="2513">
          <cell r="A2513" t="str">
            <v>MY028-IR-9A</v>
          </cell>
          <cell r="B2513" t="str">
            <v>FG-G</v>
          </cell>
          <cell r="J2513" t="str">
            <v>MMT AMC BLUE 85 R #9</v>
          </cell>
        </row>
        <row r="2514">
          <cell r="A2514" t="str">
            <v>MY028-IR-PA</v>
          </cell>
          <cell r="B2514" t="str">
            <v>FG-G</v>
          </cell>
          <cell r="J2514" t="str">
            <v>MMT AMC BLUE 85 R #W</v>
          </cell>
        </row>
        <row r="2515">
          <cell r="A2515" t="str">
            <v>MY028-IS-3A</v>
          </cell>
          <cell r="B2515" t="str">
            <v>FG-G</v>
          </cell>
          <cell r="J2515" t="str">
            <v>MMT AMC BLUE 85 S #3</v>
          </cell>
        </row>
        <row r="2516">
          <cell r="A2516" t="str">
            <v>MY028-IS-4A</v>
          </cell>
          <cell r="B2516" t="str">
            <v>FG-G</v>
          </cell>
          <cell r="J2516" t="str">
            <v>MMT AMC BLUE 85 S #4</v>
          </cell>
        </row>
        <row r="2517">
          <cell r="A2517" t="str">
            <v>MY028-IS-5A</v>
          </cell>
          <cell r="B2517" t="str">
            <v>FG-G</v>
          </cell>
          <cell r="J2517" t="str">
            <v>MMT AMC BLUE 85 S #5</v>
          </cell>
        </row>
        <row r="2518">
          <cell r="A2518" t="str">
            <v>MY028-IS-6A</v>
          </cell>
          <cell r="B2518" t="str">
            <v>FG-G</v>
          </cell>
          <cell r="J2518" t="str">
            <v>MMT AMC BLUE 85 S #6</v>
          </cell>
        </row>
        <row r="2519">
          <cell r="A2519" t="str">
            <v>MY028-IS-7A</v>
          </cell>
          <cell r="B2519" t="str">
            <v>FG-G</v>
          </cell>
          <cell r="J2519" t="str">
            <v>MMT AMC BLUE 85 S #7</v>
          </cell>
        </row>
        <row r="2520">
          <cell r="A2520" t="str">
            <v>MY028-IS-8A</v>
          </cell>
          <cell r="B2520" t="str">
            <v>FG-G</v>
          </cell>
          <cell r="J2520" t="str">
            <v>MMT AMC BLUE 85 S #8</v>
          </cell>
        </row>
        <row r="2521">
          <cell r="A2521" t="str">
            <v>MY028-IS-9A</v>
          </cell>
          <cell r="B2521" t="str">
            <v>FG-G</v>
          </cell>
          <cell r="J2521" t="str">
            <v>MMT AMC BLUE 85 S #9</v>
          </cell>
        </row>
        <row r="2522">
          <cell r="A2522" t="str">
            <v>MY028-IS-PA</v>
          </cell>
          <cell r="B2522" t="str">
            <v>FG-G</v>
          </cell>
          <cell r="J2522" t="str">
            <v>MMT AMC BLUE 85 S #W</v>
          </cell>
        </row>
        <row r="2523">
          <cell r="A2523" t="str">
            <v>AU234-WTX1A</v>
          </cell>
          <cell r="B2523" t="str">
            <v>FG-G</v>
          </cell>
          <cell r="J2523" t="str">
            <v>2694315/SHAFT DRIVER/FAIRWAY TENSEI 1K BLUE RIP 65 TX 46.0</v>
          </cell>
        </row>
        <row r="2524">
          <cell r="A2524" t="str">
            <v>AU236-WTX1A</v>
          </cell>
          <cell r="B2524" t="str">
            <v>FG-G</v>
          </cell>
          <cell r="J2524" t="str">
            <v>2694349/SHAFT DRIVER/FAIRWAY TENSEI 1K WHITE RIP 65 TX 46.0</v>
          </cell>
        </row>
        <row r="2525">
          <cell r="A2525" t="str">
            <v>AU237-WTX1A</v>
          </cell>
          <cell r="B2525" t="str">
            <v>FG-G</v>
          </cell>
          <cell r="J2525" t="str">
            <v>2694355/SHAFT DRIVER/FAIRWAY TENSEI 1K WHITE RIP 75 TX 46.0</v>
          </cell>
        </row>
        <row r="2526">
          <cell r="A2526" t="str">
            <v>AU238-WTX1A</v>
          </cell>
          <cell r="B2526" t="str">
            <v>FG-G</v>
          </cell>
          <cell r="J2526" t="str">
            <v>2694361/SHAFT DRIVER/FAIRWAY TENSEI 1K WHITE RIP 85 TX 46.0</v>
          </cell>
        </row>
        <row r="2527">
          <cell r="A2527" t="str">
            <v>MX948-WS-1A</v>
          </cell>
          <cell r="B2527" t="str">
            <v>FG-G</v>
          </cell>
          <cell r="J2527" t="str">
            <v>DIAMANA™ BB-SERIES 63 S-FLEX</v>
          </cell>
        </row>
        <row r="2528">
          <cell r="A2528" t="str">
            <v>YR190-UR-1A</v>
          </cell>
          <cell r="B2528" t="str">
            <v>FG-G</v>
          </cell>
          <cell r="J2528" t="str">
            <v>VU262-37C/2026 RS UTILITY R-FLEX</v>
          </cell>
        </row>
        <row r="2529">
          <cell r="A2529" t="str">
            <v>YR190-US-1A</v>
          </cell>
          <cell r="B2529" t="str">
            <v>FG-G</v>
          </cell>
          <cell r="J2529" t="str">
            <v>VU262-43C/2026 RS UTILITY S-FLEX</v>
          </cell>
        </row>
        <row r="2530">
          <cell r="A2530" t="str">
            <v>YR190-USR1A</v>
          </cell>
          <cell r="B2530" t="str">
            <v>FG-G</v>
          </cell>
          <cell r="J2530" t="str">
            <v>VU262-40C/2026 RS UTILITY SR-FLEX</v>
          </cell>
        </row>
        <row r="2531">
          <cell r="A2531" t="str">
            <v>YR190-WR-1A</v>
          </cell>
          <cell r="B2531" t="str">
            <v>FG-G</v>
          </cell>
          <cell r="J2531" t="str">
            <v>VD262-37A/26 RS DR R-FLEX</v>
          </cell>
        </row>
        <row r="2532">
          <cell r="A2532" t="str">
            <v>YR190-WR-3A</v>
          </cell>
          <cell r="B2532" t="str">
            <v>FG-G</v>
          </cell>
          <cell r="J2532" t="str">
            <v>VF262-37C/26 RS FW R-FLEX</v>
          </cell>
        </row>
        <row r="2533">
          <cell r="A2533" t="str">
            <v>YR190-WS-1A</v>
          </cell>
          <cell r="B2533" t="str">
            <v>FG-G</v>
          </cell>
          <cell r="J2533" t="str">
            <v>VD262-43A/26 RS DR S-FLEX</v>
          </cell>
        </row>
        <row r="2534">
          <cell r="A2534" t="str">
            <v>YR190-WS-3A</v>
          </cell>
          <cell r="B2534" t="str">
            <v>FG-G</v>
          </cell>
          <cell r="J2534" t="str">
            <v>VF262-43C/26 RS FW S-FLEX</v>
          </cell>
        </row>
        <row r="2535">
          <cell r="A2535" t="str">
            <v>YR190-WSR1A</v>
          </cell>
          <cell r="B2535" t="str">
            <v>FG-G</v>
          </cell>
          <cell r="J2535" t="str">
            <v>VD262-40A/26 RS DR SR-FLEX</v>
          </cell>
        </row>
        <row r="2536">
          <cell r="A2536" t="str">
            <v>YR190-WSR3A</v>
          </cell>
          <cell r="B2536" t="str">
            <v>FG-G</v>
          </cell>
          <cell r="J2536" t="str">
            <v>VF262-40C/26 RS FW SR-FLEX</v>
          </cell>
        </row>
        <row r="2537">
          <cell r="A2537" t="str">
            <v>CW159-WW-1A</v>
          </cell>
          <cell r="B2537" t="str">
            <v>FG-G</v>
          </cell>
          <cell r="J2537" t="str">
            <v>3590V1/SF WD MCA VANQUISH 40 GR R3</v>
          </cell>
        </row>
        <row r="2538">
          <cell r="A2538" t="str">
            <v>MY015-WA-1AO</v>
          </cell>
          <cell r="B2538" t="str">
            <v>FG-G</v>
          </cell>
          <cell r="J2538" t="str">
            <v>Kai'li Dark Waves CB Red 40R2</v>
          </cell>
        </row>
        <row r="2539">
          <cell r="A2539" t="str">
            <v>MY015-WR-1AO</v>
          </cell>
          <cell r="B2539" t="str">
            <v>FG-G</v>
          </cell>
          <cell r="J2539" t="str">
            <v>KAILI DARK WAVES CB RED 40 R-FLEX</v>
          </cell>
        </row>
        <row r="2540">
          <cell r="A2540" t="str">
            <v>MX729-IR-4A</v>
          </cell>
          <cell r="B2540" t="str">
            <v>FG-G</v>
          </cell>
          <cell r="J2540" t="str">
            <v>MMT™ Taper Iron 65 R-flex (0.355 taper)</v>
          </cell>
        </row>
        <row r="2541">
          <cell r="A2541" t="str">
            <v>MX698-IL-1AO</v>
          </cell>
          <cell r="B2541" t="str">
            <v>FG-G</v>
          </cell>
          <cell r="J2541" t="str">
            <v>MMT™ Iron 50 L-flex (Parallel)</v>
          </cell>
        </row>
        <row r="2542">
          <cell r="A2542" t="str">
            <v>MY016-WR-1AO</v>
          </cell>
          <cell r="B2542" t="str">
            <v>FG-G</v>
          </cell>
          <cell r="J2542" t="str">
            <v>KAILI DARK WAVES CB RED 50 R-FLEX</v>
          </cell>
        </row>
        <row r="2543">
          <cell r="A2543" t="str">
            <v>MX726-IS-4A</v>
          </cell>
          <cell r="B2543" t="str">
            <v>FG-G</v>
          </cell>
          <cell r="J2543" t="str">
            <v>MMT™ Taper Iron 85 S-flex (0.355 taper)</v>
          </cell>
        </row>
        <row r="2544">
          <cell r="A2544" t="str">
            <v>MX795-IS-1AO</v>
          </cell>
          <cell r="B2544" t="str">
            <v>FG-G</v>
          </cell>
          <cell r="J2544" t="str">
            <v>MMT™ HYBRID 90 S-FLEX</v>
          </cell>
        </row>
        <row r="2545">
          <cell r="A2545" t="str">
            <v>MX681-ITX3A</v>
          </cell>
          <cell r="B2545" t="str">
            <v>FG-G</v>
          </cell>
          <cell r="J2545" t="str">
            <v>MMT™ Taper Iron 105 TX-flex (0.355 taper) 39"</v>
          </cell>
        </row>
        <row r="2546">
          <cell r="A2546" t="str">
            <v>MX946-WR-1A</v>
          </cell>
          <cell r="B2546" t="str">
            <v>FG-G</v>
          </cell>
          <cell r="J2546" t="str">
            <v>DIAMANA™ BB-SERIES 43 R-FLEX</v>
          </cell>
        </row>
        <row r="2547">
          <cell r="A2547" t="str">
            <v>MX946-WSR1A</v>
          </cell>
          <cell r="B2547" t="str">
            <v>FG-G</v>
          </cell>
          <cell r="J2547" t="str">
            <v>DIAMANA™ BB-SERIES 43 SR-FLEX</v>
          </cell>
        </row>
        <row r="2548">
          <cell r="A2548" t="str">
            <v>MX946-WX-1A</v>
          </cell>
          <cell r="B2548" t="str">
            <v>FG-G</v>
          </cell>
          <cell r="J2548" t="str">
            <v>DIAMANA™ BB-SERIES 43 X-FLEX</v>
          </cell>
        </row>
        <row r="2549">
          <cell r="A2549" t="str">
            <v>MX947-WSR1A</v>
          </cell>
          <cell r="B2549" t="str">
            <v>FG-G</v>
          </cell>
          <cell r="J2549" t="str">
            <v>DIAMANA™ BB-SERIES 53 SR-FLEX</v>
          </cell>
        </row>
        <row r="2550">
          <cell r="A2550" t="str">
            <v>MX947-WX-1A</v>
          </cell>
          <cell r="B2550" t="str">
            <v>FG-G</v>
          </cell>
          <cell r="J2550" t="str">
            <v>DIAMANA™ BB-SERIES 53 X-FLEX</v>
          </cell>
        </row>
        <row r="2551">
          <cell r="A2551" t="str">
            <v>MX952-WX-1A</v>
          </cell>
          <cell r="B2551" t="str">
            <v>FG-G</v>
          </cell>
          <cell r="J2551" t="str">
            <v>DIAMANA™ WB-SERIES 43 X-FLEX</v>
          </cell>
        </row>
        <row r="2552">
          <cell r="A2552" t="str">
            <v>MX953-WSR1A</v>
          </cell>
          <cell r="B2552" t="str">
            <v>FG-G</v>
          </cell>
          <cell r="J2552" t="str">
            <v>DIAMANA™ WB-SERIES 53 SR-FLEX</v>
          </cell>
        </row>
        <row r="2553">
          <cell r="A2553" t="str">
            <v>MX953-WX-1A</v>
          </cell>
          <cell r="B2553" t="str">
            <v>FG-G</v>
          </cell>
          <cell r="J2553" t="str">
            <v>DIAMANA™ WB-SERIES 53 X-FLEX</v>
          </cell>
        </row>
        <row r="2554">
          <cell r="A2554" t="str">
            <v>CL051-IA-1A</v>
          </cell>
          <cell r="B2554" t="str">
            <v>FG-G</v>
          </cell>
          <cell r="J2554" t="str">
            <v>10383451(JN)/11265126(US)/SH MMT Hybrid 60 A-FLEX</v>
          </cell>
        </row>
        <row r="2555">
          <cell r="A2555" t="str">
            <v>CL051-IR-1A</v>
          </cell>
          <cell r="B2555" t="str">
            <v>FG-G</v>
          </cell>
          <cell r="J2555" t="str">
            <v>10383450(JN)/11265127(US)/SH MMT Hybrid 60 R-FLEX</v>
          </cell>
        </row>
        <row r="2556">
          <cell r="A2556" t="str">
            <v>CL052-IS-1A</v>
          </cell>
          <cell r="B2556" t="str">
            <v>FG-G</v>
          </cell>
          <cell r="J2556" t="str">
            <v>10383448(JN)/30242814(US)/SH MMT HYB 80G S-FLEX</v>
          </cell>
        </row>
        <row r="2557">
          <cell r="A2557" t="str">
            <v>CL052-IX-1A</v>
          </cell>
          <cell r="B2557" t="str">
            <v>FG-G</v>
          </cell>
          <cell r="J2557" t="str">
            <v>10383447(JN)/30242815(US)/SH MMT HYB 80G X-FLEX</v>
          </cell>
        </row>
        <row r="2558">
          <cell r="A2558" t="str">
            <v>CL053-WS-1A</v>
          </cell>
          <cell r="B2558" t="str">
            <v>FG-G</v>
          </cell>
          <cell r="J2558" t="str">
            <v>10383431(JN)/11265134(US)/SH KAILI DW WHT 60 S</v>
          </cell>
        </row>
        <row r="2559">
          <cell r="A2559" t="str">
            <v>CL053-WX-1A</v>
          </cell>
          <cell r="B2559" t="str">
            <v>FG-G</v>
          </cell>
          <cell r="J2559" t="str">
            <v>10383430(JN)/11265135(US)/SH KAILI DW WHT 60 X</v>
          </cell>
        </row>
        <row r="2560">
          <cell r="A2560" t="str">
            <v>CL055-WR-1A</v>
          </cell>
          <cell r="B2560" t="str">
            <v>FG-G</v>
          </cell>
          <cell r="J2560" t="str">
            <v>10383428(JN)/11265130(US)/SH KAILI DW BL 60 R</v>
          </cell>
        </row>
        <row r="2561">
          <cell r="A2561" t="str">
            <v>CL055-WS-1A</v>
          </cell>
          <cell r="B2561" t="str">
            <v>FG-G</v>
          </cell>
          <cell r="J2561" t="str">
            <v>10383427(JN)/11265131(US)/SH KAILI DW BL 60 S</v>
          </cell>
        </row>
        <row r="2562">
          <cell r="A2562" t="str">
            <v>CL055-WX-1A</v>
          </cell>
          <cell r="B2562" t="str">
            <v>FG-G</v>
          </cell>
          <cell r="J2562" t="str">
            <v>10383426(JN)/11265132(US)/SH KAILI DW BL 60 X</v>
          </cell>
        </row>
        <row r="2563">
          <cell r="A2563" t="str">
            <v>CL057-WA-1A</v>
          </cell>
          <cell r="B2563" t="str">
            <v>FG-G</v>
          </cell>
          <cell r="J2563" t="str">
            <v>10383436(JN)/11265136(US)/SH KAILI DW RED CB 50 R2</v>
          </cell>
        </row>
        <row r="2564">
          <cell r="A2564" t="str">
            <v>CL057-WR-1A</v>
          </cell>
          <cell r="B2564" t="str">
            <v>FG-G</v>
          </cell>
          <cell r="J2564" t="str">
            <v>10383435(JN)/11265137(US)/SH KAILI DW RED CB 50 R</v>
          </cell>
        </row>
        <row r="2565">
          <cell r="A2565" t="str">
            <v>CL057-WS-1A</v>
          </cell>
          <cell r="B2565" t="str">
            <v>FG-G</v>
          </cell>
          <cell r="J2565" t="str">
            <v>10383434(JN)/11265138(US)/SH KAILI DW RED CB 50 S</v>
          </cell>
        </row>
        <row r="2566">
          <cell r="A2566" t="str">
            <v>CL053-WR-1A</v>
          </cell>
          <cell r="B2566" t="str">
            <v>FG-G</v>
          </cell>
          <cell r="J2566" t="str">
            <v>10383432(JN)/11265133(US)/SH KAILI DW WHT 60 R</v>
          </cell>
        </row>
        <row r="2567">
          <cell r="A2567" t="str">
            <v>MX954-WX-1A</v>
          </cell>
          <cell r="B2567" t="str">
            <v>FG-G</v>
          </cell>
          <cell r="J2567" t="str">
            <v>DIAMANA™ WB-SERIES 63 X-FLEX</v>
          </cell>
        </row>
        <row r="2568">
          <cell r="A2568" t="str">
            <v>MX824-WS-1CO</v>
          </cell>
          <cell r="B2568" t="str">
            <v>FG-G</v>
          </cell>
          <cell r="J2568" t="str">
            <v>KAILI DARK WAVES BLUE 50 S-FLEX</v>
          </cell>
        </row>
        <row r="2569">
          <cell r="A2569" t="str">
            <v>MX936-WS-1BO</v>
          </cell>
          <cell r="B2569" t="str">
            <v>FG-G</v>
          </cell>
          <cell r="J2569" t="str">
            <v>KAILI DARK WAVES RED 50 S-FLEX</v>
          </cell>
        </row>
        <row r="2570">
          <cell r="A2570" t="str">
            <v>CL050-UL-3A</v>
          </cell>
          <cell r="B2570" t="str">
            <v>FG-G</v>
          </cell>
          <cell r="J2570" t="str">
            <v>10384104(JN)/11265128(US)/BASSARA HY 40GRAM R3</v>
          </cell>
        </row>
        <row r="2571">
          <cell r="A2571" t="str">
            <v>MX948-WTX1A</v>
          </cell>
          <cell r="B2571" t="str">
            <v>FG-G</v>
          </cell>
          <cell r="J2571" t="str">
            <v>DIAMANA™ BB-SERIES 63 TX-FLEX</v>
          </cell>
        </row>
        <row r="2572">
          <cell r="A2572" t="str">
            <v>MX947-WR-1A</v>
          </cell>
          <cell r="B2572" t="str">
            <v>FG-G</v>
          </cell>
          <cell r="J2572" t="str">
            <v>DIAMANA™ BB-SERIES 53 R-FLEX</v>
          </cell>
        </row>
        <row r="2573">
          <cell r="A2573" t="str">
            <v>MX953-WS-1A</v>
          </cell>
          <cell r="B2573" t="str">
            <v>FG-G</v>
          </cell>
          <cell r="J2573" t="str">
            <v>DIAMANA™ WB-SERIES 53 S-FLEX</v>
          </cell>
        </row>
        <row r="2574">
          <cell r="A2574" t="str">
            <v>MX955-WS-1A</v>
          </cell>
          <cell r="B2574" t="str">
            <v>FG-G</v>
          </cell>
          <cell r="J2574" t="str">
            <v>DIAMANA™ WB-SERIES 73 S-FLEX</v>
          </cell>
        </row>
        <row r="2575">
          <cell r="A2575" t="str">
            <v>MX956-WX-1A</v>
          </cell>
          <cell r="B2575" t="str">
            <v>FG-G</v>
          </cell>
          <cell r="J2575" t="str">
            <v>DIAMANA™ WB-SERIES 83 X-FLEX</v>
          </cell>
        </row>
        <row r="2576">
          <cell r="A2576" t="str">
            <v>MX960-WX-1A</v>
          </cell>
          <cell r="B2576" t="str">
            <v>FG-G</v>
          </cell>
          <cell r="J2576" t="str">
            <v>DIAMANA™ RB-SERIES 63 X-FLEX</v>
          </cell>
        </row>
        <row r="2577">
          <cell r="A2577" t="str">
            <v>MX962-WX-1A</v>
          </cell>
          <cell r="B2577" t="str">
            <v>FG-G</v>
          </cell>
          <cell r="J2577" t="str">
            <v>DIAMANA™ RB-SERIES 83 X-FLEX</v>
          </cell>
        </row>
        <row r="2578">
          <cell r="A2578" t="str">
            <v>AX181-IR-1PCY</v>
          </cell>
          <cell r="B2578" t="str">
            <v>FG-G</v>
          </cell>
          <cell r="J2578" t="str">
            <v>39162-03P/271 COHO HY SHAFT (R) P</v>
          </cell>
        </row>
        <row r="2579">
          <cell r="A2579" t="str">
            <v>AX181-IS-1PCY</v>
          </cell>
          <cell r="B2579" t="str">
            <v>FG-G</v>
          </cell>
          <cell r="J2579" t="str">
            <v>39162-01P/271 COHO HY SHAFT (S) P</v>
          </cell>
        </row>
        <row r="2580">
          <cell r="A2580" t="str">
            <v>AX181-ISR1PCY</v>
          </cell>
          <cell r="B2580" t="str">
            <v>FG-G</v>
          </cell>
          <cell r="J2580" t="str">
            <v>39162-02P/271 COHO HY SHAFT (SR) P</v>
          </cell>
        </row>
        <row r="2581">
          <cell r="A2581" t="str">
            <v>AX184-WR-3PCY</v>
          </cell>
          <cell r="B2581" t="str">
            <v>FG-G</v>
          </cell>
          <cell r="J2581" t="str">
            <v>39161-03P/271 Coho FW Shaft (R) P</v>
          </cell>
        </row>
        <row r="2582">
          <cell r="A2582" t="str">
            <v>AX184-WS-3PCY</v>
          </cell>
          <cell r="B2582" t="str">
            <v>FG-G</v>
          </cell>
          <cell r="J2582" t="str">
            <v>39161-01P/271 Coho FW Shaft (S) P</v>
          </cell>
        </row>
        <row r="2583">
          <cell r="A2583" t="str">
            <v>AX184-WSR3PCY</v>
          </cell>
          <cell r="B2583" t="str">
            <v>FG-G</v>
          </cell>
          <cell r="J2583" t="str">
            <v>39161-02P/271 Coho FW Shaft (SR) P</v>
          </cell>
        </row>
        <row r="2584">
          <cell r="A2584" t="str">
            <v>AX217-WR-1PCY</v>
          </cell>
          <cell r="B2584" t="str">
            <v>FG-G</v>
          </cell>
          <cell r="J2584" t="str">
            <v>39160-03P/271 COHO DR SHAFT (R) P</v>
          </cell>
        </row>
        <row r="2585">
          <cell r="A2585" t="str">
            <v>AX217-WS-1PCY</v>
          </cell>
          <cell r="B2585" t="str">
            <v>FG-G</v>
          </cell>
          <cell r="J2585" t="str">
            <v>39160-01P/271 COHO DR SHAFT (S) P</v>
          </cell>
        </row>
        <row r="2586">
          <cell r="A2586" t="str">
            <v>AX217-WSR1PCY</v>
          </cell>
          <cell r="B2586" t="str">
            <v>FG-G</v>
          </cell>
          <cell r="J2586" t="str">
            <v>39160-02P/271 COHO DR SHAFT (SR) P</v>
          </cell>
        </row>
        <row r="2587">
          <cell r="A2587" t="str">
            <v>MX947-WS-1AO</v>
          </cell>
          <cell r="B2587" t="str">
            <v>FG-G</v>
          </cell>
          <cell r="J2587" t="str">
            <v>DIAMANA™ BB-SERIES 53 S-FLEX</v>
          </cell>
        </row>
        <row r="2588">
          <cell r="A2588" t="str">
            <v>MX949-WS-1AO</v>
          </cell>
          <cell r="B2588" t="str">
            <v>FG-G</v>
          </cell>
          <cell r="J2588" t="str">
            <v>DIAMANA™ BB-SERIES 73 S-FLEX</v>
          </cell>
        </row>
        <row r="2589">
          <cell r="A2589" t="str">
            <v>MX950-WX-1AO</v>
          </cell>
          <cell r="B2589" t="str">
            <v>FG-G</v>
          </cell>
          <cell r="J2589" t="str">
            <v>DIAMANA BB 80G X-Flex</v>
          </cell>
        </row>
        <row r="2590">
          <cell r="A2590" t="str">
            <v>MX959-WS-1AO</v>
          </cell>
          <cell r="B2590" t="str">
            <v>FG-G</v>
          </cell>
          <cell r="J2590" t="str">
            <v>DIAMANA™ RB-SERIES 53 S-FLEX</v>
          </cell>
        </row>
        <row r="2591">
          <cell r="A2591" t="str">
            <v>MX960-WR-1AO</v>
          </cell>
          <cell r="B2591" t="str">
            <v>FG-G</v>
          </cell>
          <cell r="J2591" t="str">
            <v>DIAMANA RB 63 R-Flex</v>
          </cell>
        </row>
        <row r="2592">
          <cell r="A2592" t="str">
            <v>MX961-WX-1AO</v>
          </cell>
          <cell r="B2592" t="str">
            <v>FG-G</v>
          </cell>
          <cell r="J2592" t="str">
            <v>DIAMANA™ RB-SERIES 73 X-FLEX</v>
          </cell>
        </row>
        <row r="2593">
          <cell r="A2593" t="str">
            <v>MX948-WS-1E</v>
          </cell>
          <cell r="B2593" t="str">
            <v>FG-G</v>
          </cell>
          <cell r="J2593" t="str">
            <v>DIAMANA™ BB-SERIES 63 S-FLEX (DERBY EDITION)</v>
          </cell>
        </row>
        <row r="2594">
          <cell r="A2594" t="str">
            <v>MX948-WX-1E</v>
          </cell>
          <cell r="B2594" t="str">
            <v>FG-G</v>
          </cell>
          <cell r="J2594" t="str">
            <v>DIAMANA™ BB-SERIES 63 X-FLEX (DERBY EDITION)</v>
          </cell>
        </row>
        <row r="2595">
          <cell r="A2595" t="str">
            <v>MX949-WS-1E</v>
          </cell>
          <cell r="B2595" t="str">
            <v>FG-G</v>
          </cell>
          <cell r="J2595" t="str">
            <v>DIAMANA™ BB-SERIES 73 S-FLEX (DERBY EDITION)</v>
          </cell>
        </row>
        <row r="2596">
          <cell r="A2596" t="str">
            <v>MX949-WX-1E</v>
          </cell>
          <cell r="B2596" t="str">
            <v>FG-G</v>
          </cell>
          <cell r="J2596" t="str">
            <v>DIAMANA™ BB-SERIES 73 X-FLEX (DERBY EDITION)</v>
          </cell>
        </row>
        <row r="2597">
          <cell r="A2597" t="str">
            <v>MX947-WS-1AT</v>
          </cell>
          <cell r="B2597" t="str">
            <v>FG-G</v>
          </cell>
          <cell r="J2597" t="str">
            <v>SHM MCA DIAMANA BB 53S (DEMO)</v>
          </cell>
        </row>
        <row r="2598">
          <cell r="A2598" t="str">
            <v>MX953-WS-1AT</v>
          </cell>
          <cell r="B2598" t="str">
            <v>FG-G</v>
          </cell>
          <cell r="J2598" t="str">
            <v>SHM MCA DIAMANA WB 53S (DEMO)</v>
          </cell>
        </row>
        <row r="2599">
          <cell r="A2599" t="str">
            <v>MX835-WR-1AO</v>
          </cell>
          <cell r="B2599" t="str">
            <v>FG-G</v>
          </cell>
          <cell r="J2599" t="str">
            <v>TENSEI™ AV Blue w/XLINK 65 R-Flex</v>
          </cell>
        </row>
        <row r="2600">
          <cell r="A2600" t="str">
            <v>MX835-WX-1AO</v>
          </cell>
          <cell r="B2600" t="str">
            <v>FG-G</v>
          </cell>
          <cell r="J2600" t="str">
            <v>TENSEI™ AV BLUE W/XLINK 65 X-Flex</v>
          </cell>
        </row>
        <row r="2601">
          <cell r="A2601" t="str">
            <v>MX837-WS-1AO</v>
          </cell>
          <cell r="B2601" t="str">
            <v>FG-G</v>
          </cell>
          <cell r="J2601" t="str">
            <v>TENSEI™ AV WHITE W/XLINK 65 S-Flex</v>
          </cell>
        </row>
        <row r="2602">
          <cell r="A2602" t="str">
            <v>MX837-WX-1AO</v>
          </cell>
          <cell r="B2602" t="str">
            <v>FG-G</v>
          </cell>
          <cell r="J2602" t="str">
            <v>TENSEI™ AV WHITE W/XLINK 65 X-Flex</v>
          </cell>
        </row>
        <row r="2603">
          <cell r="A2603" t="str">
            <v>MX838-WS-1AO</v>
          </cell>
          <cell r="B2603" t="str">
            <v>FG-G</v>
          </cell>
          <cell r="J2603" t="str">
            <v>TENSEI™ AV WHITE W/XLINK 75 S-Flex</v>
          </cell>
        </row>
        <row r="2604">
          <cell r="A2604" t="str">
            <v>MX838-WX-1AO</v>
          </cell>
          <cell r="B2604" t="str">
            <v>FG-G</v>
          </cell>
          <cell r="J2604" t="str">
            <v>TENSEI™ AV WHITE W/XLINK 75 X-Flex</v>
          </cell>
        </row>
        <row r="2605">
          <cell r="A2605" t="str">
            <v>MX919-WA-1AO</v>
          </cell>
          <cell r="B2605" t="str">
            <v>FG-G</v>
          </cell>
          <cell r="J2605" t="str">
            <v>TENSEI™ AV SERIES RED 55 R2-FLEX</v>
          </cell>
        </row>
        <row r="2606">
          <cell r="A2606" t="str">
            <v>MX919-WR-1AO</v>
          </cell>
          <cell r="B2606" t="str">
            <v>FG-G</v>
          </cell>
          <cell r="J2606" t="str">
            <v>TENSEI™ AV SERIES RED 55 R-FLEX</v>
          </cell>
        </row>
        <row r="2607">
          <cell r="A2607" t="str">
            <v>MX919-WS-1AO</v>
          </cell>
          <cell r="B2607" t="str">
            <v>FG-G</v>
          </cell>
          <cell r="J2607" t="str">
            <v>TENSEI™ AV SERIES RED 55 S-FLEX</v>
          </cell>
        </row>
        <row r="2608">
          <cell r="A2608" t="str">
            <v>MX922-IA-1BO</v>
          </cell>
          <cell r="B2608" t="str">
            <v>FG-G</v>
          </cell>
          <cell r="J2608" t="str">
            <v>TENSEI™ AV SERIES SILVER IRON 65 R2-FLEX</v>
          </cell>
        </row>
        <row r="2609">
          <cell r="A2609" t="str">
            <v>MX923-IR-1AO</v>
          </cell>
          <cell r="B2609" t="str">
            <v>FG-G</v>
          </cell>
          <cell r="J2609" t="str">
            <v>TENSEI™ AV SERIES SILVER HYBRID 75 R-FLEX</v>
          </cell>
        </row>
        <row r="2610">
          <cell r="A2610" t="str">
            <v>MX923-IR-1BO</v>
          </cell>
          <cell r="B2610" t="str">
            <v>FG-G</v>
          </cell>
          <cell r="J2610" t="str">
            <v>TENSEI™ AV SERIES SILVER IRON 75 R-FLEX</v>
          </cell>
        </row>
        <row r="2611">
          <cell r="A2611" t="str">
            <v>MX923-IS-1AO</v>
          </cell>
          <cell r="B2611" t="str">
            <v>FG-G</v>
          </cell>
          <cell r="J2611" t="str">
            <v>TENSEI™ AV SERIES SILVER HYBRID 75 S-FLEX</v>
          </cell>
        </row>
        <row r="2612">
          <cell r="A2612" t="str">
            <v>MX923-IS-1BO</v>
          </cell>
          <cell r="B2612" t="str">
            <v>FG-G</v>
          </cell>
          <cell r="J2612" t="str">
            <v>TENSEI™ AV SERIES SILVER IRON 75 S-FLEX</v>
          </cell>
        </row>
        <row r="2613">
          <cell r="A2613" t="str">
            <v>MX924-IX-1AO</v>
          </cell>
          <cell r="B2613" t="str">
            <v>FG-G</v>
          </cell>
          <cell r="J2613" t="str">
            <v>TENSEI™ AV SERIES SILVER HYBRID 85 X-FLEX</v>
          </cell>
        </row>
        <row r="2614">
          <cell r="A2614" t="str">
            <v>MX972-WR-1AO</v>
          </cell>
          <cell r="B2614" t="str">
            <v>FG-G</v>
          </cell>
          <cell r="J2614" t="str">
            <v>TENSEI™ AV SERIES ORANGE 55 R-FLEX</v>
          </cell>
        </row>
        <row r="2615">
          <cell r="A2615" t="str">
            <v>MX972-WS-1AO</v>
          </cell>
          <cell r="B2615" t="str">
            <v>FG-G</v>
          </cell>
          <cell r="J2615" t="str">
            <v>TENSEI™ AV SERIES ORANGE 55 S-FLEX</v>
          </cell>
        </row>
        <row r="2616">
          <cell r="A2616" t="str">
            <v>MX974-WR-1AO</v>
          </cell>
          <cell r="B2616" t="str">
            <v>FG-G</v>
          </cell>
          <cell r="J2616" t="str">
            <v>TENSEI™ AV SERIES ORANGE 65 R-FLEX</v>
          </cell>
        </row>
        <row r="2617">
          <cell r="A2617" t="str">
            <v>MX974-WS-1AO</v>
          </cell>
          <cell r="B2617" t="str">
            <v>FG-G</v>
          </cell>
          <cell r="J2617" t="str">
            <v>TENSEI™ AV SERIES ORANGE 65 S-FLEX</v>
          </cell>
        </row>
        <row r="2618">
          <cell r="A2618" t="str">
            <v>MX974-WX-1AO</v>
          </cell>
          <cell r="B2618" t="str">
            <v>FG-G</v>
          </cell>
          <cell r="J2618" t="str">
            <v>TENSEI™ AV SERIES ORANGE 65 X-FLEX</v>
          </cell>
        </row>
        <row r="2619">
          <cell r="A2619" t="str">
            <v>MY045-IA-3A</v>
          </cell>
          <cell r="B2619" t="str">
            <v>FG-G</v>
          </cell>
          <cell r="J2619" t="str">
            <v>DIAMANA™ RB-SERIES HYBRID 63 R2-FLEX</v>
          </cell>
        </row>
        <row r="2620">
          <cell r="A2620" t="str">
            <v>MY045-IR-3A</v>
          </cell>
          <cell r="B2620" t="str">
            <v>FG-G</v>
          </cell>
          <cell r="J2620" t="str">
            <v>DIAMANA™ RB-SERIES HYBRID 63 R-FLEX</v>
          </cell>
        </row>
        <row r="2621">
          <cell r="A2621" t="str">
            <v>MY046-IR-3A</v>
          </cell>
          <cell r="B2621" t="str">
            <v>FG-G</v>
          </cell>
          <cell r="J2621" t="str">
            <v>DIAMANA™ RB-SERIES HYBRID 73 R-FLEX</v>
          </cell>
        </row>
        <row r="2622">
          <cell r="A2622" t="str">
            <v>MY046-IS-3A</v>
          </cell>
          <cell r="B2622" t="str">
            <v>FG-G</v>
          </cell>
          <cell r="J2622" t="str">
            <v>DIAMANA™ RB-SERIES HYBRID 73 S-FLEX</v>
          </cell>
        </row>
        <row r="2623">
          <cell r="A2623" t="str">
            <v>MY047-IR-3A</v>
          </cell>
          <cell r="B2623" t="str">
            <v>FG-G</v>
          </cell>
          <cell r="J2623" t="str">
            <v>DIAMANA™ BB-SERIES HYBRID 83 R-FLEX</v>
          </cell>
        </row>
        <row r="2624">
          <cell r="A2624" t="str">
            <v>MY047-IS-3A</v>
          </cell>
          <cell r="B2624" t="str">
            <v>FG-G</v>
          </cell>
          <cell r="J2624" t="str">
            <v>DIAMANA™ BB-SERIES HYBRID 83 S-FLEX</v>
          </cell>
        </row>
        <row r="2625">
          <cell r="A2625" t="str">
            <v>MY047-IX-3A</v>
          </cell>
          <cell r="B2625" t="str">
            <v>FG-G</v>
          </cell>
          <cell r="J2625" t="str">
            <v>DIAMANA™ BB-SERIES HYBRID 83 X-FLEX</v>
          </cell>
        </row>
        <row r="2626">
          <cell r="A2626" t="str">
            <v>MY048-IS-3A</v>
          </cell>
          <cell r="B2626" t="str">
            <v>FG-G</v>
          </cell>
          <cell r="J2626" t="str">
            <v>DIAMANA™ BB-SERIES HYBRID 93 S-FLEX</v>
          </cell>
        </row>
        <row r="2627">
          <cell r="A2627" t="str">
            <v>MY048-IX-3A</v>
          </cell>
          <cell r="B2627" t="str">
            <v>FG-G</v>
          </cell>
          <cell r="J2627" t="str">
            <v>DIAMANA™ BB-SERIES HYBRID 93 X-FLEX</v>
          </cell>
        </row>
        <row r="2628">
          <cell r="A2628" t="str">
            <v>MY049-IX-3A</v>
          </cell>
          <cell r="B2628" t="str">
            <v>FG-G</v>
          </cell>
          <cell r="J2628" t="str">
            <v>DIAMANA™ WB-SERIES HYBRID 103 X-FLEX</v>
          </cell>
        </row>
        <row r="2629">
          <cell r="A2629" t="str">
            <v>MX962-WX-1AO</v>
          </cell>
          <cell r="B2629" t="str">
            <v>FG-G</v>
          </cell>
          <cell r="J2629" t="str">
            <v>DIAMANA™ RB-SERIES 83 X-FLEX</v>
          </cell>
        </row>
        <row r="2630">
          <cell r="A2630" t="str">
            <v>MX948-WR-1A</v>
          </cell>
          <cell r="B2630" t="str">
            <v>FG-G</v>
          </cell>
          <cell r="J2630" t="str">
            <v>DIAMANA™ BB-SERIES 63 R-FLEX</v>
          </cell>
        </row>
        <row r="2631">
          <cell r="A2631" t="str">
            <v>MX953-WR-1A</v>
          </cell>
          <cell r="B2631" t="str">
            <v>FG-G</v>
          </cell>
          <cell r="J2631" t="str">
            <v>DIAMANA™ WB-SERIES 53 R-FLEX</v>
          </cell>
        </row>
        <row r="2632">
          <cell r="A2632" t="str">
            <v>MX958-WR-1A</v>
          </cell>
          <cell r="B2632" t="str">
            <v>FG-G</v>
          </cell>
          <cell r="J2632" t="str">
            <v>DIAMANA™ RB-SERIES 43 R-FLEX</v>
          </cell>
        </row>
        <row r="2633">
          <cell r="A2633" t="str">
            <v>MX699-IR-1C</v>
          </cell>
          <cell r="B2633" t="str">
            <v>FG-G</v>
          </cell>
          <cell r="J2633" t="str">
            <v>MMT PLATINUM IRON 60 R-FLEX</v>
          </cell>
        </row>
        <row r="2634">
          <cell r="A2634" t="str">
            <v>MX701-IS-1C</v>
          </cell>
          <cell r="B2634" t="str">
            <v>FG-G</v>
          </cell>
          <cell r="J2634" t="str">
            <v>MMT PLATINUM IRON 80 S-FLEX</v>
          </cell>
        </row>
        <row r="2635">
          <cell r="A2635" t="str">
            <v>MX698-IL-1C</v>
          </cell>
          <cell r="B2635" t="str">
            <v>FG-G</v>
          </cell>
          <cell r="J2635" t="str">
            <v>MMT PLATINUM IRON 50 L-FLEX</v>
          </cell>
        </row>
        <row r="2636">
          <cell r="A2636" t="str">
            <v>MX953-WS-1AO</v>
          </cell>
          <cell r="B2636" t="str">
            <v>FG-G</v>
          </cell>
          <cell r="J2636" t="str">
            <v>DIAMANA™ WB-SERIES 53 S-FLEX</v>
          </cell>
        </row>
        <row r="2637">
          <cell r="A2637" t="str">
            <v>MX956-WX-1AO</v>
          </cell>
          <cell r="B2637" t="str">
            <v>FG-G</v>
          </cell>
          <cell r="J2637" t="str">
            <v>DIAMANA™ WB-SERIES 83 X-FLEX</v>
          </cell>
        </row>
        <row r="2638">
          <cell r="A2638" t="str">
            <v>MX959-WR-1AO</v>
          </cell>
          <cell r="B2638" t="str">
            <v>FG-G</v>
          </cell>
          <cell r="J2638" t="str">
            <v>DIAMANA™ RB-SERIES 53 R-FLEX</v>
          </cell>
        </row>
        <row r="2639">
          <cell r="A2639" t="str">
            <v>MY028-IS-2A</v>
          </cell>
          <cell r="B2639" t="str">
            <v>FG-G</v>
          </cell>
          <cell r="J2639" t="str">
            <v>MMT AMC BLUE 85 S #2</v>
          </cell>
        </row>
        <row r="2640">
          <cell r="A2640" t="str">
            <v>CW184-IS-4A</v>
          </cell>
          <cell r="B2640" t="str">
            <v>FG-G</v>
          </cell>
          <cell r="J2640" t="str">
            <v>3585P3385/SF IR MCA MMT TTIP 105 GR STF 38.5</v>
          </cell>
        </row>
        <row r="2641">
          <cell r="A2641" t="str">
            <v>CW184-IS-5A</v>
          </cell>
          <cell r="B2641" t="str">
            <v>FG-G</v>
          </cell>
          <cell r="J2641" t="str">
            <v>3585P3380/SF IR MCA MMT TTIP 105 GR STF 38</v>
          </cell>
        </row>
        <row r="2642">
          <cell r="A2642" t="str">
            <v>CW184-IS-6A</v>
          </cell>
          <cell r="B2642" t="str">
            <v>FG-G</v>
          </cell>
          <cell r="J2642" t="str">
            <v>3585P3375/SF IR MCA MMT TTIP 105 GR STF 37.5</v>
          </cell>
        </row>
        <row r="2643">
          <cell r="A2643" t="str">
            <v>CW184-IS-7A</v>
          </cell>
          <cell r="B2643" t="str">
            <v>FG-G</v>
          </cell>
          <cell r="J2643" t="str">
            <v>3585P3370/SF IR MCA MMT TTIP 105 GR STF 37</v>
          </cell>
        </row>
        <row r="2644">
          <cell r="A2644" t="str">
            <v>CW184-IS-9A</v>
          </cell>
          <cell r="B2644" t="str">
            <v>FG-G</v>
          </cell>
          <cell r="J2644" t="str">
            <v>3585P3360/SF IR MCA MMT TTIP 105 GR STF 36</v>
          </cell>
        </row>
        <row r="2645">
          <cell r="A2645" t="str">
            <v>CW184-IS-PA</v>
          </cell>
          <cell r="B2645" t="str">
            <v>FG-G</v>
          </cell>
          <cell r="J2645" t="str">
            <v>3585P3355/SF IR MCA MMT TTIP 105 GR STF 35.5</v>
          </cell>
        </row>
        <row r="2646">
          <cell r="A2646" t="str">
            <v>CW184-IS-8A</v>
          </cell>
          <cell r="B2646" t="str">
            <v>FG-G</v>
          </cell>
          <cell r="J2646" t="str">
            <v>3585P3365/SF IR MCA MMT TTIP 105 GR STF 36.5</v>
          </cell>
        </row>
        <row r="2647">
          <cell r="A2647" t="str">
            <v>MX946-WA-1AO</v>
          </cell>
          <cell r="B2647" t="str">
            <v>FG-G</v>
          </cell>
          <cell r="J2647" t="str">
            <v>DIAMANA™ BB-SERIES 43 R2-FLEX</v>
          </cell>
        </row>
        <row r="2648">
          <cell r="A2648" t="str">
            <v>MX947-WR-1AO</v>
          </cell>
          <cell r="B2648" t="str">
            <v>FG-G</v>
          </cell>
          <cell r="J2648" t="str">
            <v>DIAMANA™ BB-SERIES 53 R-FLEX</v>
          </cell>
        </row>
        <row r="2649">
          <cell r="A2649" t="str">
            <v>MX721-IS-3AO</v>
          </cell>
          <cell r="B2649" t="str">
            <v>FG-G</v>
          </cell>
          <cell r="J2649" t="str">
            <v>MMT TTIP 125 GR STF 39.0</v>
          </cell>
        </row>
        <row r="2650">
          <cell r="A2650" t="str">
            <v>MX728-IA-4A</v>
          </cell>
          <cell r="B2650" t="str">
            <v>FG-G</v>
          </cell>
          <cell r="J2650" t="str">
            <v>MMT™ Taper Iron 55 A-flex (0.355 taper)</v>
          </cell>
        </row>
        <row r="2651">
          <cell r="A2651" t="str">
            <v>MY040-WS-1A</v>
          </cell>
          <cell r="B2651" t="str">
            <v>FG-G</v>
          </cell>
          <cell r="J2651" t="str">
            <v>2Gen TENSEI 1K Pro Orange 50S</v>
          </cell>
        </row>
        <row r="2652">
          <cell r="A2652" t="str">
            <v>MY040-WX-1A</v>
          </cell>
          <cell r="B2652" t="str">
            <v>FG-G</v>
          </cell>
          <cell r="J2652" t="str">
            <v>2Gen TENSEI 1K Pro Orange 50X</v>
          </cell>
        </row>
        <row r="2653">
          <cell r="A2653" t="str">
            <v>MY041-WS-1A</v>
          </cell>
          <cell r="B2653" t="str">
            <v>FG-G</v>
          </cell>
          <cell r="J2653" t="str">
            <v>2Gen TENSEI 1K Pro Orange 60S</v>
          </cell>
        </row>
        <row r="2654">
          <cell r="A2654" t="str">
            <v>MY041-WX-1A</v>
          </cell>
          <cell r="B2654" t="str">
            <v>FG-G</v>
          </cell>
          <cell r="J2654" t="str">
            <v>2Gen TENSEI 1K Pro Orange 60X</v>
          </cell>
        </row>
        <row r="2655">
          <cell r="A2655" t="str">
            <v>MY042-WS-1A</v>
          </cell>
          <cell r="B2655" t="str">
            <v>FG-G</v>
          </cell>
          <cell r="J2655" t="str">
            <v>2Gen TENSEI 1K Pro Orange 70S</v>
          </cell>
        </row>
        <row r="2656">
          <cell r="A2656" t="str">
            <v>MY042-WX-1A</v>
          </cell>
          <cell r="B2656" t="str">
            <v>FG-G</v>
          </cell>
          <cell r="J2656" t="str">
            <v>2Gen TENSEI 1K Pro Orange 70X</v>
          </cell>
        </row>
        <row r="2657">
          <cell r="A2657" t="str">
            <v>MY040-WR-1A</v>
          </cell>
          <cell r="B2657" t="str">
            <v>FG-G</v>
          </cell>
          <cell r="J2657" t="str">
            <v>2Gen TENSEI 1K Pro Orange 50R</v>
          </cell>
        </row>
        <row r="2658">
          <cell r="A2658" t="str">
            <v>MY041-WR-1A</v>
          </cell>
          <cell r="B2658" t="str">
            <v>FG-G</v>
          </cell>
          <cell r="J2658" t="str">
            <v>2Gen TENSEI 1K Pro Orange 60R</v>
          </cell>
        </row>
        <row r="2659">
          <cell r="A2659" t="str">
            <v>MY043-WS-1A</v>
          </cell>
          <cell r="B2659" t="str">
            <v>FG-G</v>
          </cell>
          <cell r="J2659" t="str">
            <v>2Gen TENSEI 1K Pro Orange 80 S</v>
          </cell>
        </row>
        <row r="2660">
          <cell r="A2660" t="str">
            <v>MY043-WX-1A</v>
          </cell>
          <cell r="B2660" t="str">
            <v>FG-G</v>
          </cell>
          <cell r="J2660" t="str">
            <v>2Gen TENSEI 1K Pro Orange 80X</v>
          </cell>
        </row>
        <row r="2661">
          <cell r="A2661" t="str">
            <v>MY044-WX-1A</v>
          </cell>
          <cell r="B2661" t="str">
            <v>FG-G</v>
          </cell>
          <cell r="J2661" t="str">
            <v>2GEN TENSEI 1K PRO ORANGE 90 X</v>
          </cell>
        </row>
        <row r="2662">
          <cell r="A2662" t="str">
            <v>MX952-WS-1A</v>
          </cell>
          <cell r="B2662" t="str">
            <v>FG-G</v>
          </cell>
          <cell r="J2662" t="str">
            <v>DIAMANA™ WB-SERIES 43 S-FLEX</v>
          </cell>
        </row>
        <row r="2663">
          <cell r="A2663" t="str">
            <v>MX952-WSR1A</v>
          </cell>
          <cell r="B2663" t="str">
            <v>FG-G</v>
          </cell>
          <cell r="J2663" t="str">
            <v>DIAMANA™ WB-SERIES 43 SR-FLEX</v>
          </cell>
        </row>
        <row r="2664">
          <cell r="A2664" t="str">
            <v>MX954-WR-1A</v>
          </cell>
          <cell r="B2664" t="str">
            <v>FG-G</v>
          </cell>
          <cell r="J2664" t="str">
            <v>DIAMANA™ WB-SERIES 63 R-FLEX</v>
          </cell>
        </row>
        <row r="2665">
          <cell r="A2665" t="str">
            <v>MX954-WSR1A</v>
          </cell>
          <cell r="B2665" t="str">
            <v>FG-G</v>
          </cell>
          <cell r="J2665" t="str">
            <v>DIAMANA™ WB-SERIES 63 SR-FLEX</v>
          </cell>
        </row>
        <row r="2666">
          <cell r="A2666" t="str">
            <v>MX956-WS-1A</v>
          </cell>
          <cell r="B2666" t="str">
            <v>FG-G</v>
          </cell>
          <cell r="J2666" t="str">
            <v>DIAMANA™ WB-SERIES 83 S-FLEX</v>
          </cell>
        </row>
        <row r="2667">
          <cell r="A2667" t="str">
            <v>MX959-WSR1A</v>
          </cell>
          <cell r="B2667" t="str">
            <v>FG-G</v>
          </cell>
          <cell r="J2667" t="str">
            <v>DIAMANA™ RB-SERIES 53 SR-FLEX</v>
          </cell>
        </row>
        <row r="2668">
          <cell r="A2668" t="str">
            <v>MX836-WX-1A</v>
          </cell>
          <cell r="B2668" t="str">
            <v>FG-G</v>
          </cell>
          <cell r="J2668" t="str">
            <v>TENSEI™ AV Series Blue 75</v>
          </cell>
        </row>
        <row r="2669">
          <cell r="A2669" t="str">
            <v>MX838-WX-1A</v>
          </cell>
          <cell r="B2669" t="str">
            <v>FG-G</v>
          </cell>
          <cell r="J2669" t="str">
            <v>TENSEI™ AV Series White 75</v>
          </cell>
        </row>
        <row r="2670">
          <cell r="A2670" t="str">
            <v>AX176-WTS1AB</v>
          </cell>
          <cell r="B2670" t="str">
            <v>FG-G</v>
          </cell>
          <cell r="J2670" t="str">
            <v>ROGUE ∞ CB BLUE 60S</v>
          </cell>
        </row>
        <row r="2671">
          <cell r="A2671" t="str">
            <v>AX176-WTX1AB</v>
          </cell>
          <cell r="B2671" t="str">
            <v>FG-G</v>
          </cell>
          <cell r="J2671" t="str">
            <v>ROGUE ∞ CB BLUE 60X</v>
          </cell>
        </row>
        <row r="2672">
          <cell r="A2672" t="str">
            <v>AX177-WTS1AB</v>
          </cell>
          <cell r="B2672" t="str">
            <v>FG-G</v>
          </cell>
          <cell r="J2672" t="str">
            <v>ROGUE ∞ CB BLUE 70S</v>
          </cell>
        </row>
        <row r="2673">
          <cell r="A2673" t="str">
            <v>AX177-WTX1AB</v>
          </cell>
          <cell r="B2673" t="str">
            <v>FG-G</v>
          </cell>
          <cell r="J2673" t="str">
            <v>ROGUE ∞ CB BLUE 70X</v>
          </cell>
        </row>
        <row r="2674">
          <cell r="A2674" t="str">
            <v>AX210-WS-1AA</v>
          </cell>
          <cell r="B2674" t="str">
            <v>FG-G</v>
          </cell>
          <cell r="J2674" t="str">
            <v>ROGUE ∞ RED 60S</v>
          </cell>
        </row>
        <row r="2675">
          <cell r="A2675" t="str">
            <v>AX212-WS-1AA</v>
          </cell>
          <cell r="B2675" t="str">
            <v>FG-G</v>
          </cell>
          <cell r="J2675" t="str">
            <v>ROGUE ∞ BLUE 60S</v>
          </cell>
        </row>
        <row r="2676">
          <cell r="A2676" t="str">
            <v>AX213-WS-1AA</v>
          </cell>
          <cell r="B2676" t="str">
            <v>FG-G</v>
          </cell>
          <cell r="J2676" t="str">
            <v>ROGUE ∞ BLUE 70S</v>
          </cell>
        </row>
        <row r="2677">
          <cell r="A2677" t="str">
            <v>AX214-WX-1AA</v>
          </cell>
          <cell r="B2677" t="str">
            <v>FG-G</v>
          </cell>
          <cell r="J2677" t="str">
            <v>ROGUE ∞ WHITE 50X</v>
          </cell>
        </row>
        <row r="2678">
          <cell r="A2678" t="str">
            <v>AX215-WS-1AA</v>
          </cell>
          <cell r="B2678" t="str">
            <v>FG-G</v>
          </cell>
          <cell r="J2678" t="str">
            <v>ROGUE ∞ WHITE 60S</v>
          </cell>
        </row>
        <row r="2679">
          <cell r="A2679" t="str">
            <v>AX215-WX-1AA</v>
          </cell>
          <cell r="B2679" t="str">
            <v>FG-G</v>
          </cell>
          <cell r="J2679" t="str">
            <v>ROGUE ∞ WHITE 60X</v>
          </cell>
        </row>
        <row r="2680">
          <cell r="A2680" t="str">
            <v>AX216-WS-1AA</v>
          </cell>
          <cell r="B2680" t="str">
            <v>FG-G</v>
          </cell>
          <cell r="J2680" t="str">
            <v>ROGUE ∞ WHITE 70S</v>
          </cell>
        </row>
        <row r="2681">
          <cell r="A2681" t="str">
            <v>MY040-WTX1A</v>
          </cell>
          <cell r="B2681" t="str">
            <v>FG-G</v>
          </cell>
          <cell r="J2681" t="str">
            <v>2Gen TENSEI 1K Pro Orange 50TX</v>
          </cell>
        </row>
        <row r="2682">
          <cell r="A2682" t="str">
            <v>MY041-WTX1A</v>
          </cell>
          <cell r="B2682" t="str">
            <v>FG-G</v>
          </cell>
          <cell r="J2682" t="str">
            <v>2Gen TENSEI 1K Pro Orange 60TX</v>
          </cell>
        </row>
        <row r="2683">
          <cell r="A2683" t="str">
            <v>MY042-WTX1A</v>
          </cell>
          <cell r="B2683" t="str">
            <v>FG-G</v>
          </cell>
          <cell r="J2683" t="str">
            <v>2Gen TENSEI 1K Pro Orange 70TX</v>
          </cell>
        </row>
        <row r="2684">
          <cell r="A2684" t="str">
            <v>MY043-WTX1A</v>
          </cell>
          <cell r="B2684" t="str">
            <v>FG-G</v>
          </cell>
          <cell r="J2684" t="str">
            <v>2Gen TENSEI 1K Pro Orange 80TX</v>
          </cell>
        </row>
        <row r="2685">
          <cell r="A2685" t="str">
            <v>MX795-IS-1A</v>
          </cell>
          <cell r="B2685" t="str">
            <v>FG-G</v>
          </cell>
          <cell r="J2685" t="str">
            <v>MMT™ Hybrid 90 S-FLEX</v>
          </cell>
        </row>
        <row r="2686">
          <cell r="A2686" t="str">
            <v>CW137-IR-1B</v>
          </cell>
          <cell r="B2686" t="str">
            <v>FG-G</v>
          </cell>
          <cell r="J2686" t="str">
            <v>3599L2/SF HY TENSEI AV BLU 70 GR REG</v>
          </cell>
        </row>
        <row r="2687">
          <cell r="A2687" t="str">
            <v>CW138-IS-1B</v>
          </cell>
          <cell r="B2687" t="str">
            <v>FG-G</v>
          </cell>
          <cell r="J2687" t="str">
            <v>3599M3/SF HY TENSEI AV BLU 80 GR STF</v>
          </cell>
        </row>
        <row r="2688">
          <cell r="A2688" t="str">
            <v>CW138-IX-1B</v>
          </cell>
          <cell r="B2688" t="str">
            <v>FG-G</v>
          </cell>
          <cell r="J2688" t="str">
            <v>3599M4/SF HY TENSEI AV BLU 80 GR XTS</v>
          </cell>
        </row>
        <row r="2689">
          <cell r="A2689" t="str">
            <v>MY040-WR-1T</v>
          </cell>
          <cell r="B2689" t="str">
            <v>FG-G</v>
          </cell>
          <cell r="J2689" t="str">
            <v>DEMO TEN 1K PRO OR 50R</v>
          </cell>
        </row>
        <row r="2690">
          <cell r="A2690" t="str">
            <v>MY040-WS-1T</v>
          </cell>
          <cell r="B2690" t="str">
            <v>FG-G</v>
          </cell>
          <cell r="J2690" t="str">
            <v>DEMO TEN 1K PRO OR 50S</v>
          </cell>
        </row>
        <row r="2691">
          <cell r="A2691" t="str">
            <v>MY041-WS-1T</v>
          </cell>
          <cell r="B2691" t="str">
            <v>FG-G</v>
          </cell>
          <cell r="J2691" t="str">
            <v>DEMO TEN 1K PRO OR 60S</v>
          </cell>
        </row>
        <row r="2692">
          <cell r="A2692" t="str">
            <v>MY041-WX-1T</v>
          </cell>
          <cell r="B2692" t="str">
            <v>FG-G</v>
          </cell>
          <cell r="J2692" t="str">
            <v>DEMO TEN 1K PRO OR 60X</v>
          </cell>
        </row>
        <row r="2693">
          <cell r="A2693" t="str">
            <v>MY042-WS-1T</v>
          </cell>
          <cell r="B2693" t="str">
            <v>FG-G</v>
          </cell>
          <cell r="J2693" t="str">
            <v>DEMO TEN 1K PRO OR 70S</v>
          </cell>
        </row>
        <row r="2694">
          <cell r="A2694" t="str">
            <v>AX175-WTR1AB</v>
          </cell>
          <cell r="B2694" t="str">
            <v>FG-G</v>
          </cell>
          <cell r="J2694" t="str">
            <v>ROGUE ∞ CB BLUE 50R</v>
          </cell>
        </row>
        <row r="2695">
          <cell r="A2695" t="str">
            <v>AX175-WTS1AB</v>
          </cell>
          <cell r="B2695" t="str">
            <v>FG-G</v>
          </cell>
          <cell r="J2695" t="str">
            <v>ROGUE ∞ CB BLUE 50S</v>
          </cell>
        </row>
        <row r="2696">
          <cell r="A2696" t="str">
            <v>AX178-WTX1AB</v>
          </cell>
          <cell r="B2696" t="str">
            <v>FG-G</v>
          </cell>
          <cell r="J2696" t="str">
            <v>ROGUE ∞ CB BLUE 80X</v>
          </cell>
        </row>
        <row r="2697">
          <cell r="A2697" t="str">
            <v>AX208-WA-1AA</v>
          </cell>
          <cell r="B2697" t="str">
            <v>FG-G</v>
          </cell>
          <cell r="J2697" t="str">
            <v>ROGUE ∞ RED 40R2</v>
          </cell>
        </row>
        <row r="2698">
          <cell r="A2698" t="str">
            <v>AX209-WR-1AA</v>
          </cell>
          <cell r="B2698" t="str">
            <v>FG-G</v>
          </cell>
          <cell r="J2698" t="str">
            <v>ROGUE ∞ RED 50R</v>
          </cell>
        </row>
        <row r="2699">
          <cell r="A2699" t="str">
            <v>AX211-WR-1AA</v>
          </cell>
          <cell r="B2699" t="str">
            <v>FG-G</v>
          </cell>
          <cell r="J2699" t="str">
            <v>ROGUE ∞ BLUE 50R</v>
          </cell>
        </row>
        <row r="2700">
          <cell r="A2700" t="str">
            <v>AX211-WS-1AA</v>
          </cell>
          <cell r="B2700" t="str">
            <v>FG-G</v>
          </cell>
          <cell r="J2700" t="str">
            <v>ROGUE ∞ BLUE 50S</v>
          </cell>
        </row>
        <row r="2701">
          <cell r="A2701" t="str">
            <v>AX212-WR-1AA</v>
          </cell>
          <cell r="B2701" t="str">
            <v>FG-G</v>
          </cell>
          <cell r="J2701" t="str">
            <v>ROGUE ∞ BLUE 60R</v>
          </cell>
        </row>
        <row r="2702">
          <cell r="A2702" t="str">
            <v>AX214-WS-1AA</v>
          </cell>
          <cell r="B2702" t="str">
            <v>FG-G</v>
          </cell>
          <cell r="J2702" t="str">
            <v>ROGUE ∞ WHITE 50S</v>
          </cell>
        </row>
        <row r="2703">
          <cell r="A2703" t="str">
            <v>AX216-WX-1AA</v>
          </cell>
          <cell r="B2703" t="str">
            <v>FG-G</v>
          </cell>
          <cell r="J2703" t="str">
            <v>ROGUE ∞ WHITE 70X</v>
          </cell>
        </row>
        <row r="2704">
          <cell r="A2704" t="str">
            <v>SF287-IL-7B</v>
          </cell>
          <cell r="B2704" t="str">
            <v>FG-G</v>
          </cell>
          <cell r="J2704" t="str">
            <v>M5313401 /DIAMANA'27 WMNS #7 L</v>
          </cell>
        </row>
        <row r="2705">
          <cell r="A2705" t="str">
            <v>SF287-IL-6B</v>
          </cell>
          <cell r="B2705" t="str">
            <v>FG-G</v>
          </cell>
          <cell r="J2705" t="str">
            <v>M5313301 /DIAMANA'27 WMNS #6 L</v>
          </cell>
        </row>
        <row r="2706">
          <cell r="A2706" t="str">
            <v>SF287-IL-8B</v>
          </cell>
          <cell r="B2706" t="str">
            <v>FG-G</v>
          </cell>
          <cell r="J2706" t="str">
            <v>M5313501 /DIAMANA'27 WMNS #8 L</v>
          </cell>
        </row>
        <row r="2707">
          <cell r="A2707" t="str">
            <v>SF287-IL-9B</v>
          </cell>
          <cell r="B2707" t="str">
            <v>FG-G</v>
          </cell>
          <cell r="J2707" t="str">
            <v>M5313601 /DIAMANA'27 WMNS #9 L</v>
          </cell>
        </row>
        <row r="2708">
          <cell r="A2708" t="str">
            <v>SF287-IL-PB</v>
          </cell>
          <cell r="B2708" t="str">
            <v>FG-G</v>
          </cell>
          <cell r="J2708" t="str">
            <v>M5313701 /DIAMANA'27 WMNS PW L</v>
          </cell>
        </row>
        <row r="2709">
          <cell r="A2709" t="str">
            <v>MY062-WS-1A</v>
          </cell>
          <cell r="B2709" t="str">
            <v>FG-G</v>
          </cell>
          <cell r="J2709" t="str">
            <v>TENSEI 1K WHITE RIP 65S</v>
          </cell>
        </row>
        <row r="2710">
          <cell r="A2710" t="str">
            <v>MY063-WX-1A</v>
          </cell>
          <cell r="B2710" t="str">
            <v>FG-G</v>
          </cell>
          <cell r="J2710" t="str">
            <v>TENSEI 1K WHITE RIP 75X</v>
          </cell>
        </row>
        <row r="2711">
          <cell r="A2711" t="str">
            <v>MY065-WR-1A</v>
          </cell>
          <cell r="B2711" t="str">
            <v>FG-G</v>
          </cell>
          <cell r="J2711" t="str">
            <v>TENSEI 1K BLUE RIP 55R</v>
          </cell>
        </row>
        <row r="2712">
          <cell r="A2712" t="str">
            <v>MY066-WS-1A</v>
          </cell>
          <cell r="B2712" t="str">
            <v>FG-G</v>
          </cell>
          <cell r="J2712" t="str">
            <v>TENSEI 1K BLUE RIP 65S</v>
          </cell>
        </row>
        <row r="2713">
          <cell r="A2713" t="str">
            <v>MY067-WX-1A</v>
          </cell>
          <cell r="B2713" t="str">
            <v>FG-G</v>
          </cell>
          <cell r="J2713" t="str">
            <v>TENSEI 1K BLUE RIP 75X</v>
          </cell>
        </row>
        <row r="2714">
          <cell r="A2714" t="str">
            <v>MY069-WR-1A</v>
          </cell>
          <cell r="B2714" t="str">
            <v>FG-G</v>
          </cell>
          <cell r="J2714" t="str">
            <v>TENSEI 1K RED RIP 55R</v>
          </cell>
        </row>
        <row r="2715">
          <cell r="A2715" t="str">
            <v>MY070-WS-1A</v>
          </cell>
          <cell r="B2715" t="str">
            <v>FG-G</v>
          </cell>
          <cell r="J2715" t="str">
            <v>TENSEI 1K RED RIP 65S</v>
          </cell>
        </row>
        <row r="2716">
          <cell r="A2716" t="str">
            <v>MY062-WX-1A</v>
          </cell>
          <cell r="B2716" t="str">
            <v>FG-G</v>
          </cell>
          <cell r="J2716" t="str">
            <v>TENSEI 1K WHITE RIP 65X</v>
          </cell>
        </row>
        <row r="2717">
          <cell r="A2717" t="str">
            <v>MY063-WS-1A</v>
          </cell>
          <cell r="B2717" t="str">
            <v>FG-G</v>
          </cell>
          <cell r="J2717" t="str">
            <v>TENSEI 1K WHITE RIP 75S</v>
          </cell>
        </row>
        <row r="2718">
          <cell r="A2718" t="str">
            <v>MY064-WX-1A</v>
          </cell>
          <cell r="B2718" t="str">
            <v>FG-G</v>
          </cell>
          <cell r="J2718" t="str">
            <v>TENSEI 1K WHITE RIP 85X</v>
          </cell>
        </row>
        <row r="2719">
          <cell r="A2719" t="str">
            <v>MY065-WA-1A</v>
          </cell>
          <cell r="B2719" t="str">
            <v>FG-G</v>
          </cell>
          <cell r="J2719" t="str">
            <v>TENSEI 1K BLUE RIP 55R2</v>
          </cell>
        </row>
        <row r="2720">
          <cell r="A2720" t="str">
            <v>MY065-WS-1A</v>
          </cell>
          <cell r="B2720" t="str">
            <v>FG-G</v>
          </cell>
          <cell r="J2720" t="str">
            <v>TENSEI 1K BLUE RIP 55S</v>
          </cell>
        </row>
        <row r="2721">
          <cell r="A2721" t="str">
            <v>MY066-WR-1A</v>
          </cell>
          <cell r="B2721" t="str">
            <v>FG-G</v>
          </cell>
          <cell r="J2721" t="str">
            <v>TENSEI 1K BLUE RIP 65R</v>
          </cell>
        </row>
        <row r="2722">
          <cell r="A2722" t="str">
            <v>MY066-WX-1A</v>
          </cell>
          <cell r="B2722" t="str">
            <v>FG-G</v>
          </cell>
          <cell r="J2722" t="str">
            <v>TENSEI 1K BLUE RIP 65X</v>
          </cell>
        </row>
        <row r="2723">
          <cell r="A2723" t="str">
            <v>MY067-WS-1A</v>
          </cell>
          <cell r="B2723" t="str">
            <v>FG-G</v>
          </cell>
          <cell r="J2723" t="str">
            <v>TENSEI 1K BLUE RIP 75S</v>
          </cell>
        </row>
        <row r="2724">
          <cell r="A2724" t="str">
            <v>MY068-WW-1A</v>
          </cell>
          <cell r="B2724" t="str">
            <v>FG-G</v>
          </cell>
          <cell r="J2724" t="str">
            <v>TENSEI 1K RED RIP 45R3</v>
          </cell>
        </row>
        <row r="2725">
          <cell r="A2725" t="str">
            <v>MY069-WA-1A</v>
          </cell>
          <cell r="B2725" t="str">
            <v>FG-G</v>
          </cell>
          <cell r="J2725" t="str">
            <v>TENSEI 1K RED RIP 55R2</v>
          </cell>
        </row>
        <row r="2726">
          <cell r="A2726" t="str">
            <v>MY069-WS-1A</v>
          </cell>
          <cell r="B2726" t="str">
            <v>FG-G</v>
          </cell>
          <cell r="J2726" t="str">
            <v>TENSEI 1K RED RIP 55S</v>
          </cell>
        </row>
        <row r="2727">
          <cell r="A2727" t="str">
            <v>MY070-WR-1A</v>
          </cell>
          <cell r="B2727" t="str">
            <v>FG-G</v>
          </cell>
          <cell r="J2727" t="str">
            <v>TENSEI 1K RED RIP 65R</v>
          </cell>
        </row>
        <row r="2728">
          <cell r="A2728" t="str">
            <v>CS046-WS-1A</v>
          </cell>
          <cell r="B2728" t="str">
            <v>FG-G</v>
          </cell>
          <cell r="J2728" t="str">
            <v>TENSEI 1K PRO RIP Cosmetic Sample</v>
          </cell>
        </row>
        <row r="2729">
          <cell r="A2729" t="str">
            <v>MX698-IL-1A</v>
          </cell>
          <cell r="B2729" t="str">
            <v>FG-G</v>
          </cell>
          <cell r="J2729" t="str">
            <v>MMT™ Iron 50 L-flex (Parallel)</v>
          </cell>
        </row>
        <row r="2730">
          <cell r="A2730" t="str">
            <v>TM001-IA-1A</v>
          </cell>
          <cell r="B2730" t="str">
            <v>FG-G</v>
          </cell>
          <cell r="J2730" t="str">
            <v>MMT-HYB-60A/MMT HYBRID 60 A-FLEX</v>
          </cell>
        </row>
        <row r="2731">
          <cell r="A2731" t="str">
            <v>TM002-IR-1A</v>
          </cell>
          <cell r="B2731" t="str">
            <v>FG-G</v>
          </cell>
          <cell r="J2731" t="str">
            <v>MMT-HYB-70R/MMT HYBRID 70 R-FLEX</v>
          </cell>
        </row>
        <row r="2732">
          <cell r="A2732" t="str">
            <v>TM003-IS-1A</v>
          </cell>
          <cell r="B2732" t="str">
            <v>FG-G</v>
          </cell>
          <cell r="J2732" t="str">
            <v>MMT-HYB-80S/MMT HYBRID 80 S-FLEX</v>
          </cell>
        </row>
        <row r="2733">
          <cell r="A2733" t="str">
            <v>TM004-IX-1A</v>
          </cell>
          <cell r="B2733" t="str">
            <v>FG-G</v>
          </cell>
          <cell r="J2733" t="str">
            <v>MMT-HYB-90X/MMT HYBRID 90 X-FLEX</v>
          </cell>
        </row>
        <row r="2734">
          <cell r="A2734" t="str">
            <v>MY043-WS-1X</v>
          </cell>
          <cell r="B2734" t="str">
            <v>FG-G</v>
          </cell>
          <cell r="J2734" t="str">
            <v>2Gen TENSEI 1K Pro Orange 80S</v>
          </cell>
        </row>
        <row r="2735">
          <cell r="A2735" t="str">
            <v>MY043-WS-1X</v>
          </cell>
          <cell r="J2735" t="str">
            <v>2Gen TENSEI 1K Pro Orange 80S</v>
          </cell>
        </row>
        <row r="2736">
          <cell r="A2736" t="str">
            <v>MY040-WS-1X</v>
          </cell>
          <cell r="J2736" t="str">
            <v>2Gen TENSEI 1K Pro Orange 50S</v>
          </cell>
        </row>
        <row r="2737">
          <cell r="A2737" t="str">
            <v>MY040-WTX1X</v>
          </cell>
          <cell r="J2737" t="str">
            <v>2Gen TENSEI 1K Pro Orange 50TX</v>
          </cell>
        </row>
        <row r="2738">
          <cell r="A2738" t="str">
            <v>MY040-WX-1X</v>
          </cell>
          <cell r="J2738" t="str">
            <v>2Gen TENSEI 1K Pro Orange 50X</v>
          </cell>
        </row>
        <row r="2739">
          <cell r="A2739" t="str">
            <v>MY041-WR-1X</v>
          </cell>
          <cell r="J2739" t="str">
            <v>2Gen TENSEI 1K Pro Orange 60R</v>
          </cell>
        </row>
        <row r="2740">
          <cell r="A2740" t="str">
            <v>MY041-WS-1X</v>
          </cell>
          <cell r="J2740" t="str">
            <v>2Gen TENSEI 1K Pro Orange 60S</v>
          </cell>
        </row>
        <row r="2741">
          <cell r="A2741" t="str">
            <v>MY041-WTX1X</v>
          </cell>
          <cell r="J2741" t="str">
            <v>2Gen TENSEI 1K Pro Orange 60TX</v>
          </cell>
        </row>
        <row r="2742">
          <cell r="A2742" t="str">
            <v>MY041-WX-1X</v>
          </cell>
          <cell r="J2742" t="str">
            <v>2Gen TENSEI 1K Pro Orange 60X</v>
          </cell>
        </row>
        <row r="2743">
          <cell r="A2743" t="str">
            <v>MY042-WS-1X</v>
          </cell>
          <cell r="J2743" t="str">
            <v>2Gen TENSEI 1K Pro Orange 70S</v>
          </cell>
        </row>
        <row r="2744">
          <cell r="A2744" t="str">
            <v>MY042-WTX1X</v>
          </cell>
          <cell r="J2744" t="str">
            <v>2Gen TENSEI 1K Pro Orange 70TX</v>
          </cell>
        </row>
        <row r="2745">
          <cell r="A2745" t="str">
            <v>MY042-WX-1X</v>
          </cell>
          <cell r="J2745" t="str">
            <v>2Gen TENSEI 1K Pro Orange 70X</v>
          </cell>
        </row>
        <row r="2746">
          <cell r="A2746" t="str">
            <v>MY043-WTX1X</v>
          </cell>
          <cell r="J2746" t="str">
            <v>2Gen TENSEI 1K Pro Orange 80TX</v>
          </cell>
        </row>
        <row r="2747">
          <cell r="A2747" t="str">
            <v>MY043-WX-1X</v>
          </cell>
          <cell r="J2747" t="str">
            <v>2Gen TENSEI 1K Pro Orange 80X</v>
          </cell>
        </row>
        <row r="2748">
          <cell r="A2748" t="str">
            <v>MY044-WX-1X</v>
          </cell>
          <cell r="J2748" t="str">
            <v>2GEN TENSEI 1K PRO ORANGE 90 X</v>
          </cell>
        </row>
        <row r="2749">
          <cell r="A2749" t="str">
            <v>SF358-WS-1A</v>
          </cell>
          <cell r="J2749" t="str">
            <v>M5314301/SHM-BRUNO REAX 50 S</v>
          </cell>
        </row>
        <row r="2750">
          <cell r="A2750" t="str">
            <v>SF358-WSR1A</v>
          </cell>
          <cell r="J2750" t="str">
            <v>M5314401/SHM-BRUNO REAX 50 SR</v>
          </cell>
        </row>
        <row r="2751">
          <cell r="A2751" t="str">
            <v>MX721-ITX3A</v>
          </cell>
          <cell r="J2751" t="str">
            <v>MMT™ Taper Iron 125 TX-flex (0.355 taper) 39"</v>
          </cell>
        </row>
        <row r="2752">
          <cell r="A2752" t="str">
            <v>MX726-IR-3A</v>
          </cell>
          <cell r="J2752" t="str">
            <v>MMT™ Taper Iron 85 R-flex (0.355 taper)</v>
          </cell>
        </row>
        <row r="2753">
          <cell r="A2753" t="str">
            <v>AU245-IR-2A</v>
          </cell>
          <cell r="J2753" t="str">
            <v>2694375/SH HYB TEN 1K BL RIP 65 R 42.0</v>
          </cell>
        </row>
        <row r="2754">
          <cell r="A2754" t="str">
            <v>AU245-IS-2A</v>
          </cell>
          <cell r="J2754" t="str">
            <v>2694377/SH HYB TEN 1K BL RIP 65 S 42.0</v>
          </cell>
        </row>
        <row r="2755">
          <cell r="A2755" t="str">
            <v>AU246-IR-2A</v>
          </cell>
          <cell r="J2755" t="str">
            <v>2694379/SH HYB TEN 1K BL RIP 75 R 42.0</v>
          </cell>
        </row>
        <row r="2756">
          <cell r="A2756" t="str">
            <v>AU246-IS-2A</v>
          </cell>
          <cell r="J2756" t="str">
            <v>2694381/SH HYB TEN 1K BL RIP 75 S 42.0</v>
          </cell>
        </row>
        <row r="2757">
          <cell r="A2757" t="str">
            <v>AU248-IA-2A</v>
          </cell>
          <cell r="J2757" t="str">
            <v>2694365/SH HYB TEN 1K RD RIP 55 R2 42.0</v>
          </cell>
        </row>
        <row r="2758">
          <cell r="A2758" t="str">
            <v>AU248-IW-2A</v>
          </cell>
          <cell r="J2758" t="str">
            <v>2694363/SH HYB TEN 1K RD RIP 55 R3 42.0</v>
          </cell>
        </row>
        <row r="2759">
          <cell r="A2759" t="str">
            <v>AU249-IR-2A</v>
          </cell>
          <cell r="J2759" t="str">
            <v>2694367/SH HYB TEN 1K RD RIP 65 R 42.0</v>
          </cell>
        </row>
        <row r="2760">
          <cell r="A2760" t="str">
            <v>AU249-IS-2A</v>
          </cell>
          <cell r="J2760" t="str">
            <v>2694369/SH HYB TEN 1K RD RIP 65 S 42.0</v>
          </cell>
        </row>
        <row r="2761">
          <cell r="A2761" t="str">
            <v>AU250-IR-2A</v>
          </cell>
          <cell r="J2761" t="str">
            <v>2694371/SH HYB TEN 1K RD RIP 75 R 42.0</v>
          </cell>
        </row>
        <row r="2762">
          <cell r="A2762" t="str">
            <v>AU250-IS-2A</v>
          </cell>
          <cell r="J2762" t="str">
            <v>2694373/SH HYB TEN 1K RD RIP 75 S 42.0</v>
          </cell>
        </row>
        <row r="2763">
          <cell r="A2763" t="str">
            <v>AU247-IS-2A</v>
          </cell>
          <cell r="J2763" t="str">
            <v>2694383/SH HYB TEN 1K BL RIP 85 S 42.0</v>
          </cell>
        </row>
        <row r="2764">
          <cell r="A2764" t="str">
            <v>MY040-WR-1X</v>
          </cell>
          <cell r="J2764" t="str">
            <v>2Gen TENSEI 1K Pro Orange 50R</v>
          </cell>
        </row>
        <row r="2765">
          <cell r="A2765" t="str">
            <v>AU247-IX-2A</v>
          </cell>
          <cell r="J2765" t="str">
            <v>2694385/SH HYB TEN 1K BL RIP 85 X 42.0</v>
          </cell>
        </row>
        <row r="2766">
          <cell r="A2766" t="str">
            <v>SP417-WR-1A</v>
          </cell>
          <cell r="J2766" t="str">
            <v>MVLBWRM /26BX3 MAX WOOD FLEX-R</v>
          </cell>
        </row>
        <row r="2767">
          <cell r="A2767" t="str">
            <v>CW189-WS-1A</v>
          </cell>
          <cell r="J2767" t="str">
            <v>35B233/SF WD MCA TENSEI 1K RIP BLU 65 GR STF</v>
          </cell>
        </row>
        <row r="2768">
          <cell r="A2768" t="str">
            <v>AU243-IS-2A</v>
          </cell>
          <cell r="J2768" t="str">
            <v>2694397/SH HYB TEN 1K WH RIP 85 S 42.0</v>
          </cell>
        </row>
        <row r="2769">
          <cell r="A2769" t="str">
            <v>AU244-IS-2A</v>
          </cell>
          <cell r="J2769" t="str">
            <v>2694401/SH HYB TEN 1K WH RIP 95 S 42.0</v>
          </cell>
        </row>
        <row r="2770">
          <cell r="A2770" t="str">
            <v>AU243-IX-2A</v>
          </cell>
          <cell r="J2770" t="str">
            <v>2694399/SH HYB TEN 1K WH RIP 85 X 42.0</v>
          </cell>
        </row>
        <row r="2771">
          <cell r="A2771" t="str">
            <v>AU244-IX-2A</v>
          </cell>
          <cell r="J2771" t="str">
            <v>2694403/SH HYB TEN 1K WH RIP 95 X 42.0</v>
          </cell>
        </row>
        <row r="2772">
          <cell r="A2772" t="str">
            <v>CW189-WR-1A</v>
          </cell>
          <cell r="J2772" t="str">
            <v>35B232/SF WD MCA TENSEI 1K RIP BLU 65 GR REG</v>
          </cell>
        </row>
        <row r="2773">
          <cell r="A2773" t="str">
            <v>CW189-WX-1A</v>
          </cell>
          <cell r="J2773" t="str">
            <v>35B234/SF WD MCA TENSEI 1K RIP BLU 65 GR XST</v>
          </cell>
        </row>
        <row r="2774">
          <cell r="A2774" t="str">
            <v>CW185-WS-1A</v>
          </cell>
          <cell r="J2774" t="str">
            <v>35B273/SF WD MCA TENSEI 1K RIP WHT 65 GR STF</v>
          </cell>
        </row>
        <row r="2775">
          <cell r="A2775" t="str">
            <v>CW185-WX-1A</v>
          </cell>
          <cell r="J2775" t="str">
            <v>35B274/SF WD MCA TENSEI 1K RIP WHT 65 GR XST</v>
          </cell>
        </row>
        <row r="2776">
          <cell r="A2776" t="str">
            <v>CW186-WS-1A</v>
          </cell>
          <cell r="J2776" t="str">
            <v>35B283/SF WD MCA TENSEI 1K RIP WHT 75 GR STF</v>
          </cell>
        </row>
        <row r="2777">
          <cell r="A2777" t="str">
            <v>CW186-WX-1A</v>
          </cell>
          <cell r="J2777" t="str">
            <v>35B284/SF WD MCA TENSEI 1K RIP WHT 75 GR XST</v>
          </cell>
        </row>
        <row r="2778">
          <cell r="A2778" t="str">
            <v>CW187-WX-1A</v>
          </cell>
          <cell r="J2778" t="str">
            <v>35B294/SF WD MCA TENSEI 1K RIP WHT 85 GR XST</v>
          </cell>
        </row>
        <row r="2779">
          <cell r="A2779" t="str">
            <v>CW188-WA-1A</v>
          </cell>
          <cell r="J2779" t="str">
            <v>35B221/SF WD MCA TENSEI 1K RIP BLU 55 GR R2</v>
          </cell>
        </row>
        <row r="2780">
          <cell r="A2780" t="str">
            <v>CW188-WR-1A</v>
          </cell>
          <cell r="J2780" t="str">
            <v>35B222/SF WD MCA TENSEI 1K RIP BLU 55 GR REG</v>
          </cell>
        </row>
        <row r="2781">
          <cell r="A2781" t="str">
            <v>CW188-WS-1A</v>
          </cell>
          <cell r="J2781" t="str">
            <v>35B223/SF WD MCA TENSEI 1K RIP BLU 55 GR STF</v>
          </cell>
        </row>
        <row r="2782">
          <cell r="A2782" t="str">
            <v>CW190-WS-1A</v>
          </cell>
          <cell r="J2782" t="str">
            <v>35B243/SF WD MCA TENSEI 1K RIP BLU 75 GR STF</v>
          </cell>
        </row>
        <row r="2783">
          <cell r="A2783" t="str">
            <v>CW190-WX-1A</v>
          </cell>
          <cell r="J2783" t="str">
            <v>35B244/SF WD MCA TENSEI 1K RIP BLU 75 GR XST</v>
          </cell>
        </row>
        <row r="2784">
          <cell r="A2784" t="str">
            <v>CW191-WW-1A</v>
          </cell>
          <cell r="J2784" t="str">
            <v>35B30Y/SF WD MCA TENSEI 1K RIP RED WMS 45 GR R3</v>
          </cell>
        </row>
        <row r="2785">
          <cell r="A2785" t="str">
            <v>CW192-WA-1A</v>
          </cell>
          <cell r="J2785" t="str">
            <v>35B251/SF WD MCA TENSEI 1K RIP RED 55 GR R2</v>
          </cell>
        </row>
        <row r="2786">
          <cell r="A2786" t="str">
            <v>CW192-WR-1A</v>
          </cell>
          <cell r="J2786" t="str">
            <v>35B252/SF WD MCA TENSEI 1K RIP RED 55 GR REG</v>
          </cell>
        </row>
        <row r="2787">
          <cell r="A2787" t="str">
            <v>CW192-WS-1A</v>
          </cell>
          <cell r="J2787" t="str">
            <v>35B253/SF WD MCA TENSEI 1K RIP RED 55 GR STF</v>
          </cell>
        </row>
        <row r="2788">
          <cell r="A2788" t="str">
            <v>CW193-WR-1A</v>
          </cell>
          <cell r="J2788" t="str">
            <v>35B262/SF WD MCA TENSEI 1K RIP RED 65 GR REG</v>
          </cell>
        </row>
        <row r="2789">
          <cell r="A2789" t="str">
            <v>CW193-WS-1A</v>
          </cell>
          <cell r="J2789" t="str">
            <v>35B263/SF WD MCA TENSEI 1K RIP RED 65 GR STF</v>
          </cell>
        </row>
        <row r="2790">
          <cell r="A2790" t="str">
            <v>SF287-IL-5B</v>
          </cell>
          <cell r="J2790" t="str">
            <v>M5313201 /DIAMANA'27 WMNS #5 L</v>
          </cell>
        </row>
        <row r="2791">
          <cell r="A2791" t="str">
            <v>SF287-IL-AB</v>
          </cell>
          <cell r="J2791" t="str">
            <v>M5314601/DIAMANA'27 WMNS AW L</v>
          </cell>
        </row>
        <row r="2792">
          <cell r="A2792" t="str">
            <v>YR195-ISRPA</v>
          </cell>
          <cell r="J2792" t="str">
            <v>DIAM-40W1/0TOUR WEDGE FLEX-SR</v>
          </cell>
        </row>
        <row r="2793">
          <cell r="A2793" t="str">
            <v>SF351-WA-1A</v>
          </cell>
          <cell r="J2793" t="str">
            <v>M6118301/SHM-REAX LR 50 A</v>
          </cell>
        </row>
        <row r="2794">
          <cell r="A2794" t="str">
            <v>SF352-WS-1A</v>
          </cell>
          <cell r="J2794" t="str">
            <v>M6118501 /SHM-REAX LR 70 S</v>
          </cell>
        </row>
        <row r="2795">
          <cell r="A2795" t="str">
            <v>SF352-WX-1A</v>
          </cell>
          <cell r="J2795" t="str">
            <v>M6118401 /SHM-REAX LR 70 X</v>
          </cell>
        </row>
        <row r="2796">
          <cell r="A2796" t="str">
            <v>SF353-WS-1A</v>
          </cell>
          <cell r="J2796" t="str">
            <v>M6118801 /SHM-REAX MR 70 S</v>
          </cell>
        </row>
        <row r="2797">
          <cell r="A2797" t="str">
            <v>SF353-WX-1A</v>
          </cell>
          <cell r="J2797" t="str">
            <v>M6118701/SHM-REAX MR 70 X</v>
          </cell>
        </row>
        <row r="2798">
          <cell r="A2798" t="str">
            <v>CW189-WS-1AY</v>
          </cell>
          <cell r="J2798" t="str">
            <v>35B673/SF WD MCA TENSEI 1K RIP BLU 65 GR STF (DEMO)</v>
          </cell>
        </row>
        <row r="2799">
          <cell r="A2799" t="str">
            <v>CW190-WS-1AY</v>
          </cell>
          <cell r="J2799" t="str">
            <v>35B683/SF WD MCA TENSEI 1K RIP BLU 75 GR STF (DEMO)</v>
          </cell>
        </row>
        <row r="2800">
          <cell r="A2800" t="str">
            <v>MX854-IR-1A</v>
          </cell>
          <cell r="J2800" t="str">
            <v>C6™ IRON 70 R-FLEX</v>
          </cell>
        </row>
        <row r="2801">
          <cell r="A2801" t="str">
            <v>MY038-IS-TA</v>
          </cell>
          <cell r="J2801" t="str">
            <v>12K DIAMANA PUTTER P105S</v>
          </cell>
        </row>
        <row r="2802">
          <cell r="A2802" t="str">
            <v>MY039-IS-TA</v>
          </cell>
          <cell r="J2802" t="str">
            <v>12K DIAMANA PUTTER P120S</v>
          </cell>
        </row>
        <row r="2803">
          <cell r="A2803" t="str">
            <v>MX946-WR-1T</v>
          </cell>
          <cell r="J2803" t="str">
            <v>DIAMANA™ BB-SERIES 43 R-FLEX</v>
          </cell>
        </row>
        <row r="2804">
          <cell r="A2804" t="str">
            <v>MX947-WR-1T</v>
          </cell>
          <cell r="J2804" t="str">
            <v>DIAMANA™ BB-SERIES 53 R-FLEX</v>
          </cell>
        </row>
        <row r="2805">
          <cell r="A2805" t="str">
            <v>MX947-WS-1T</v>
          </cell>
          <cell r="J2805" t="str">
            <v>DIAMANA™ BB-SERIES 53 S-FLEX</v>
          </cell>
        </row>
        <row r="2806">
          <cell r="A2806" t="str">
            <v>MX948-WS-1T</v>
          </cell>
          <cell r="J2806" t="str">
            <v>DIAMANA™ BB-SERIES 63 S-FLEX</v>
          </cell>
        </row>
        <row r="2807">
          <cell r="A2807" t="str">
            <v>MY041-WS-1AT</v>
          </cell>
          <cell r="J2807" t="str">
            <v>TENSEI 1K PRO ORG RIP 60S (DEMO)</v>
          </cell>
        </row>
        <row r="2808">
          <cell r="A2808" t="str">
            <v>MY042-WS-1AT</v>
          </cell>
          <cell r="J2808" t="str">
            <v>TENSEI 1K PRO ORG RIP 70S (DEMO)</v>
          </cell>
        </row>
      </sheetData>
      <sheetData sheetId="149"/>
      <sheetData sheetId="150"/>
      <sheetData sheetId="151"/>
      <sheetData sheetId="152"/>
      <sheetData sheetId="153">
        <row r="1">
          <cell r="A1" t="str">
            <v>Aldila Part #</v>
          </cell>
          <cell r="B1" t="str">
            <v>Description</v>
          </cell>
          <cell r="C1" t="str">
            <v>Weight (gr)</v>
          </cell>
        </row>
        <row r="2">
          <cell r="A2" t="str">
            <v>TLVZWR60AZBA</v>
          </cell>
          <cell r="B2" t="e">
            <v>#REF!</v>
          </cell>
          <cell r="C2">
            <v>81</v>
          </cell>
        </row>
        <row r="3">
          <cell r="A3" t="str">
            <v>MX588-IR-5A</v>
          </cell>
          <cell r="B3" t="str">
            <v>FUBUKI Ai2 Iron 50 R #5</v>
          </cell>
          <cell r="C3">
            <v>52.5</v>
          </cell>
        </row>
        <row r="4">
          <cell r="A4" t="str">
            <v>MX589-WR-3A</v>
          </cell>
          <cell r="B4" t="str">
            <v>FUBUKI Ai2 Fwy 60 R</v>
          </cell>
          <cell r="C4">
            <v>60.5</v>
          </cell>
        </row>
        <row r="5">
          <cell r="A5" t="str">
            <v>MX588-IS-8A</v>
          </cell>
          <cell r="B5" t="str">
            <v>FUBUKI Ai2 Iron 50 S #8</v>
          </cell>
          <cell r="C5">
            <v>55</v>
          </cell>
        </row>
        <row r="6">
          <cell r="A6" t="str">
            <v>MX588-ISR7A</v>
          </cell>
          <cell r="B6" t="str">
            <v>FUBUKI Ai2 Iron 50 SR #7</v>
          </cell>
          <cell r="C6">
            <v>56</v>
          </cell>
        </row>
        <row r="7">
          <cell r="A7" t="str">
            <v>MX588-WR-3A</v>
          </cell>
          <cell r="B7" t="str">
            <v>FUBUKI Ai2 Fwy 50 R</v>
          </cell>
          <cell r="C7">
            <v>53.5</v>
          </cell>
        </row>
        <row r="8">
          <cell r="A8" t="str">
            <v>MR086-IR-4A</v>
          </cell>
          <cell r="B8" t="str">
            <v>17 Shuttle Iron R</v>
          </cell>
          <cell r="C8">
            <v>58.5</v>
          </cell>
        </row>
        <row r="9">
          <cell r="A9" t="str">
            <v>MR086-IRA4A</v>
          </cell>
          <cell r="B9" t="str">
            <v>17 Shuttle Iron R2</v>
          </cell>
          <cell r="C9">
            <v>57</v>
          </cell>
        </row>
        <row r="10">
          <cell r="A10" t="str">
            <v>MR086-ISR4A</v>
          </cell>
          <cell r="B10" t="str">
            <v>17 Shuttle Iron SR</v>
          </cell>
          <cell r="C10">
            <v>60.5</v>
          </cell>
        </row>
        <row r="11">
          <cell r="A11" t="str">
            <v>MR086-UR-1A</v>
          </cell>
          <cell r="B11" t="str">
            <v>17 Shuttle Utility R</v>
          </cell>
          <cell r="C11">
            <v>51</v>
          </cell>
        </row>
        <row r="12">
          <cell r="A12" t="str">
            <v>MR086-WR-3A</v>
          </cell>
          <cell r="B12" t="str">
            <v>17 Shuttle Fairway R</v>
          </cell>
          <cell r="C12">
            <v>51</v>
          </cell>
        </row>
        <row r="13">
          <cell r="A13" t="str">
            <v>MR086-WSR3A</v>
          </cell>
          <cell r="B13" t="str">
            <v>17 Shuttle Fairway SR</v>
          </cell>
          <cell r="C13">
            <v>53</v>
          </cell>
        </row>
        <row r="14">
          <cell r="A14" t="str">
            <v>MX588-IR-3A</v>
          </cell>
          <cell r="B14" t="str">
            <v>FUBUKI Ai2 Iron 50 R #3</v>
          </cell>
          <cell r="C14">
            <v>51.5</v>
          </cell>
        </row>
        <row r="15">
          <cell r="A15" t="str">
            <v>MX588-IR-4A</v>
          </cell>
          <cell r="B15" t="str">
            <v>FUBUKI Ai2 Iron 50 R #4</v>
          </cell>
          <cell r="C15">
            <v>52</v>
          </cell>
        </row>
        <row r="16">
          <cell r="A16" t="str">
            <v>MX588-IS-3A</v>
          </cell>
          <cell r="B16" t="str">
            <v>FUBUKI Ai2 Iron 50 S #3</v>
          </cell>
          <cell r="C16">
            <v>54</v>
          </cell>
        </row>
        <row r="17">
          <cell r="A17" t="str">
            <v>MX588-IS-4A</v>
          </cell>
          <cell r="B17" t="str">
            <v>FUBUKI Ai2 Iron 50 S #4</v>
          </cell>
          <cell r="C17">
            <v>54.5</v>
          </cell>
        </row>
        <row r="18">
          <cell r="A18" t="str">
            <v>MX588-IS-5A</v>
          </cell>
          <cell r="B18" t="str">
            <v>FUBUKI Ai2 Iron 50 S #5</v>
          </cell>
          <cell r="C18">
            <v>53</v>
          </cell>
        </row>
        <row r="19">
          <cell r="A19" t="str">
            <v>MX588-ISR3A</v>
          </cell>
          <cell r="B19" t="str">
            <v>FUBUKI Ai2 Iron 50 SR #3</v>
          </cell>
          <cell r="C19">
            <v>54</v>
          </cell>
        </row>
        <row r="20">
          <cell r="A20" t="str">
            <v>MX588-ISR4A</v>
          </cell>
          <cell r="B20" t="str">
            <v>FUBUKI Ai2 Iron 50 SR #4</v>
          </cell>
          <cell r="C20">
            <v>54.5</v>
          </cell>
        </row>
        <row r="21">
          <cell r="A21" t="str">
            <v>MX589-IS-9A</v>
          </cell>
          <cell r="B21" t="str">
            <v>FUBUKI Ai2 Iron 60 S #9</v>
          </cell>
          <cell r="C21">
            <v>70</v>
          </cell>
        </row>
        <row r="22">
          <cell r="A22" t="str">
            <v>MX589-IS-PA</v>
          </cell>
          <cell r="B22" t="str">
            <v>FUBUKI Ai2 Iron 60 S #P</v>
          </cell>
          <cell r="C22">
            <v>71</v>
          </cell>
        </row>
        <row r="23">
          <cell r="A23" t="str">
            <v>MX589-ISR9A</v>
          </cell>
          <cell r="B23" t="str">
            <v>FUBUKI Ai2 Iron 60 SR #9</v>
          </cell>
          <cell r="C23">
            <v>68.5</v>
          </cell>
        </row>
        <row r="24">
          <cell r="A24" t="str">
            <v>MX589-ISRPA</v>
          </cell>
          <cell r="B24" t="str">
            <v>FUBUKI Ai2 Iron 60 SR #10</v>
          </cell>
          <cell r="C24">
            <v>70.5</v>
          </cell>
        </row>
        <row r="25">
          <cell r="A25" t="str">
            <v>MX589-WS-1A</v>
          </cell>
          <cell r="B25" t="str">
            <v>FUBUKI Ai2 Dr 60 S</v>
          </cell>
          <cell r="C25">
            <v>62.5</v>
          </cell>
        </row>
        <row r="26">
          <cell r="A26" t="str">
            <v>MX589-WSR1A</v>
          </cell>
          <cell r="B26" t="str">
            <v>FUBUKI Ai2 Dr 60 SR</v>
          </cell>
          <cell r="C26">
            <v>61</v>
          </cell>
        </row>
        <row r="27">
          <cell r="A27" t="str">
            <v>MX589-WX-1A</v>
          </cell>
          <cell r="B27" t="str">
            <v>FUBUKI Ai2 Dr 60 S</v>
          </cell>
          <cell r="C27">
            <v>66</v>
          </cell>
        </row>
        <row r="28">
          <cell r="A28" t="str">
            <v>SF231-WS-3A</v>
          </cell>
          <cell r="B28" t="str">
            <v>Tensei Fairway S</v>
          </cell>
          <cell r="C28">
            <v>68.5</v>
          </cell>
        </row>
        <row r="29">
          <cell r="A29" t="str">
            <v>SF232-IA-1A</v>
          </cell>
          <cell r="B29" t="str">
            <v>Tensei Hybrid A</v>
          </cell>
          <cell r="C29">
            <v>75</v>
          </cell>
        </row>
        <row r="30">
          <cell r="A30" t="str">
            <v>SF232-IS-1A</v>
          </cell>
          <cell r="B30" t="str">
            <v>Tensei Hybrid S</v>
          </cell>
          <cell r="C30">
            <v>80</v>
          </cell>
        </row>
        <row r="31">
          <cell r="A31" t="str">
            <v>SF232-IX-1A</v>
          </cell>
          <cell r="B31" t="str">
            <v>Tensei Hybrid X</v>
          </cell>
          <cell r="C31">
            <v>83</v>
          </cell>
        </row>
        <row r="32">
          <cell r="A32" t="str">
            <v>MX588-WR-1A</v>
          </cell>
          <cell r="B32" t="str">
            <v>FUBUKI Ai2 Dr 50 R</v>
          </cell>
          <cell r="C32">
            <v>55</v>
          </cell>
        </row>
        <row r="33">
          <cell r="A33" t="str">
            <v>MX588-WS-1A</v>
          </cell>
          <cell r="B33" t="str">
            <v>FUBUKI Ai2 Dr 50 S</v>
          </cell>
          <cell r="C33">
            <v>58.5</v>
          </cell>
        </row>
        <row r="34">
          <cell r="A34" t="str">
            <v>MX588-WS-3A</v>
          </cell>
          <cell r="B34" t="str">
            <v>FUBUKI Ai2 Fwy 50 S</v>
          </cell>
          <cell r="C34">
            <v>56.5</v>
          </cell>
        </row>
        <row r="35">
          <cell r="A35" t="str">
            <v>MX588-WSR1A</v>
          </cell>
          <cell r="B35" t="str">
            <v>FUBUKI Ai2 Dr 50 SR</v>
          </cell>
          <cell r="C35">
            <v>57</v>
          </cell>
        </row>
        <row r="36">
          <cell r="A36" t="str">
            <v>MX589-WS-3A</v>
          </cell>
          <cell r="B36" t="str">
            <v>FUBUKI Ai2 Fwy 60 S</v>
          </cell>
          <cell r="C36">
            <v>65.5</v>
          </cell>
        </row>
        <row r="37">
          <cell r="A37" t="str">
            <v>SF227-IL-1A</v>
          </cell>
          <cell r="B37" t="str">
            <v>TaylorMade M2 HY/IR L-Flex</v>
          </cell>
          <cell r="C37">
            <v>56.5</v>
          </cell>
        </row>
        <row r="38">
          <cell r="A38" t="str">
            <v>MX588-ISR5A</v>
          </cell>
          <cell r="B38" t="str">
            <v>FUBUKI Ai2 Iron 50 SR #5</v>
          </cell>
          <cell r="C38">
            <v>54.5</v>
          </cell>
        </row>
        <row r="39">
          <cell r="A39" t="str">
            <v>MX588-ISR6A</v>
          </cell>
          <cell r="B39" t="str">
            <v>FUBUKI Ai2 Iron 50 SR #6</v>
          </cell>
          <cell r="C39">
            <v>55</v>
          </cell>
        </row>
        <row r="40">
          <cell r="A40" t="str">
            <v>MX588-ISR8A</v>
          </cell>
          <cell r="B40" t="str">
            <v>FUBUKI Ai2 Iron 50 SR #8</v>
          </cell>
          <cell r="C40">
            <v>57</v>
          </cell>
        </row>
        <row r="41">
          <cell r="A41" t="str">
            <v>MX588-ISR9A</v>
          </cell>
          <cell r="B41" t="str">
            <v>FUBUKI Ai2 Iron 50 SR #9</v>
          </cell>
          <cell r="C41">
            <v>58.5</v>
          </cell>
        </row>
        <row r="42">
          <cell r="A42" t="str">
            <v>MX588-ISRPA</v>
          </cell>
          <cell r="B42" t="str">
            <v>FUBUKI Ai2 Iron 50 SR #P</v>
          </cell>
          <cell r="C42">
            <v>59</v>
          </cell>
        </row>
        <row r="43">
          <cell r="A43" t="str">
            <v>SF232-IR-1A</v>
          </cell>
          <cell r="B43" t="str">
            <v>Tensei Hybrid R</v>
          </cell>
          <cell r="C43">
            <v>77</v>
          </cell>
        </row>
        <row r="44">
          <cell r="A44" t="str">
            <v>CW079-WS-3A</v>
          </cell>
          <cell r="B44" t="str">
            <v>Stone Fairway S</v>
          </cell>
          <cell r="C44">
            <v>73.5</v>
          </cell>
        </row>
        <row r="45">
          <cell r="A45" t="str">
            <v>CW079-WX-3A</v>
          </cell>
          <cell r="B45" t="str">
            <v>Stone Fairway X</v>
          </cell>
          <cell r="C45">
            <v>75.5</v>
          </cell>
        </row>
        <row r="46">
          <cell r="A46" t="str">
            <v>MX588-IR-6A</v>
          </cell>
          <cell r="B46" t="str">
            <v>FUBUKI Ai2 Iron 50 R #6</v>
          </cell>
          <cell r="C46">
            <v>53.5</v>
          </cell>
        </row>
        <row r="47">
          <cell r="A47" t="str">
            <v>MX588-IR-7A</v>
          </cell>
          <cell r="B47" t="str">
            <v>FUBUKI Ai2 Iron 50 R #7</v>
          </cell>
          <cell r="C47">
            <v>54.5</v>
          </cell>
        </row>
        <row r="48">
          <cell r="A48" t="str">
            <v>MX588-IR-8A</v>
          </cell>
          <cell r="B48" t="str">
            <v>FUBUKI Ai2 Iron 50 R #8</v>
          </cell>
          <cell r="C48">
            <v>55.5</v>
          </cell>
        </row>
        <row r="49">
          <cell r="A49" t="str">
            <v>MX588-IR-9A</v>
          </cell>
          <cell r="B49" t="str">
            <v>FUBUKI Ai2 Iron 50 R #9</v>
          </cell>
          <cell r="C49">
            <v>56</v>
          </cell>
        </row>
        <row r="50">
          <cell r="A50" t="str">
            <v>MX588-IS-6A</v>
          </cell>
          <cell r="B50" t="str">
            <v>FUBUKI Ai2 Iron 50 S #6</v>
          </cell>
          <cell r="C50">
            <v>57</v>
          </cell>
        </row>
        <row r="51">
          <cell r="A51" t="str">
            <v>MX588-IS-7A</v>
          </cell>
          <cell r="B51" t="str">
            <v>FUBUKI Ai2 Iron 50 S #7</v>
          </cell>
          <cell r="C51">
            <v>58</v>
          </cell>
        </row>
        <row r="52">
          <cell r="A52" t="str">
            <v>MX588-IS-9A</v>
          </cell>
          <cell r="B52" t="str">
            <v>FUBUKI Ai2 Iron 50 S #9</v>
          </cell>
          <cell r="C52">
            <v>59</v>
          </cell>
        </row>
        <row r="53">
          <cell r="A53" t="str">
            <v>MX588-IS-PA</v>
          </cell>
          <cell r="B53" t="str">
            <v>FUBUKI Ai2 Iron 50 S #P</v>
          </cell>
          <cell r="C53">
            <v>60</v>
          </cell>
        </row>
        <row r="54">
          <cell r="A54" t="str">
            <v>SF231-WR-3A</v>
          </cell>
          <cell r="B54" t="str">
            <v>Tensei Fairway R</v>
          </cell>
          <cell r="C54">
            <v>65.5</v>
          </cell>
        </row>
        <row r="55">
          <cell r="A55" t="str">
            <v>SF231-WX-3A</v>
          </cell>
          <cell r="B55" t="str">
            <v>Tensei Fairway X</v>
          </cell>
          <cell r="C55">
            <v>70.5</v>
          </cell>
        </row>
        <row r="56">
          <cell r="A56" t="str">
            <v>MR086-WL-1A</v>
          </cell>
          <cell r="B56" t="str">
            <v>17 Shuttle Driver L</v>
          </cell>
          <cell r="C56">
            <v>59</v>
          </cell>
        </row>
        <row r="57">
          <cell r="A57" t="str">
            <v>MX588-IR-PA</v>
          </cell>
          <cell r="B57" t="str">
            <v>FUBUKI Ai2 Iron 50 R #P</v>
          </cell>
          <cell r="C57">
            <v>56.5</v>
          </cell>
        </row>
        <row r="58">
          <cell r="A58" t="str">
            <v>MX588-WSR3A</v>
          </cell>
          <cell r="B58" t="str">
            <v>FUBUKI Ai2 Fwy 50 SR</v>
          </cell>
          <cell r="C58">
            <v>55</v>
          </cell>
        </row>
        <row r="59">
          <cell r="A59" t="str">
            <v>MX589-IS-3A</v>
          </cell>
          <cell r="B59" t="str">
            <v>FUBUKI Ai2 Iron 60 S #3</v>
          </cell>
          <cell r="C59">
            <v>65</v>
          </cell>
        </row>
        <row r="60">
          <cell r="A60" t="str">
            <v>MX589-IS-4A</v>
          </cell>
          <cell r="B60" t="str">
            <v>FUBUKI Ai2 Iron 60 S #4</v>
          </cell>
          <cell r="C60">
            <v>66</v>
          </cell>
        </row>
        <row r="61">
          <cell r="A61" t="str">
            <v>MX589-IS-5A</v>
          </cell>
          <cell r="B61" t="str">
            <v>FUBUKI Ai2 Iron 60 S #5</v>
          </cell>
          <cell r="C61">
            <v>66.5</v>
          </cell>
        </row>
        <row r="62">
          <cell r="A62" t="str">
            <v>MX589-IS-6A</v>
          </cell>
          <cell r="B62" t="str">
            <v>FUBUKI Ai2 Iron 60 S #6</v>
          </cell>
          <cell r="C62">
            <v>68</v>
          </cell>
        </row>
        <row r="63">
          <cell r="A63" t="str">
            <v>MX589-IS-7A</v>
          </cell>
          <cell r="B63" t="str">
            <v>FUBUKI Ai2 Iron 60 S #7</v>
          </cell>
          <cell r="C63">
            <v>69</v>
          </cell>
        </row>
        <row r="64">
          <cell r="A64" t="str">
            <v>MX589-IS-8A</v>
          </cell>
          <cell r="B64" t="str">
            <v>FUBUKI Ai2 Iron 60 S #8</v>
          </cell>
          <cell r="C64">
            <v>69.5</v>
          </cell>
        </row>
        <row r="65">
          <cell r="A65" t="str">
            <v>MX589-ISR3A</v>
          </cell>
          <cell r="B65" t="str">
            <v>FUBUKI Ai2 Iron 60 SR #3</v>
          </cell>
          <cell r="C65">
            <v>63.5</v>
          </cell>
        </row>
        <row r="66">
          <cell r="A66" t="str">
            <v>MX589-ISR4A</v>
          </cell>
          <cell r="B66" t="str">
            <v>FUBUKI Ai2 Iron 60 SR #4</v>
          </cell>
          <cell r="C66">
            <v>64</v>
          </cell>
        </row>
        <row r="67">
          <cell r="A67" t="str">
            <v>MX589-ISR5A</v>
          </cell>
          <cell r="B67" t="str">
            <v>FUBUKI Ai2 Iron 60 SR #5</v>
          </cell>
          <cell r="C67">
            <v>65</v>
          </cell>
        </row>
        <row r="68">
          <cell r="A68" t="str">
            <v>MX589-ISR6A</v>
          </cell>
          <cell r="B68" t="str">
            <v>FUBUKI Ai2 Iron 60 SR #8</v>
          </cell>
          <cell r="C68">
            <v>67</v>
          </cell>
        </row>
        <row r="69">
          <cell r="A69" t="str">
            <v>MX589-ISR7A</v>
          </cell>
          <cell r="B69" t="str">
            <v>FUBUKI Ai2 Iron 60 SR #7</v>
          </cell>
          <cell r="C69">
            <v>67</v>
          </cell>
        </row>
        <row r="70">
          <cell r="A70" t="str">
            <v>MX589-ISR8A</v>
          </cell>
          <cell r="B70" t="str">
            <v>FUBUKI Ai2 Iron 60 SR #8</v>
          </cell>
          <cell r="C70">
            <v>67.5</v>
          </cell>
        </row>
        <row r="71">
          <cell r="A71" t="str">
            <v>MX589-WSR3A</v>
          </cell>
          <cell r="B71" t="str">
            <v>FUBUKI Ai2 Fwy 60 SR</v>
          </cell>
          <cell r="C71">
            <v>63</v>
          </cell>
        </row>
        <row r="72">
          <cell r="A72" t="str">
            <v>MX589-WX-3A</v>
          </cell>
          <cell r="B72" t="str">
            <v>FUBUKI Ai2 Fwy 60 X</v>
          </cell>
          <cell r="C72">
            <v>68</v>
          </cell>
        </row>
        <row r="73">
          <cell r="A73" t="str">
            <v>MX588-ISR5</v>
          </cell>
          <cell r="B73" t="str">
            <v>BLANK</v>
          </cell>
        </row>
        <row r="74">
          <cell r="A74" t="str">
            <v>AX067-IL-1CA</v>
          </cell>
          <cell r="B74" t="str">
            <v>Quaranta HybridOS L</v>
          </cell>
          <cell r="C74">
            <v>50.5</v>
          </cell>
        </row>
        <row r="75">
          <cell r="A75" t="str">
            <v>AX065-WR-1CA</v>
          </cell>
          <cell r="B75" t="str">
            <v>Synergy Driver R</v>
          </cell>
          <cell r="C75">
            <v>57.5</v>
          </cell>
        </row>
        <row r="76">
          <cell r="A76" t="str">
            <v>AX068-IR-1CA</v>
          </cell>
          <cell r="B76" t="str">
            <v>Synergy Hybrid/OS R</v>
          </cell>
          <cell r="C76">
            <v>64</v>
          </cell>
        </row>
        <row r="77">
          <cell r="A77" t="str">
            <v>AX065-WS-1CA</v>
          </cell>
          <cell r="B77" t="str">
            <v>Synergy Driver S</v>
          </cell>
          <cell r="C77">
            <v>59.5</v>
          </cell>
        </row>
        <row r="78">
          <cell r="A78" t="str">
            <v>AX069-IR-1CA</v>
          </cell>
          <cell r="B78" t="str">
            <v>Synergy Hybrid R</v>
          </cell>
          <cell r="C78">
            <v>69</v>
          </cell>
        </row>
        <row r="79">
          <cell r="A79" t="str">
            <v>AX069-IS-1CA</v>
          </cell>
          <cell r="B79" t="str">
            <v>Synergy Hybrid S</v>
          </cell>
          <cell r="C79">
            <v>74.5</v>
          </cell>
        </row>
        <row r="80">
          <cell r="A80" t="str">
            <v>AX066-WR-1CA</v>
          </cell>
          <cell r="B80" t="str">
            <v>Synergy Driver R</v>
          </cell>
          <cell r="C80">
            <v>65</v>
          </cell>
        </row>
        <row r="81">
          <cell r="A81" t="str">
            <v>AX066-WS-1CA</v>
          </cell>
          <cell r="B81" t="str">
            <v>Synergy Driver S</v>
          </cell>
          <cell r="C81">
            <v>68</v>
          </cell>
        </row>
        <row r="82">
          <cell r="A82" t="str">
            <v>SF231-WA-3A</v>
          </cell>
          <cell r="B82" t="str">
            <v>Tensei Fairway A</v>
          </cell>
          <cell r="C82">
            <v>63.5</v>
          </cell>
        </row>
        <row r="83">
          <cell r="A83" t="str">
            <v>ASFGIS80BZLA</v>
          </cell>
          <cell r="B83" t="str">
            <v>ALDILA NV MLTI PRO S</v>
          </cell>
          <cell r="C83">
            <v>104</v>
          </cell>
        </row>
        <row r="84">
          <cell r="A84" t="str">
            <v>AX072-IS-1CA</v>
          </cell>
          <cell r="B84" t="str">
            <v>Synergy Iron S</v>
          </cell>
          <cell r="C84">
            <v>63.5</v>
          </cell>
        </row>
        <row r="85">
          <cell r="A85" t="str">
            <v>SF227-IL-1B</v>
          </cell>
          <cell r="B85" t="str">
            <v>TaylorMade M2 IRON L-Flex</v>
          </cell>
          <cell r="C85">
            <v>56.5</v>
          </cell>
        </row>
        <row r="86">
          <cell r="A86" t="str">
            <v>SF232-IA-1B</v>
          </cell>
          <cell r="B86" t="str">
            <v>Tensei Hybrid A</v>
          </cell>
          <cell r="C86">
            <v>75</v>
          </cell>
        </row>
        <row r="87">
          <cell r="A87" t="str">
            <v>SF228-WS-1A</v>
          </cell>
          <cell r="B87" t="str">
            <v>Tensei Red Wood 50gram S</v>
          </cell>
          <cell r="C87">
            <v>59.5</v>
          </cell>
        </row>
        <row r="88">
          <cell r="A88" t="str">
            <v>SF232-IR-1B</v>
          </cell>
          <cell r="B88" t="str">
            <v>Tensei Hybrid R</v>
          </cell>
          <cell r="C88">
            <v>77</v>
          </cell>
        </row>
        <row r="89">
          <cell r="A89" t="str">
            <v>SF232-IS-1B</v>
          </cell>
          <cell r="B89" t="str">
            <v>Tensei Hybrid S</v>
          </cell>
          <cell r="C89">
            <v>80</v>
          </cell>
        </row>
        <row r="90">
          <cell r="A90" t="str">
            <v>SF228-WR-1A</v>
          </cell>
          <cell r="B90" t="str">
            <v>Tensei Red Wood 50gram R</v>
          </cell>
          <cell r="C90">
            <v>57</v>
          </cell>
        </row>
        <row r="91">
          <cell r="A91" t="str">
            <v>SF229-WS-1A</v>
          </cell>
          <cell r="B91" t="str">
            <v>Tensei White Wood 60gram S</v>
          </cell>
          <cell r="C91">
            <v>66.5</v>
          </cell>
        </row>
        <row r="92">
          <cell r="A92" t="str">
            <v>SF229-WX-1A</v>
          </cell>
          <cell r="B92" t="str">
            <v>Tensei White Wood 70gram X</v>
          </cell>
          <cell r="C92">
            <v>79.5</v>
          </cell>
        </row>
        <row r="93">
          <cell r="A93" t="str">
            <v>MR086-WRA1A</v>
          </cell>
          <cell r="B93" t="str">
            <v>17 Shuttle Driver R2</v>
          </cell>
          <cell r="C93">
            <v>50</v>
          </cell>
        </row>
        <row r="94">
          <cell r="A94" t="str">
            <v>MR086-UL-3A</v>
          </cell>
          <cell r="B94" t="str">
            <v>17 Shuttle Utility L</v>
          </cell>
          <cell r="C94">
            <v>43</v>
          </cell>
        </row>
        <row r="95">
          <cell r="A95" t="str">
            <v>MR090-WS-1A</v>
          </cell>
          <cell r="B95" t="str">
            <v>MARUMAN 17 DANGAN7 S</v>
          </cell>
          <cell r="C95">
            <v>61.5</v>
          </cell>
        </row>
        <row r="96">
          <cell r="A96" t="str">
            <v>AX068-IA-1CA</v>
          </cell>
          <cell r="C96">
            <v>62</v>
          </cell>
        </row>
        <row r="97">
          <cell r="A97" t="str">
            <v>AX068-IS-1CA</v>
          </cell>
          <cell r="B97" t="str">
            <v>Synergy Hybrid/OS S</v>
          </cell>
          <cell r="C97">
            <v>65.5</v>
          </cell>
        </row>
        <row r="98">
          <cell r="A98" t="str">
            <v>AX072-IA-1CA</v>
          </cell>
          <cell r="B98" t="str">
            <v>Synergy Iron A</v>
          </cell>
          <cell r="C98">
            <v>57.5</v>
          </cell>
        </row>
        <row r="99">
          <cell r="A99" t="str">
            <v>AX066-WX-1CA</v>
          </cell>
          <cell r="B99" t="str">
            <v>Synergy Driver X</v>
          </cell>
          <cell r="C99">
            <v>70</v>
          </cell>
        </row>
        <row r="100">
          <cell r="A100" t="str">
            <v>AX066-WA-1CA</v>
          </cell>
          <cell r="C100">
            <v>64</v>
          </cell>
        </row>
        <row r="101">
          <cell r="A101" t="str">
            <v>AX069-IA-1CA</v>
          </cell>
          <cell r="C101">
            <v>65.5</v>
          </cell>
        </row>
        <row r="102">
          <cell r="A102" t="str">
            <v>CW072-WR-1A</v>
          </cell>
          <cell r="C102">
            <v>51</v>
          </cell>
        </row>
        <row r="103">
          <cell r="A103" t="str">
            <v>MR090-WR-1A</v>
          </cell>
          <cell r="B103" t="str">
            <v>MARUMAN 16 DANGAN7 R</v>
          </cell>
          <cell r="C103">
            <v>52.5</v>
          </cell>
        </row>
        <row r="104">
          <cell r="A104" t="str">
            <v>MX602-WR-3A</v>
          </cell>
          <cell r="B104" t="str">
            <v>Tensei Fairway 55gra</v>
          </cell>
          <cell r="C104">
            <v>58</v>
          </cell>
        </row>
        <row r="105">
          <cell r="A105" t="str">
            <v>MX602-WS-3A</v>
          </cell>
          <cell r="B105" t="str">
            <v>Tensei Fairway 55gra</v>
          </cell>
          <cell r="C105">
            <v>60</v>
          </cell>
        </row>
        <row r="106">
          <cell r="A106" t="str">
            <v>MX603-WR-3A</v>
          </cell>
          <cell r="B106" t="str">
            <v>Tensei Fairway 65gra</v>
          </cell>
          <cell r="C106">
            <v>66</v>
          </cell>
        </row>
        <row r="107">
          <cell r="A107" t="str">
            <v>MX603-WS-3A</v>
          </cell>
          <cell r="B107" t="str">
            <v>Tensei Fairway 65gra</v>
          </cell>
          <cell r="C107">
            <v>67.5</v>
          </cell>
        </row>
        <row r="108">
          <cell r="A108" t="str">
            <v>MR086-URA1A</v>
          </cell>
          <cell r="B108" t="str">
            <v>17 Shuttle Utility R2</v>
          </cell>
          <cell r="C108">
            <v>49</v>
          </cell>
        </row>
        <row r="109">
          <cell r="A109" t="str">
            <v>MR086-WRA3A</v>
          </cell>
          <cell r="B109" t="str">
            <v>17 Shuttle Fairway R2</v>
          </cell>
          <cell r="C109">
            <v>50.5</v>
          </cell>
        </row>
        <row r="110">
          <cell r="A110" t="str">
            <v>MR098-IR-4A</v>
          </cell>
          <cell r="B110" t="str">
            <v>18 DANGAN7 Iron R</v>
          </cell>
          <cell r="C110">
            <v>58</v>
          </cell>
        </row>
        <row r="111">
          <cell r="A111" t="str">
            <v>MR098-IS-4A</v>
          </cell>
          <cell r="B111" t="str">
            <v>18 DANGAN7 Iron S</v>
          </cell>
          <cell r="C111">
            <v>67.5</v>
          </cell>
        </row>
        <row r="112">
          <cell r="A112" t="str">
            <v>SF230-WX-1A</v>
          </cell>
          <cell r="C112">
            <v>66</v>
          </cell>
        </row>
        <row r="113">
          <cell r="A113" t="str">
            <v>SF228-WA-1A</v>
          </cell>
          <cell r="C113">
            <v>54</v>
          </cell>
        </row>
        <row r="114">
          <cell r="A114" t="str">
            <v>MR098-WS-2A</v>
          </cell>
          <cell r="C114">
            <v>59</v>
          </cell>
        </row>
        <row r="115">
          <cell r="A115" t="str">
            <v>MR098-WR-2A</v>
          </cell>
          <cell r="B115" t="str">
            <v>DANGAN7 Fairway R</v>
          </cell>
          <cell r="C115">
            <v>50.5</v>
          </cell>
        </row>
        <row r="116">
          <cell r="A116" t="str">
            <v>AX065-WR-1AA</v>
          </cell>
          <cell r="B116" t="str">
            <v>SHM-Aldila Synergy Driver R</v>
          </cell>
          <cell r="C116">
            <v>57.5</v>
          </cell>
        </row>
        <row r="117">
          <cell r="A117" t="str">
            <v>AX065-WS-1AA</v>
          </cell>
          <cell r="B117" t="str">
            <v>SHM-Aldila Synergy Driver S</v>
          </cell>
          <cell r="C117">
            <v>59.5</v>
          </cell>
        </row>
        <row r="118">
          <cell r="A118" t="str">
            <v>AX066-WS-1AA</v>
          </cell>
          <cell r="B118" t="str">
            <v>SHM-Aldila Synergy Driver S</v>
          </cell>
          <cell r="C118">
            <v>68</v>
          </cell>
        </row>
        <row r="119">
          <cell r="A119" t="str">
            <v>AX066-WX-1AA</v>
          </cell>
          <cell r="B119" t="str">
            <v>SHM-Aldila Synergy Driver R</v>
          </cell>
          <cell r="C119">
            <v>70</v>
          </cell>
        </row>
        <row r="120">
          <cell r="A120" t="str">
            <v>SF230-WS-1A</v>
          </cell>
          <cell r="B120" t="str">
            <v>Tensei Blue Wood 60gram S</v>
          </cell>
          <cell r="C120">
            <v>67</v>
          </cell>
        </row>
        <row r="121">
          <cell r="A121" t="str">
            <v>SF230-WR-1A</v>
          </cell>
          <cell r="B121" t="str">
            <v>Tensei Blue Wood 60gram R</v>
          </cell>
          <cell r="C121">
            <v>64</v>
          </cell>
        </row>
        <row r="122">
          <cell r="A122" t="str">
            <v>AX073-WTX1AA</v>
          </cell>
          <cell r="B122" t="str">
            <v>Synergy Blue Tour 60 TX</v>
          </cell>
          <cell r="C122">
            <v>67.900000000000006</v>
          </cell>
        </row>
        <row r="123">
          <cell r="A123" t="str">
            <v>AX074-WTX1AA</v>
          </cell>
          <cell r="B123" t="str">
            <v>Synergy Blue Tour 70 TX</v>
          </cell>
          <cell r="C123">
            <v>78</v>
          </cell>
        </row>
        <row r="124">
          <cell r="A124" t="str">
            <v>AX075-WTX1AA</v>
          </cell>
          <cell r="B124" t="str">
            <v>Synergy Blue Tour 80 TX</v>
          </cell>
          <cell r="C124">
            <v>68.5</v>
          </cell>
        </row>
        <row r="125">
          <cell r="A125" t="str">
            <v>AX076-WTX1A</v>
          </cell>
          <cell r="B125" t="str">
            <v>Synergy Green Tour 60 TX</v>
          </cell>
          <cell r="C125">
            <v>67</v>
          </cell>
        </row>
        <row r="126">
          <cell r="A126" t="str">
            <v>AX077-WTX1A</v>
          </cell>
          <cell r="B126" t="str">
            <v>Synergy Green Tour 70 TX</v>
          </cell>
          <cell r="C126">
            <v>76.5</v>
          </cell>
        </row>
        <row r="127">
          <cell r="A127" t="str">
            <v>AX078-WTX1A</v>
          </cell>
          <cell r="B127" t="str">
            <v>Synergy Green Tour 80 TX</v>
          </cell>
          <cell r="C127">
            <v>86.5</v>
          </cell>
        </row>
        <row r="128">
          <cell r="A128" t="str">
            <v>AX077-WTX1AA</v>
          </cell>
          <cell r="B128" t="str">
            <v>Synergy Green Tour 70 TX</v>
          </cell>
          <cell r="C128">
            <v>76.5</v>
          </cell>
        </row>
        <row r="129">
          <cell r="A129" t="str">
            <v>AX076-WTX1AA</v>
          </cell>
          <cell r="B129" t="str">
            <v>Synergy Green Tour 60 TX</v>
          </cell>
          <cell r="C129">
            <v>67</v>
          </cell>
        </row>
        <row r="130">
          <cell r="A130" t="str">
            <v>AX078-WTX1AA</v>
          </cell>
          <cell r="B130" t="str">
            <v>Synergy Green Tour 80 TX</v>
          </cell>
          <cell r="C130">
            <v>87.5</v>
          </cell>
        </row>
        <row r="131">
          <cell r="A131" t="str">
            <v>AX068-IR-1CB</v>
          </cell>
          <cell r="B131" t="str">
            <v>Synergy Hybrid/OS R</v>
          </cell>
          <cell r="C131">
            <v>64</v>
          </cell>
        </row>
        <row r="132">
          <cell r="A132" t="str">
            <v>AX068-IS-1CB</v>
          </cell>
          <cell r="B132" t="str">
            <v>Synergy Hybrid/OS S</v>
          </cell>
          <cell r="C132">
            <v>65.5</v>
          </cell>
        </row>
        <row r="133">
          <cell r="A133" t="str">
            <v>AX072-IR-1CA</v>
          </cell>
          <cell r="B133" t="str">
            <v>Synergy Iron R</v>
          </cell>
          <cell r="C133">
            <v>62</v>
          </cell>
        </row>
        <row r="134">
          <cell r="A134" t="str">
            <v>AX083-WTX1AA</v>
          </cell>
          <cell r="B134" t="str">
            <v>Aldila Xtorsion Mamba CB 60TX</v>
          </cell>
          <cell r="C134">
            <v>66.5</v>
          </cell>
        </row>
        <row r="135">
          <cell r="A135" t="str">
            <v>AX084-WTX1AA</v>
          </cell>
          <cell r="B135" t="str">
            <v>Aldila Xtorsion Mamba CB 70TX</v>
          </cell>
          <cell r="C135">
            <v>73</v>
          </cell>
        </row>
        <row r="136">
          <cell r="A136" t="str">
            <v>AX085-WTX1AA</v>
          </cell>
          <cell r="B136" t="str">
            <v>Aldila Xtorsion Mamba CB 80TX</v>
          </cell>
          <cell r="C136">
            <v>82</v>
          </cell>
        </row>
        <row r="137">
          <cell r="A137" t="str">
            <v>SX189-IR-6A</v>
          </cell>
          <cell r="B137" t="str">
            <v>PING G-MAX IRON #6</v>
          </cell>
          <cell r="C137">
            <v>43</v>
          </cell>
        </row>
        <row r="138">
          <cell r="A138" t="str">
            <v>SX189-IR-7A</v>
          </cell>
          <cell r="B138" t="str">
            <v>PING G-MAX IRON #7</v>
          </cell>
          <cell r="C138">
            <v>43</v>
          </cell>
        </row>
        <row r="139">
          <cell r="A139" t="str">
            <v>SX189-IR-8A</v>
          </cell>
          <cell r="B139" t="str">
            <v>PING G-MAX IRON #8</v>
          </cell>
          <cell r="C139">
            <v>42.5</v>
          </cell>
        </row>
        <row r="140">
          <cell r="A140" t="str">
            <v>SX189-IR-9A</v>
          </cell>
          <cell r="B140" t="str">
            <v>PING G-MAX IRON #9</v>
          </cell>
          <cell r="C140">
            <v>42.5</v>
          </cell>
        </row>
        <row r="141">
          <cell r="A141" t="str">
            <v>SX189-IR-PA</v>
          </cell>
          <cell r="B141" t="str">
            <v>PING G-MAX IRON #P</v>
          </cell>
          <cell r="C141">
            <v>42.5</v>
          </cell>
        </row>
        <row r="142">
          <cell r="A142" t="str">
            <v>SX189-IR-5A</v>
          </cell>
          <cell r="B142" t="str">
            <v>PING G-MAX IRON #5</v>
          </cell>
          <cell r="C142">
            <v>43.5</v>
          </cell>
        </row>
        <row r="143">
          <cell r="A143" t="str">
            <v>SX189-IR-6</v>
          </cell>
          <cell r="B143" t="str">
            <v>BLANK</v>
          </cell>
          <cell r="C143">
            <v>43</v>
          </cell>
        </row>
        <row r="144">
          <cell r="A144" t="str">
            <v>SX189-IR-7</v>
          </cell>
          <cell r="B144" t="str">
            <v>BLANK</v>
          </cell>
          <cell r="C144">
            <v>43</v>
          </cell>
        </row>
        <row r="145">
          <cell r="A145" t="str">
            <v>SX189-IR-8</v>
          </cell>
          <cell r="B145" t="str">
            <v>BLANK</v>
          </cell>
          <cell r="C145">
            <v>42.5</v>
          </cell>
        </row>
        <row r="146">
          <cell r="A146" t="str">
            <v>SX189-IR-9</v>
          </cell>
          <cell r="B146" t="str">
            <v>BLANK</v>
          </cell>
          <cell r="C146">
            <v>42.5</v>
          </cell>
        </row>
        <row r="147">
          <cell r="A147" t="str">
            <v>SX189-IR-P</v>
          </cell>
          <cell r="B147" t="str">
            <v>BLANK</v>
          </cell>
          <cell r="C147">
            <v>42.5</v>
          </cell>
        </row>
        <row r="148">
          <cell r="A148" t="str">
            <v>SX189-IR-5</v>
          </cell>
          <cell r="B148" t="str">
            <v>BLANK</v>
          </cell>
          <cell r="C148">
            <v>43.5</v>
          </cell>
        </row>
        <row r="149">
          <cell r="A149" t="str">
            <v>SX189-IR-3A</v>
          </cell>
          <cell r="B149" t="str">
            <v>PING G-MAX IRON #3</v>
          </cell>
          <cell r="C149">
            <v>43.5</v>
          </cell>
        </row>
        <row r="150">
          <cell r="A150" t="str">
            <v>SX189-IR-3</v>
          </cell>
          <cell r="B150" t="str">
            <v>BLANK</v>
          </cell>
          <cell r="C150">
            <v>43.5</v>
          </cell>
        </row>
        <row r="151">
          <cell r="A151" t="str">
            <v>MR086-WSR1A</v>
          </cell>
          <cell r="B151" t="str">
            <v>17 Shuttle Driver SR</v>
          </cell>
          <cell r="C151">
            <v>52</v>
          </cell>
        </row>
        <row r="152">
          <cell r="A152" t="str">
            <v>SX189-IR-2</v>
          </cell>
          <cell r="B152" t="str">
            <v>BLANK</v>
          </cell>
          <cell r="C152">
            <v>41.5</v>
          </cell>
        </row>
        <row r="153">
          <cell r="A153" t="str">
            <v>SX189-IR-4</v>
          </cell>
          <cell r="B153" t="str">
            <v>BLANK</v>
          </cell>
          <cell r="C153">
            <v>39</v>
          </cell>
        </row>
        <row r="154">
          <cell r="A154" t="str">
            <v>YM114-IA-6A</v>
          </cell>
          <cell r="B154" t="str">
            <v>19UD Iron A #6</v>
          </cell>
          <cell r="C154">
            <v>51.5</v>
          </cell>
        </row>
        <row r="155">
          <cell r="A155" t="str">
            <v>YM114-IA-7A</v>
          </cell>
          <cell r="B155" t="str">
            <v>19UD Iron A #7</v>
          </cell>
          <cell r="C155">
            <v>50.5</v>
          </cell>
        </row>
        <row r="156">
          <cell r="A156" t="str">
            <v>YM114-IA-8A</v>
          </cell>
          <cell r="B156" t="str">
            <v>19UD Iron A #8</v>
          </cell>
          <cell r="C156">
            <v>53.5</v>
          </cell>
        </row>
        <row r="157">
          <cell r="A157" t="str">
            <v>YM114-IA-9A</v>
          </cell>
          <cell r="B157" t="str">
            <v>19UD Iron A #9</v>
          </cell>
          <cell r="C157">
            <v>54</v>
          </cell>
        </row>
        <row r="158">
          <cell r="A158" t="str">
            <v>YM114-IA-PA</v>
          </cell>
          <cell r="B158" t="str">
            <v>19UD Iron A #P</v>
          </cell>
          <cell r="C158">
            <v>54.5</v>
          </cell>
        </row>
        <row r="159">
          <cell r="A159" t="str">
            <v>YM114-IL-6A</v>
          </cell>
          <cell r="B159" t="str">
            <v>19UD Iron L #6</v>
          </cell>
          <cell r="C159">
            <v>52</v>
          </cell>
        </row>
        <row r="160">
          <cell r="A160" t="str">
            <v>YM114-IL-7A</v>
          </cell>
          <cell r="B160" t="str">
            <v>19UD Iron L #7</v>
          </cell>
          <cell r="C160">
            <v>52</v>
          </cell>
        </row>
        <row r="161">
          <cell r="A161" t="str">
            <v>YM114-IL-8A</v>
          </cell>
          <cell r="B161" t="str">
            <v>19UD Iron L #8</v>
          </cell>
          <cell r="C161">
            <v>52</v>
          </cell>
        </row>
        <row r="162">
          <cell r="A162" t="str">
            <v>YM114-IL-9A</v>
          </cell>
          <cell r="B162" t="str">
            <v>19UD Iron L #9</v>
          </cell>
          <cell r="C162">
            <v>53</v>
          </cell>
        </row>
        <row r="163">
          <cell r="A163" t="str">
            <v>YM114-IL-PA</v>
          </cell>
          <cell r="B163" t="str">
            <v>19UD Iron L #P</v>
          </cell>
          <cell r="C163">
            <v>53.5</v>
          </cell>
        </row>
        <row r="164">
          <cell r="A164" t="str">
            <v>YM114-IR-5A</v>
          </cell>
          <cell r="B164" t="str">
            <v>19UD Iron R #5</v>
          </cell>
          <cell r="C164">
            <v>49.5</v>
          </cell>
        </row>
        <row r="165">
          <cell r="A165" t="str">
            <v>YM114-IR-6A</v>
          </cell>
          <cell r="B165" t="str">
            <v>19UD Iron R #6</v>
          </cell>
          <cell r="C165">
            <v>49.5</v>
          </cell>
        </row>
        <row r="166">
          <cell r="A166" t="str">
            <v>YM114-IR-7A</v>
          </cell>
          <cell r="B166" t="str">
            <v>19UD Iron R #7</v>
          </cell>
          <cell r="C166">
            <v>50.5</v>
          </cell>
        </row>
        <row r="167">
          <cell r="A167" t="str">
            <v>YM114-IR-8A</v>
          </cell>
          <cell r="B167" t="str">
            <v>19UD Iron R #8</v>
          </cell>
          <cell r="C167">
            <v>51.5</v>
          </cell>
        </row>
        <row r="168">
          <cell r="A168" t="str">
            <v>YM114-IR-9A</v>
          </cell>
          <cell r="B168" t="str">
            <v>19UD Iron R #9</v>
          </cell>
          <cell r="C168">
            <v>52.5</v>
          </cell>
        </row>
        <row r="169">
          <cell r="A169" t="str">
            <v>YM114-IR-AA</v>
          </cell>
          <cell r="B169" t="str">
            <v>19UD Iron R #A</v>
          </cell>
          <cell r="C169">
            <v>53</v>
          </cell>
        </row>
        <row r="170">
          <cell r="A170" t="str">
            <v>YM114-IR-PA</v>
          </cell>
          <cell r="B170" t="str">
            <v>19UD Iron R #P</v>
          </cell>
          <cell r="C170">
            <v>53</v>
          </cell>
        </row>
        <row r="171">
          <cell r="A171" t="str">
            <v>YM114-ISR5A</v>
          </cell>
          <cell r="B171" t="str">
            <v>19UD Iron SR #5</v>
          </cell>
          <cell r="C171">
            <v>51</v>
          </cell>
        </row>
        <row r="172">
          <cell r="A172" t="str">
            <v>YM114-ISR6A</v>
          </cell>
          <cell r="B172" t="str">
            <v>19UD Iron SR #6</v>
          </cell>
          <cell r="C172">
            <v>51</v>
          </cell>
        </row>
        <row r="173">
          <cell r="A173" t="str">
            <v>YM114-ISR7A</v>
          </cell>
          <cell r="B173" t="str">
            <v>19UD Iron SR #7</v>
          </cell>
          <cell r="C173">
            <v>52</v>
          </cell>
        </row>
        <row r="174">
          <cell r="A174" t="str">
            <v>YM114-ISR8A</v>
          </cell>
          <cell r="B174" t="str">
            <v>19UD Iron SR #8</v>
          </cell>
          <cell r="C174">
            <v>53</v>
          </cell>
        </row>
        <row r="175">
          <cell r="A175" t="str">
            <v>YM114-ISR9A</v>
          </cell>
          <cell r="B175" t="str">
            <v>19UD Iron SR #9</v>
          </cell>
          <cell r="C175">
            <v>53</v>
          </cell>
        </row>
        <row r="176">
          <cell r="A176" t="str">
            <v>YM114-ISRAA</v>
          </cell>
          <cell r="B176" t="str">
            <v>19UD Iron SR #A</v>
          </cell>
          <cell r="C176">
            <v>54</v>
          </cell>
        </row>
        <row r="177">
          <cell r="A177" t="str">
            <v>YM114-ISRPA</v>
          </cell>
          <cell r="B177" t="str">
            <v>19UD Iron SR #P</v>
          </cell>
          <cell r="C177">
            <v>54</v>
          </cell>
        </row>
        <row r="178">
          <cell r="A178" t="str">
            <v>YM114-UA-2A</v>
          </cell>
          <cell r="B178" t="str">
            <v>19UD Utrity A #2</v>
          </cell>
          <cell r="C178">
            <v>44.5</v>
          </cell>
        </row>
        <row r="179">
          <cell r="A179" t="str">
            <v>YM114-UL-2A</v>
          </cell>
          <cell r="B179" t="str">
            <v>19UD Utrity L #2</v>
          </cell>
          <cell r="C179">
            <v>47.5</v>
          </cell>
        </row>
        <row r="180">
          <cell r="A180" t="str">
            <v>YM114-UR-2A</v>
          </cell>
          <cell r="B180" t="str">
            <v>19UD Utrity R #2</v>
          </cell>
          <cell r="C180">
            <v>50.5</v>
          </cell>
        </row>
        <row r="181">
          <cell r="A181" t="str">
            <v>YM114-US-2A</v>
          </cell>
          <cell r="B181" t="str">
            <v>19UD Utrity S #4</v>
          </cell>
          <cell r="C181">
            <v>59.5</v>
          </cell>
        </row>
        <row r="182">
          <cell r="A182" t="str">
            <v>YM114-USR2A</v>
          </cell>
          <cell r="B182" t="str">
            <v>19UD Utrity SR #3</v>
          </cell>
          <cell r="C182">
            <v>54</v>
          </cell>
        </row>
        <row r="183">
          <cell r="A183" t="str">
            <v>YM114-WA-1A</v>
          </cell>
          <cell r="B183" t="str">
            <v>19UD Wood A #1</v>
          </cell>
          <cell r="C183">
            <v>45</v>
          </cell>
        </row>
        <row r="184">
          <cell r="A184" t="str">
            <v>YM114-WA-3A</v>
          </cell>
          <cell r="B184" t="str">
            <v>19UD Wood A #3</v>
          </cell>
          <cell r="C184">
            <v>45</v>
          </cell>
        </row>
        <row r="185">
          <cell r="A185" t="str">
            <v>YM114-WL-1A</v>
          </cell>
          <cell r="B185" t="str">
            <v>19UD Wood L #1</v>
          </cell>
          <cell r="C185">
            <v>43</v>
          </cell>
        </row>
        <row r="186">
          <cell r="A186" t="str">
            <v>YM114-WL-3A</v>
          </cell>
          <cell r="B186" t="str">
            <v>19UD Wood L #3</v>
          </cell>
          <cell r="C186">
            <v>43</v>
          </cell>
        </row>
        <row r="187">
          <cell r="A187" t="str">
            <v>YM114-WR-1A</v>
          </cell>
          <cell r="B187" t="str">
            <v>19UD Wood R #1</v>
          </cell>
          <cell r="C187">
            <v>47</v>
          </cell>
        </row>
        <row r="188">
          <cell r="A188" t="str">
            <v>YM114-WR-3A</v>
          </cell>
          <cell r="B188" t="str">
            <v>19UD Wood R #3</v>
          </cell>
          <cell r="C188">
            <v>50</v>
          </cell>
        </row>
        <row r="189">
          <cell r="A189" t="str">
            <v>YM114-WS-1A</v>
          </cell>
          <cell r="B189" t="str">
            <v>19UD Wood S #1</v>
          </cell>
          <cell r="C189">
            <v>54.5</v>
          </cell>
        </row>
        <row r="190">
          <cell r="A190" t="str">
            <v>YM114-WS-3A</v>
          </cell>
          <cell r="B190" t="str">
            <v>19UD Wood S #3</v>
          </cell>
          <cell r="C190">
            <v>58</v>
          </cell>
        </row>
        <row r="191">
          <cell r="A191" t="str">
            <v>YM114-WSR1A</v>
          </cell>
          <cell r="B191" t="str">
            <v>19UD Wood SR #1</v>
          </cell>
          <cell r="C191">
            <v>49.5</v>
          </cell>
        </row>
        <row r="192">
          <cell r="A192" t="str">
            <v>YM114-WSR3A</v>
          </cell>
          <cell r="B192" t="str">
            <v>19UD Wood SR #3</v>
          </cell>
          <cell r="C192">
            <v>52.5</v>
          </cell>
        </row>
        <row r="193">
          <cell r="A193" t="str">
            <v>AS8YWR60AXXA</v>
          </cell>
          <cell r="B193" t="str">
            <v>VS PROTO BY YOU 80-R 350</v>
          </cell>
          <cell r="C193">
            <v>84</v>
          </cell>
        </row>
        <row r="194">
          <cell r="A194" t="str">
            <v>AX096-WTX1AA</v>
          </cell>
          <cell r="B194" t="str">
            <v>Rogue Platinum 130 MSI 60-TX</v>
          </cell>
          <cell r="C194">
            <v>66</v>
          </cell>
        </row>
        <row r="195">
          <cell r="A195" t="str">
            <v>AX097-WTX1AA</v>
          </cell>
          <cell r="B195" t="str">
            <v>Rogue Platinum 130 MSI 70-TX</v>
          </cell>
          <cell r="C195">
            <v>75</v>
          </cell>
        </row>
        <row r="196">
          <cell r="A196" t="str">
            <v>AX098-WTX1AA</v>
          </cell>
          <cell r="B196" t="str">
            <v>Rogue Platinum 130 MSI 80-TX</v>
          </cell>
          <cell r="C196">
            <v>86</v>
          </cell>
        </row>
        <row r="197">
          <cell r="A197" t="str">
            <v>AX096-WTX1AB</v>
          </cell>
          <cell r="B197" t="str">
            <v>THE NEXT GENERATION ROGUE SILVER WITH 130 MSI 60TX</v>
          </cell>
          <cell r="C197">
            <v>66</v>
          </cell>
        </row>
        <row r="198">
          <cell r="A198" t="str">
            <v>AX097-WTX1AB</v>
          </cell>
          <cell r="B198" t="str">
            <v>THE NEXT GENERATION ROGUE SILVER WITH 130 MSI 70TX</v>
          </cell>
          <cell r="C198">
            <v>75.5</v>
          </cell>
        </row>
        <row r="199">
          <cell r="A199" t="str">
            <v>AX098-WTX1AB</v>
          </cell>
          <cell r="B199" t="str">
            <v>THE NEXT GENERATION ROGUE SILVER WITH 130 MSI 80TX</v>
          </cell>
          <cell r="C199">
            <v>85.5</v>
          </cell>
        </row>
        <row r="200">
          <cell r="A200" t="str">
            <v>AX066-WR-1AA</v>
          </cell>
          <cell r="B200" t="str">
            <v>Synergy wood 60 R-flex</v>
          </cell>
          <cell r="C200">
            <v>65.5</v>
          </cell>
        </row>
        <row r="201">
          <cell r="A201" t="str">
            <v>ASGLWS60AG6A</v>
          </cell>
          <cell r="B201" t="str">
            <v>ALD XTORSION MAMBA 60-S (GRN)</v>
          </cell>
          <cell r="C201">
            <v>65.5</v>
          </cell>
        </row>
        <row r="202">
          <cell r="A202" t="str">
            <v>AX080-WA-1AA</v>
          </cell>
          <cell r="B202" t="str">
            <v>Quaranta Sapphire 40 Flex-A</v>
          </cell>
          <cell r="C202">
            <v>47</v>
          </cell>
        </row>
        <row r="203">
          <cell r="A203" t="str">
            <v>AX080-WR-1AA</v>
          </cell>
          <cell r="B203" t="str">
            <v>Quaranta Sapphire 40 Flex-R</v>
          </cell>
          <cell r="C203">
            <v>49</v>
          </cell>
        </row>
        <row r="204">
          <cell r="A204" t="str">
            <v>AX080-WS-1AA</v>
          </cell>
          <cell r="B204" t="str">
            <v>Quaranta Sapphire 40 Flex-S</v>
          </cell>
          <cell r="C204">
            <v>51</v>
          </cell>
        </row>
        <row r="205">
          <cell r="A205" t="str">
            <v>AX088-WR-1AA</v>
          </cell>
          <cell r="B205" t="str">
            <v>Quaranta Sapphire 50 Flex-R</v>
          </cell>
          <cell r="C205">
            <v>52</v>
          </cell>
        </row>
        <row r="206">
          <cell r="A206" t="str">
            <v>AX088-WS-1AA</v>
          </cell>
          <cell r="B206" t="str">
            <v>Quaranta Sapphire 50 Flex-S</v>
          </cell>
          <cell r="C206">
            <v>55</v>
          </cell>
        </row>
        <row r="207">
          <cell r="A207" t="str">
            <v>AX088-WSR1AA</v>
          </cell>
          <cell r="B207" t="str">
            <v>Quaranta Sapphire 50 Flex-SR</v>
          </cell>
          <cell r="C207">
            <v>56.5</v>
          </cell>
        </row>
        <row r="208">
          <cell r="A208" t="str">
            <v>AU169-1A</v>
          </cell>
          <cell r="B208" t="str">
            <v>GRIP SLEEVE type1</v>
          </cell>
          <cell r="C208">
            <v>6</v>
          </cell>
        </row>
        <row r="209">
          <cell r="A209" t="str">
            <v>TE026-WR-1A</v>
          </cell>
          <cell r="B209" t="str">
            <v>TENSEI CK RED 2G WOOD SHAFT R-FLEX 50G</v>
          </cell>
          <cell r="C209">
            <v>57</v>
          </cell>
        </row>
        <row r="210">
          <cell r="A210" t="str">
            <v>TE026-WS-1A</v>
          </cell>
          <cell r="B210" t="str">
            <v>TENSEI CK RED 2G WOOD SHAFT S-FLEX 50G</v>
          </cell>
          <cell r="C210">
            <v>59.5</v>
          </cell>
        </row>
        <row r="211">
          <cell r="A211" t="str">
            <v>TE027-WS-1A</v>
          </cell>
          <cell r="B211" t="str">
            <v>TENSEI WHITE WOOD 70GRAM S</v>
          </cell>
          <cell r="C211">
            <v>75</v>
          </cell>
        </row>
        <row r="212">
          <cell r="A212" t="str">
            <v>TE027-WX-1A</v>
          </cell>
          <cell r="B212" t="str">
            <v>TENSEI WHITE WOOD 70GRAM X</v>
          </cell>
          <cell r="C212">
            <v>79.5</v>
          </cell>
        </row>
        <row r="213">
          <cell r="A213" t="str">
            <v>TE028-WR-1A</v>
          </cell>
          <cell r="B213" t="str">
            <v>TENSEI BLUE WOOD 60GRAM R</v>
          </cell>
          <cell r="C213">
            <v>64</v>
          </cell>
        </row>
        <row r="214">
          <cell r="A214" t="str">
            <v>TE028-WS-1A</v>
          </cell>
          <cell r="B214" t="str">
            <v>TENSEI BLUE WOOD 60GRAM R</v>
          </cell>
          <cell r="C214">
            <v>67</v>
          </cell>
        </row>
        <row r="215">
          <cell r="A215" t="str">
            <v>TE028-WX-1A</v>
          </cell>
          <cell r="B215" t="str">
            <v>TENSEI BLUE WOOD 60GRAM R</v>
          </cell>
          <cell r="C215">
            <v>70</v>
          </cell>
        </row>
        <row r="216">
          <cell r="A216" t="str">
            <v>TE029-IA-1A</v>
          </cell>
          <cell r="B216" t="str">
            <v>Tensei Hybrid A</v>
          </cell>
          <cell r="C216">
            <v>75</v>
          </cell>
        </row>
        <row r="217">
          <cell r="A217" t="str">
            <v>TE029-IR-1A</v>
          </cell>
          <cell r="B217" t="str">
            <v>Tensei Hybrid R</v>
          </cell>
          <cell r="C217">
            <v>77</v>
          </cell>
        </row>
        <row r="218">
          <cell r="A218" t="str">
            <v>TE029-IS-1A</v>
          </cell>
          <cell r="B218" t="str">
            <v>Tensei Hybrid S</v>
          </cell>
          <cell r="C218">
            <v>80</v>
          </cell>
        </row>
        <row r="219">
          <cell r="A219" t="str">
            <v>TE029-IX-1A</v>
          </cell>
          <cell r="B219" t="str">
            <v>Tensei Hybrid X</v>
          </cell>
          <cell r="C219">
            <v>83</v>
          </cell>
        </row>
        <row r="220">
          <cell r="A220" t="str">
            <v>ASBXIS05BXXA</v>
          </cell>
          <cell r="B220" t="str">
            <v>ALD VS PROTO 85-S #2 PAR</v>
          </cell>
          <cell r="C220">
            <v>87.5</v>
          </cell>
        </row>
        <row r="221">
          <cell r="A221" t="str">
            <v>TE029-IL-1A</v>
          </cell>
          <cell r="B221" t="str">
            <v>TENSEI CK BLUE HY/IR W/ SILVER TIP 60L</v>
          </cell>
          <cell r="C221">
            <v>70</v>
          </cell>
        </row>
        <row r="222">
          <cell r="A222" t="str">
            <v>TE030-WA-1A</v>
          </cell>
          <cell r="B222" t="str">
            <v>TENSEI CK BLUE 2G WOOD SHAFT A-FLEX 50G</v>
          </cell>
          <cell r="C222">
            <v>53</v>
          </cell>
        </row>
        <row r="223">
          <cell r="A223" t="str">
            <v>TE030-WL-1A</v>
          </cell>
          <cell r="B223" t="str">
            <v>TENSEI CK BLUE 2G WOOD SHAFT L-FLEX 50G</v>
          </cell>
          <cell r="C223">
            <v>50</v>
          </cell>
        </row>
        <row r="224">
          <cell r="A224" t="str">
            <v>TE030-WR-1A</v>
          </cell>
          <cell r="B224" t="str">
            <v>TENSEI CK BLUE 2G WOOD SHAFT R-FLEX 50G</v>
          </cell>
          <cell r="C224">
            <v>58</v>
          </cell>
        </row>
        <row r="225">
          <cell r="A225" t="str">
            <v>TE031-WS-1A</v>
          </cell>
          <cell r="B225" t="str">
            <v>TENSEI CK BLUE 2G WOOD SHAFT S-FLEX 70G</v>
          </cell>
          <cell r="C225">
            <v>75.5</v>
          </cell>
        </row>
        <row r="226">
          <cell r="A226" t="str">
            <v>MR101-IR-4A</v>
          </cell>
          <cell r="B226" t="str">
            <v>IDATEN IRON R</v>
          </cell>
          <cell r="C226">
            <v>58</v>
          </cell>
        </row>
        <row r="227">
          <cell r="A227" t="str">
            <v>ASGMWS60AG6A</v>
          </cell>
          <cell r="B227" t="str">
            <v xml:space="preserve"> ALD XTORSION MAMBA 70-S (GRN)</v>
          </cell>
          <cell r="C227">
            <v>73.5</v>
          </cell>
        </row>
        <row r="228">
          <cell r="A228" t="str">
            <v>TE026-WA-1A</v>
          </cell>
          <cell r="B228" t="str">
            <v>TENSEI CK RED 2G WOOD SHAFT A-FLEX 50G</v>
          </cell>
          <cell r="C228">
            <v>54</v>
          </cell>
        </row>
        <row r="229">
          <cell r="A229" t="str">
            <v>AS6LWR60AIFA</v>
          </cell>
          <cell r="B229" t="str">
            <v>NV 15th anniversary Blue 60R</v>
          </cell>
          <cell r="C229">
            <v>60</v>
          </cell>
        </row>
        <row r="230">
          <cell r="A230" t="str">
            <v>AS6LWS60AIFA</v>
          </cell>
          <cell r="B230" t="str">
            <v>NV 15th anniversary Blue 60S</v>
          </cell>
          <cell r="C230">
            <v>61.5</v>
          </cell>
        </row>
        <row r="231">
          <cell r="A231" t="str">
            <v>AS6LWY60AIFA</v>
          </cell>
          <cell r="B231" t="str">
            <v>NV 15th anniversary Blue 60TX</v>
          </cell>
          <cell r="C231">
            <v>61</v>
          </cell>
        </row>
        <row r="232">
          <cell r="A232" t="str">
            <v>AS7LWY60AIFA</v>
          </cell>
          <cell r="B232" t="str">
            <v>NV 15th anniversary Blue 70TX</v>
          </cell>
          <cell r="C232">
            <v>72.5</v>
          </cell>
        </row>
        <row r="233">
          <cell r="A233" t="str">
            <v>AS8LWY60AIFA</v>
          </cell>
          <cell r="B233" t="str">
            <v>NV 15th anniversary Blue 80TX</v>
          </cell>
          <cell r="C233">
            <v>84.5</v>
          </cell>
        </row>
        <row r="234">
          <cell r="A234" t="str">
            <v>ASGKWR60AG6A</v>
          </cell>
          <cell r="B234" t="str">
            <v xml:space="preserve"> ALD XTORSION MAMBA 50-R (GRN)</v>
          </cell>
          <cell r="C234">
            <v>55.5</v>
          </cell>
        </row>
        <row r="235">
          <cell r="A235" t="str">
            <v>ASNRWS60AIFA</v>
          </cell>
          <cell r="B235" t="str">
            <v>NV 15th anniversary Green 65S</v>
          </cell>
          <cell r="C235">
            <v>65</v>
          </cell>
        </row>
        <row r="236">
          <cell r="A236" t="str">
            <v>ASNRWX60AIFA</v>
          </cell>
          <cell r="B236" t="str">
            <v>NV 15th anniversary Green 65TX</v>
          </cell>
          <cell r="C236">
            <v>65</v>
          </cell>
        </row>
        <row r="237">
          <cell r="A237" t="str">
            <v>ASNSWS60AIFA</v>
          </cell>
          <cell r="B237" t="str">
            <v>NV 15th anniversary Green 75S</v>
          </cell>
          <cell r="C237">
            <v>72</v>
          </cell>
        </row>
        <row r="238">
          <cell r="A238" t="str">
            <v>ASNSWY60AIFA</v>
          </cell>
          <cell r="B238" t="str">
            <v>NV 15th anniversary Green 75TX</v>
          </cell>
          <cell r="C238">
            <v>74.5</v>
          </cell>
        </row>
        <row r="239">
          <cell r="A239" t="str">
            <v>ASNXWY60AIFA</v>
          </cell>
          <cell r="B239" t="str">
            <v>NV 15th anniversary Green 85TX</v>
          </cell>
          <cell r="C239">
            <v>85.5</v>
          </cell>
        </row>
        <row r="240">
          <cell r="A240" t="str">
            <v>ASBLWS60AB6A</v>
          </cell>
          <cell r="B240" t="str">
            <v>ALD XTORSION MAMBA 60-S (BLK)</v>
          </cell>
          <cell r="C240">
            <v>65.5</v>
          </cell>
        </row>
        <row r="241">
          <cell r="A241" t="str">
            <v>KMLKWTS60ADCA</v>
          </cell>
          <cell r="B241" t="str">
            <v>PING BALSAM ASIA X FLEX (DR)</v>
          </cell>
          <cell r="C241">
            <v>64</v>
          </cell>
        </row>
        <row r="242">
          <cell r="A242" t="str">
            <v>KMLKWTS45ADCA</v>
          </cell>
          <cell r="B242" t="str">
            <v>PING BOXWOOD ASIA X FLEX (FW)</v>
          </cell>
          <cell r="C242">
            <v>69</v>
          </cell>
        </row>
        <row r="243">
          <cell r="A243" t="str">
            <v>KMLKWS60ADCA</v>
          </cell>
          <cell r="B243" t="str">
            <v>PING BALSAM ASIA S FLEX (DR)</v>
          </cell>
          <cell r="C243">
            <v>59</v>
          </cell>
        </row>
        <row r="244">
          <cell r="A244" t="str">
            <v>KMLKWS45ADCA</v>
          </cell>
          <cell r="B244" t="str">
            <v>PING BOXWOOD ASIA S FLEX (FW)</v>
          </cell>
          <cell r="C244">
            <v>58.5</v>
          </cell>
        </row>
        <row r="245">
          <cell r="A245" t="str">
            <v>KMLKWR60ADCA</v>
          </cell>
          <cell r="B245" t="str">
            <v>PING BALSAM ASIA SR FLEX (DR)</v>
          </cell>
          <cell r="C245">
            <v>54</v>
          </cell>
        </row>
        <row r="246">
          <cell r="A246" t="str">
            <v>KMLKWR45ADCA</v>
          </cell>
          <cell r="B246" t="str">
            <v>PING BOXWOOD ASIA SR FLEX (FW)</v>
          </cell>
          <cell r="C246">
            <v>53.5</v>
          </cell>
        </row>
        <row r="247">
          <cell r="A247" t="str">
            <v>KMLKWA60ADCA</v>
          </cell>
          <cell r="B247" t="str">
            <v>PING BALSAM ASIA R FLEX (DR)</v>
          </cell>
          <cell r="C247">
            <v>48</v>
          </cell>
        </row>
        <row r="248">
          <cell r="A248" t="str">
            <v>KMLKWA45ADCA</v>
          </cell>
          <cell r="B248" t="str">
            <v>PING BOXWOOD ASIA R FLEX (FW)</v>
          </cell>
          <cell r="C248">
            <v>48</v>
          </cell>
        </row>
        <row r="249">
          <cell r="A249" t="str">
            <v>KMLKHTS00ADCA</v>
          </cell>
          <cell r="B249" t="str">
            <v>PING FIG ASIA X FLEX (HY)</v>
          </cell>
          <cell r="C249">
            <v>74</v>
          </cell>
        </row>
        <row r="250">
          <cell r="A250" t="str">
            <v>KMLKHS00ADCA</v>
          </cell>
          <cell r="B250" t="str">
            <v>PING FIG ASIA S FLEX (HY)</v>
          </cell>
          <cell r="C250">
            <v>63</v>
          </cell>
        </row>
        <row r="251">
          <cell r="A251" t="str">
            <v>KMLKHR00ADCA</v>
          </cell>
          <cell r="B251" t="str">
            <v>PING FIG ASIA SR FLEX (HY)</v>
          </cell>
          <cell r="C251">
            <v>57</v>
          </cell>
        </row>
        <row r="252">
          <cell r="A252" t="str">
            <v>KMLKHA00ADCA</v>
          </cell>
          <cell r="B252" t="str">
            <v>PING FIG ASIA R FLEX (HY)</v>
          </cell>
          <cell r="C252">
            <v>52</v>
          </cell>
        </row>
        <row r="253">
          <cell r="A253" t="str">
            <v>SF203-IR-1I</v>
          </cell>
          <cell r="B253" t="str">
            <v>BP391401 / JPN M2 RES / FUBUKI Cobranded TM6 R-FLEX</v>
          </cell>
          <cell r="C253">
            <v>59.5</v>
          </cell>
        </row>
        <row r="254">
          <cell r="A254" t="str">
            <v>SF203-IS-1I</v>
          </cell>
          <cell r="B254" t="str">
            <v>BP391301 / JPN M2 RES / FUBUKI Cobranded TM6 S-FLEX</v>
          </cell>
          <cell r="C254">
            <v>67</v>
          </cell>
        </row>
        <row r="255">
          <cell r="A255" t="str">
            <v>SF224-WR-1C</v>
          </cell>
          <cell r="B255" t="str">
            <v>BP390001 / JPN M2 DR/FW / FUBUKI Cobranded TM5 R-FLEX</v>
          </cell>
          <cell r="C255">
            <v>51</v>
          </cell>
        </row>
        <row r="256">
          <cell r="A256" t="str">
            <v>SF224-WS-1C</v>
          </cell>
          <cell r="B256" t="str">
            <v>BP389801 / JPN M2 DR/FW / FUBUKI Cobranded TM5 S-FLEX</v>
          </cell>
          <cell r="C256">
            <v>56</v>
          </cell>
        </row>
        <row r="257">
          <cell r="A257" t="str">
            <v>SF224-WSR1C</v>
          </cell>
          <cell r="B257" t="str">
            <v>BP389901 / JPN M2 DR/FW / FUBUKI Cobranded TM5 SR-FLEX</v>
          </cell>
          <cell r="C257">
            <v>56</v>
          </cell>
        </row>
        <row r="258">
          <cell r="A258" t="str">
            <v>SF203-IR-1J</v>
          </cell>
          <cell r="B258" t="str">
            <v>AD889201 / JPN M2 IR / FUBUKI Cobranded TM6 R-FLEX</v>
          </cell>
          <cell r="C258">
            <v>59.5</v>
          </cell>
        </row>
        <row r="259">
          <cell r="A259" t="str">
            <v>SF203-IR-1K</v>
          </cell>
          <cell r="B259" t="str">
            <v>SF203-IR-1K</v>
          </cell>
          <cell r="C259">
            <v>59.5</v>
          </cell>
        </row>
        <row r="260">
          <cell r="A260" t="str">
            <v>SF203-IS-1J</v>
          </cell>
          <cell r="B260" t="str">
            <v>AD889101 / JPN M2 IR / FUBUKI Cobranded TM6 S-FLEX</v>
          </cell>
          <cell r="C260">
            <v>67</v>
          </cell>
        </row>
        <row r="261">
          <cell r="A261" t="str">
            <v>SF203-IS-1K</v>
          </cell>
          <cell r="B261" t="str">
            <v>SF203-IS-1K</v>
          </cell>
          <cell r="C261">
            <v>67</v>
          </cell>
        </row>
        <row r="262">
          <cell r="A262" t="str">
            <v>SF227-IL-1C</v>
          </cell>
          <cell r="B262" t="str">
            <v>SF227-IL-1C</v>
          </cell>
          <cell r="C262">
            <v>56.5</v>
          </cell>
        </row>
        <row r="263">
          <cell r="A263" t="str">
            <v>CW090-WR-1A</v>
          </cell>
          <cell r="B263" t="str">
            <v>3504E2/ SF WD MCA TENSEI AV BLUE 60 GR REG</v>
          </cell>
          <cell r="C263">
            <v>65</v>
          </cell>
        </row>
        <row r="264">
          <cell r="A264" t="str">
            <v>CW090-WS-1A</v>
          </cell>
          <cell r="B264" t="str">
            <v>3504E3/ SF WD MCA TENSEI AV BLUE 60 GR STF</v>
          </cell>
          <cell r="C264">
            <v>66.5</v>
          </cell>
        </row>
        <row r="265">
          <cell r="A265" t="str">
            <v>CW091-WR-1A</v>
          </cell>
          <cell r="B265" t="str">
            <v>3514E2/SF WD MCA TENSEI AV BLUE 70 GR REG</v>
          </cell>
          <cell r="C265">
            <v>70.5</v>
          </cell>
        </row>
        <row r="266">
          <cell r="A266" t="str">
            <v>CW091-WS-1A</v>
          </cell>
          <cell r="B266" t="str">
            <v>3514E3/ SF WD MCA TENSEI AV BLUE 70  STF</v>
          </cell>
          <cell r="C266">
            <v>75.5</v>
          </cell>
        </row>
        <row r="267">
          <cell r="A267" t="str">
            <v>SF235-WR-1A</v>
          </cell>
          <cell r="B267" t="str">
            <v>TENSEI ORANGE FOR YODA 60GRAM R</v>
          </cell>
          <cell r="C267">
            <v>66.5</v>
          </cell>
        </row>
        <row r="268">
          <cell r="A268" t="str">
            <v>SF235-WS-1A</v>
          </cell>
          <cell r="B268" t="str">
            <v>TENSEI ORANGE FOR YODA 60GRAM S</v>
          </cell>
          <cell r="C268">
            <v>69.5</v>
          </cell>
        </row>
        <row r="269">
          <cell r="A269" t="str">
            <v>SF236-WR-3A</v>
          </cell>
          <cell r="B269" t="str">
            <v>TENSEI ORANGE FOR YODA FAIRWAY R</v>
          </cell>
          <cell r="C269">
            <v>68</v>
          </cell>
        </row>
        <row r="270">
          <cell r="A270" t="str">
            <v>SF236-WS-3A</v>
          </cell>
          <cell r="B270" t="str">
            <v>TENSEI ORANGE FOR YODA FAIRWAY S</v>
          </cell>
          <cell r="C270">
            <v>70.5</v>
          </cell>
        </row>
        <row r="271">
          <cell r="A271" t="str">
            <v>SF204-IR-1J</v>
          </cell>
          <cell r="B271" t="str">
            <v>19' KUROKAGE Cobranded TM6 (IR)R</v>
          </cell>
          <cell r="C271">
            <v>67</v>
          </cell>
        </row>
        <row r="272">
          <cell r="A272" t="str">
            <v>SF204-IS-1J</v>
          </cell>
          <cell r="B272" t="str">
            <v>19' KUROKAGE Cobranded TM6 (IR)S</v>
          </cell>
          <cell r="C272">
            <v>72.5</v>
          </cell>
        </row>
        <row r="273">
          <cell r="A273" t="str">
            <v>AX096-WR-1AB</v>
          </cell>
          <cell r="B273" t="str">
            <v>NEXT GEN. ROGUE SILVER WITH 130 MSI 60S</v>
          </cell>
          <cell r="C273">
            <v>62</v>
          </cell>
        </row>
        <row r="274">
          <cell r="A274" t="str">
            <v>AX096-WS-1AB</v>
          </cell>
          <cell r="B274" t="str">
            <v>NEXT GEN. ROGUE SILVER WITH 130 MSI 70S</v>
          </cell>
          <cell r="C274">
            <v>64.5</v>
          </cell>
        </row>
        <row r="275">
          <cell r="A275" t="str">
            <v>AX097-WS-1AB</v>
          </cell>
          <cell r="B275" t="str">
            <v>NEXT GEN. ROGUE SILVER WITH 130 MSI 70S</v>
          </cell>
          <cell r="C275">
            <v>73.5</v>
          </cell>
        </row>
        <row r="276">
          <cell r="A276" t="str">
            <v>SF203-IR-1L</v>
          </cell>
          <cell r="B276" t="str">
            <v>TAYLORMADE JPN M4 IRON R-FLEX</v>
          </cell>
          <cell r="C276">
            <v>59.5</v>
          </cell>
        </row>
        <row r="277">
          <cell r="A277" t="str">
            <v>SF203-IS-1L</v>
          </cell>
          <cell r="B277" t="str">
            <v>TAYLORMADE JPN M4 IRON S-FLEX</v>
          </cell>
          <cell r="C277">
            <v>67</v>
          </cell>
        </row>
        <row r="278">
          <cell r="A278" t="str">
            <v>CW091-WX-1A</v>
          </cell>
          <cell r="B278" t="str">
            <v>3514E4/ SF WD MCA TENSEI AV BLUE 70  XST</v>
          </cell>
          <cell r="C278">
            <v>77.5</v>
          </cell>
        </row>
        <row r="279">
          <cell r="A279" t="str">
            <v>CW090-WX-1A</v>
          </cell>
          <cell r="B279" t="str">
            <v>3504E4/ SF WD MCA TENSEI AV BLUE 60 GR XST</v>
          </cell>
          <cell r="C279">
            <v>67.5</v>
          </cell>
        </row>
        <row r="280">
          <cell r="A280" t="str">
            <v>SF237-IR-1A</v>
          </cell>
          <cell r="B280" t="str">
            <v>N7111801/TENSEI IR ORANGE</v>
          </cell>
          <cell r="C280">
            <v>79.5</v>
          </cell>
        </row>
        <row r="281">
          <cell r="A281" t="str">
            <v>SF237-IS-1A</v>
          </cell>
          <cell r="B281" t="str">
            <v>N7111701/TENSEI IR ORANGE</v>
          </cell>
          <cell r="C281">
            <v>82.5</v>
          </cell>
        </row>
        <row r="282">
          <cell r="A282" t="str">
            <v>SF224-WS-1E</v>
          </cell>
          <cell r="B282" t="str">
            <v>19' FUBUKI Cobranded TM5S</v>
          </cell>
          <cell r="C282">
            <v>57</v>
          </cell>
        </row>
        <row r="283">
          <cell r="A283" t="str">
            <v>SF227-IL-1D</v>
          </cell>
          <cell r="B283" t="str">
            <v>TAYLORMADE M4 IRON L-FLEX</v>
          </cell>
          <cell r="C283">
            <v>56.5</v>
          </cell>
        </row>
        <row r="284">
          <cell r="A284" t="str">
            <v>AX076-WTX1AB</v>
          </cell>
          <cell r="B284" t="str">
            <v>ALDILA TOUR GREEN W/GRAPHENE 65 TX</v>
          </cell>
          <cell r="C284">
            <v>67</v>
          </cell>
        </row>
        <row r="285">
          <cell r="A285" t="str">
            <v>AX077-WTX1AB</v>
          </cell>
          <cell r="B285" t="str">
            <v>ALDILA TOUR GREEN W/GRAPHENE 75 TX</v>
          </cell>
          <cell r="C285">
            <v>76.5</v>
          </cell>
        </row>
        <row r="286">
          <cell r="A286" t="str">
            <v>AX078-WTX1AB</v>
          </cell>
          <cell r="B286" t="str">
            <v>ALDILA TOUR GREEN W/GRAPHENE 85 TX</v>
          </cell>
          <cell r="C286">
            <v>87.5</v>
          </cell>
        </row>
        <row r="287">
          <cell r="A287" t="str">
            <v>SF209-WL-1D</v>
          </cell>
          <cell r="B287" t="str">
            <v>19' FUBUKI Cobranded TM4L</v>
          </cell>
          <cell r="C287">
            <v>48.5</v>
          </cell>
        </row>
        <row r="288">
          <cell r="A288" t="str">
            <v>SF224-WR-1E</v>
          </cell>
          <cell r="B288" t="str">
            <v>19' FUBUKI Cobranded TM5R</v>
          </cell>
          <cell r="C288">
            <v>52</v>
          </cell>
        </row>
        <row r="289">
          <cell r="A289" t="str">
            <v>SF224-WSR1E</v>
          </cell>
          <cell r="B289" t="str">
            <v>19' FUBUKI Cobranded TM5SR</v>
          </cell>
          <cell r="C289">
            <v>54.5</v>
          </cell>
        </row>
        <row r="290">
          <cell r="A290" t="str">
            <v>SF224-WX-1D</v>
          </cell>
          <cell r="B290" t="str">
            <v>19' KUROKAGE Cobranded TM5S</v>
          </cell>
          <cell r="C290">
            <v>60</v>
          </cell>
        </row>
        <row r="291">
          <cell r="A291" t="str">
            <v>AX107-WTX1AA</v>
          </cell>
          <cell r="B291" t="str">
            <v>NEXT GEN TOUR BLUE 60 TX</v>
          </cell>
          <cell r="C291">
            <v>67</v>
          </cell>
        </row>
        <row r="292">
          <cell r="A292" t="str">
            <v>AX108-WTX1AA</v>
          </cell>
          <cell r="B292" t="str">
            <v>NEXT GEN TOUR BLUE 70 TX</v>
          </cell>
          <cell r="C292">
            <v>75</v>
          </cell>
        </row>
        <row r="293">
          <cell r="A293" t="str">
            <v>AX109-WTX1AA</v>
          </cell>
          <cell r="B293" t="str">
            <v>NEXT GEN TOUR BLUE 80 TX</v>
          </cell>
          <cell r="C293">
            <v>85.5</v>
          </cell>
        </row>
        <row r="294">
          <cell r="A294" t="str">
            <v>AX110-ITX1AA</v>
          </cell>
          <cell r="B294" t="str">
            <v>NEXT GEN TOUR BLACK HYBRID 85TX</v>
          </cell>
          <cell r="C294">
            <v>85</v>
          </cell>
        </row>
        <row r="295">
          <cell r="A295" t="str">
            <v>AX111-ITX1AA</v>
          </cell>
          <cell r="B295" t="str">
            <v>NEXT GEN TOUR BLACK HYBRID 95TX</v>
          </cell>
          <cell r="C295">
            <v>95</v>
          </cell>
        </row>
        <row r="296">
          <cell r="A296" t="str">
            <v>AX112-ITX1AA</v>
          </cell>
          <cell r="B296" t="str">
            <v>NEXT GEN TOUR BLACK HYBRID 105TX</v>
          </cell>
          <cell r="C296">
            <v>105</v>
          </cell>
        </row>
        <row r="297">
          <cell r="A297" t="str">
            <v>MR103-WR-1A</v>
          </cell>
          <cell r="B297" t="str">
            <v>18 SHUTTLE TYPE-X R</v>
          </cell>
          <cell r="C297">
            <v>49.5</v>
          </cell>
        </row>
        <row r="298">
          <cell r="A298" t="str">
            <v>MR103-WSR1A</v>
          </cell>
          <cell r="B298" t="str">
            <v>18 SHUTTLE TYPE-X SR</v>
          </cell>
          <cell r="C298">
            <v>52.5</v>
          </cell>
        </row>
        <row r="299">
          <cell r="A299" t="str">
            <v>SF224-WS-1D</v>
          </cell>
          <cell r="B299" t="str">
            <v>19' KUROKAGE Cobranded TM5SR</v>
          </cell>
          <cell r="C299">
            <v>57.5</v>
          </cell>
        </row>
        <row r="300">
          <cell r="A300" t="str">
            <v>SF224-WSR1D</v>
          </cell>
          <cell r="B300" t="str">
            <v>19' KUROKAGE Cobranded TM5R</v>
          </cell>
          <cell r="C300">
            <v>55</v>
          </cell>
        </row>
        <row r="301">
          <cell r="A301" t="str">
            <v>SF236-WX-3A</v>
          </cell>
          <cell r="B301" t="str">
            <v>TENSEI ORANGE FOR YODA FAIRWAY X</v>
          </cell>
          <cell r="C301">
            <v>73</v>
          </cell>
        </row>
        <row r="302">
          <cell r="A302" t="str">
            <v>SF235-WX-1A</v>
          </cell>
          <cell r="B302" t="str">
            <v>TENSEI ORANGE FOR YODA 60GRAM X</v>
          </cell>
          <cell r="C302">
            <v>72.5</v>
          </cell>
        </row>
        <row r="303">
          <cell r="A303" t="str">
            <v>SF209-WA-1D</v>
          </cell>
          <cell r="B303" t="str">
            <v>FUBUKI COBRANDED TM4 A-FLEX</v>
          </cell>
          <cell r="C303">
            <v>50.5</v>
          </cell>
        </row>
        <row r="304">
          <cell r="A304" t="str">
            <v>AX104-WTX1AA</v>
          </cell>
          <cell r="B304" t="str">
            <v>ROGUE BLACK 130 MSI 60 TX</v>
          </cell>
          <cell r="C304">
            <v>64.5</v>
          </cell>
        </row>
        <row r="305">
          <cell r="A305" t="str">
            <v>AX105-WTX1AA</v>
          </cell>
          <cell r="B305" t="str">
            <v>ROGUE BLACK 130 MSI 70 TX</v>
          </cell>
          <cell r="C305">
            <v>77</v>
          </cell>
        </row>
        <row r="306">
          <cell r="A306" t="str">
            <v>AX106-WTX1AA</v>
          </cell>
          <cell r="B306" t="str">
            <v>ROGUE BLACK 130 MSI 80 TX</v>
          </cell>
          <cell r="C306">
            <v>86</v>
          </cell>
        </row>
        <row r="307">
          <cell r="A307" t="str">
            <v>MR103-WR-1B</v>
          </cell>
          <cell r="B307" t="str">
            <v>18 SHUTTLE TYPE-X R</v>
          </cell>
          <cell r="C307">
            <v>49.5</v>
          </cell>
        </row>
        <row r="308">
          <cell r="A308" t="str">
            <v>MR103-WSR1B</v>
          </cell>
          <cell r="B308" t="str">
            <v>18 SHUTTLE TYPE-X SR</v>
          </cell>
          <cell r="C308">
            <v>52.5</v>
          </cell>
        </row>
        <row r="309">
          <cell r="A309" t="str">
            <v>MR097-WSR1A</v>
          </cell>
          <cell r="B309" t="str">
            <v>19 SHUTTLE GOLD DRIVER SR</v>
          </cell>
          <cell r="C309">
            <v>55</v>
          </cell>
        </row>
        <row r="310">
          <cell r="A310" t="str">
            <v>MR097-WS-1A</v>
          </cell>
          <cell r="B310" t="str">
            <v>19 SHUTTLE GOLD DRIVER SR</v>
          </cell>
          <cell r="C310">
            <v>60</v>
          </cell>
        </row>
        <row r="311">
          <cell r="A311" t="str">
            <v>MR097-WR-1A</v>
          </cell>
          <cell r="B311" t="str">
            <v>19 SHUTTLE GOLD DRIVER R</v>
          </cell>
          <cell r="C311">
            <v>53</v>
          </cell>
        </row>
        <row r="312">
          <cell r="A312" t="str">
            <v>MR103-IR-4A</v>
          </cell>
          <cell r="B312" t="str">
            <v>18 SHUTTLE TYPE-X R</v>
          </cell>
          <cell r="C312">
            <v>56.5</v>
          </cell>
        </row>
        <row r="313">
          <cell r="A313" t="str">
            <v>MR103-ISR4A</v>
          </cell>
          <cell r="B313" t="str">
            <v>18 SHUTTLE TYPE-X SR</v>
          </cell>
          <cell r="C313">
            <v>58.5</v>
          </cell>
        </row>
        <row r="314">
          <cell r="A314" t="str">
            <v>MR103-UR-1A</v>
          </cell>
          <cell r="B314" t="str">
            <v>18 SHUTTLE TYPE-X R</v>
          </cell>
          <cell r="C314">
            <v>53</v>
          </cell>
        </row>
        <row r="315">
          <cell r="A315" t="str">
            <v>MR103-USR1A</v>
          </cell>
          <cell r="B315" t="str">
            <v>18 SHUTTLE TYPE-X SR</v>
          </cell>
          <cell r="C315">
            <v>54.5</v>
          </cell>
        </row>
        <row r="316">
          <cell r="A316" t="str">
            <v>MR103-WR-3A</v>
          </cell>
          <cell r="B316" t="str">
            <v>18 SHUTTLE TYPE-X R</v>
          </cell>
          <cell r="C316">
            <v>50</v>
          </cell>
        </row>
        <row r="317">
          <cell r="A317" t="str">
            <v>MR103-WSR3A</v>
          </cell>
          <cell r="B317" t="str">
            <v>18 SHUTTLE TYPE-X SR</v>
          </cell>
          <cell r="C317">
            <v>52</v>
          </cell>
        </row>
        <row r="318">
          <cell r="A318" t="str">
            <v>SU024-IR-1A</v>
          </cell>
          <cell r="B318" t="str">
            <v>X103 HYBRID R-FLEX</v>
          </cell>
          <cell r="C318">
            <v>67</v>
          </cell>
        </row>
        <row r="319">
          <cell r="A319" t="str">
            <v>SU024-IS-1A</v>
          </cell>
          <cell r="B319" t="str">
            <v>X103 HYBRID S-FLEX</v>
          </cell>
          <cell r="C319">
            <v>71.5</v>
          </cell>
        </row>
        <row r="320">
          <cell r="A320" t="str">
            <v>SU024-WL-1A</v>
          </cell>
          <cell r="B320" t="str">
            <v>X104 WOOD L-FLEX</v>
          </cell>
          <cell r="C320">
            <v>56</v>
          </cell>
        </row>
        <row r="321">
          <cell r="A321" t="str">
            <v>SU024-WR-1A</v>
          </cell>
          <cell r="B321" t="str">
            <v>X103 WOOD R-FLEX</v>
          </cell>
          <cell r="C321">
            <v>62</v>
          </cell>
        </row>
        <row r="322">
          <cell r="A322" t="str">
            <v>SU024-WS-1A</v>
          </cell>
          <cell r="B322" t="str">
            <v>X103 WOOD S-FLEX</v>
          </cell>
          <cell r="C322">
            <v>64</v>
          </cell>
        </row>
        <row r="323">
          <cell r="A323" t="str">
            <v>MR097-IR-4A</v>
          </cell>
          <cell r="B323" t="str">
            <v>19 SHUTTLE GOLD IRON R</v>
          </cell>
          <cell r="C323">
            <v>58</v>
          </cell>
        </row>
        <row r="324">
          <cell r="A324" t="str">
            <v>MR097-ISR4A</v>
          </cell>
          <cell r="B324" t="str">
            <v>19 SHUTTLE GOLD IRON SR</v>
          </cell>
          <cell r="C324">
            <v>59</v>
          </cell>
        </row>
        <row r="325">
          <cell r="A325" t="str">
            <v>MR097-UR-1A</v>
          </cell>
          <cell r="B325" t="str">
            <v>19 SHUTTLE GOLD UTILITY R</v>
          </cell>
          <cell r="C325">
            <v>55</v>
          </cell>
        </row>
        <row r="326">
          <cell r="A326" t="str">
            <v>MR097-US-1A</v>
          </cell>
          <cell r="B326" t="str">
            <v>19 SHUTTLE GOLD UTILITY S</v>
          </cell>
          <cell r="C326">
            <v>60.5</v>
          </cell>
        </row>
        <row r="327">
          <cell r="A327" t="str">
            <v>MR097-USR1A</v>
          </cell>
          <cell r="B327" t="str">
            <v>19 SHUTTLE GOLD UTILITY SR</v>
          </cell>
          <cell r="C327">
            <v>56.5</v>
          </cell>
        </row>
        <row r="328">
          <cell r="A328" t="str">
            <v>MR097-WR-3A</v>
          </cell>
          <cell r="B328" t="str">
            <v>19 SHUTTLE GOLD FAIRWAY R</v>
          </cell>
          <cell r="C328">
            <v>51.5</v>
          </cell>
        </row>
        <row r="329">
          <cell r="A329" t="str">
            <v>MR097-WS-3A</v>
          </cell>
          <cell r="B329" t="str">
            <v>19 SHUTTLE GOLD FAIRWAY S</v>
          </cell>
          <cell r="C329">
            <v>58</v>
          </cell>
        </row>
        <row r="330">
          <cell r="A330" t="str">
            <v>MR097-WSR3A</v>
          </cell>
          <cell r="B330" t="str">
            <v>19 SHUTTLE GOLD FAIRWAY SR</v>
          </cell>
          <cell r="C330">
            <v>53.5</v>
          </cell>
        </row>
        <row r="331">
          <cell r="A331" t="str">
            <v>AX103-WTX1AA</v>
          </cell>
          <cell r="B331" t="str">
            <v>ROGUE WHITE 130 MSI 70 TX-Flex</v>
          </cell>
          <cell r="C331">
            <v>78</v>
          </cell>
        </row>
        <row r="332">
          <cell r="A332" t="str">
            <v>AX116-WTX1AA</v>
          </cell>
          <cell r="B332" t="str">
            <v>ROGUE WHITE 130 MSI 60 TX-Flex</v>
          </cell>
          <cell r="C332">
            <v>70</v>
          </cell>
        </row>
        <row r="333">
          <cell r="A333" t="str">
            <v>AX117-WTX1AA</v>
          </cell>
          <cell r="B333" t="str">
            <v>ROGUE WHITE 130 MSI 80 TX-Flex</v>
          </cell>
          <cell r="C333">
            <v>88</v>
          </cell>
        </row>
        <row r="334">
          <cell r="A334" t="str">
            <v>ASG5WX60AQZA</v>
          </cell>
          <cell r="B334" t="str">
            <v>ALDILA NEXT GEN-NV- 55-X</v>
          </cell>
          <cell r="C334">
            <v>58.5</v>
          </cell>
        </row>
        <row r="335">
          <cell r="A335" t="str">
            <v>MR097-IL-5A</v>
          </cell>
          <cell r="B335" t="str">
            <v>19 SHUTTLE GOLD IRON L</v>
          </cell>
          <cell r="C335">
            <v>47</v>
          </cell>
        </row>
        <row r="336">
          <cell r="A336" t="str">
            <v>MR097-UL-3A</v>
          </cell>
          <cell r="B336" t="str">
            <v>19 SHUTTLE GOLD UTILITY L</v>
          </cell>
          <cell r="C336">
            <v>43.5</v>
          </cell>
        </row>
        <row r="337">
          <cell r="A337" t="str">
            <v>MR097-WL-1A</v>
          </cell>
          <cell r="B337" t="str">
            <v>19 SHUTTLE GOLD DRIVER L</v>
          </cell>
          <cell r="C337">
            <v>45</v>
          </cell>
        </row>
        <row r="338">
          <cell r="A338" t="str">
            <v>MR097-WL-3A</v>
          </cell>
          <cell r="B338" t="str">
            <v>19 SHUTTLE GOLD FAIRWAY L</v>
          </cell>
          <cell r="C338">
            <v>45</v>
          </cell>
        </row>
        <row r="339">
          <cell r="A339" t="str">
            <v>ASG5WA60AQZA</v>
          </cell>
          <cell r="B339" t="str">
            <v>NEXT GEN.  NV 55 A-flex</v>
          </cell>
          <cell r="C339">
            <v>56.5</v>
          </cell>
        </row>
        <row r="340">
          <cell r="A340" t="str">
            <v>ASG5WL60AMEA</v>
          </cell>
          <cell r="B340" t="str">
            <v>NEXT GEN.  NV 55 L-flex</v>
          </cell>
          <cell r="C340">
            <v>55.5</v>
          </cell>
        </row>
        <row r="341">
          <cell r="A341" t="str">
            <v>ASG5WR60AQZA</v>
          </cell>
          <cell r="B341" t="str">
            <v>NEXT GEN.  NV 55 R-flex</v>
          </cell>
          <cell r="C341">
            <v>56.5</v>
          </cell>
        </row>
        <row r="342">
          <cell r="A342" t="str">
            <v>ASG5WS60BQZA</v>
          </cell>
          <cell r="B342" t="str">
            <v>NEXT GEN.  NV 55 S-flex</v>
          </cell>
          <cell r="C342">
            <v>58.5</v>
          </cell>
        </row>
        <row r="343">
          <cell r="A343" t="str">
            <v>ASG6WR60AQZA</v>
          </cell>
          <cell r="B343" t="str">
            <v>NEXT GEN.  NV 65 R-flex</v>
          </cell>
          <cell r="C343">
            <v>67.5</v>
          </cell>
        </row>
        <row r="344">
          <cell r="A344" t="str">
            <v>ASG6WS60BQZA</v>
          </cell>
          <cell r="B344" t="str">
            <v>NEXT GEN.  NV 65 S-flex</v>
          </cell>
          <cell r="C344">
            <v>68.5</v>
          </cell>
        </row>
        <row r="345">
          <cell r="A345" t="str">
            <v>ASG6WX60AQZA</v>
          </cell>
          <cell r="B345" t="str">
            <v>NEXT GEN. NV 65 X-flex</v>
          </cell>
          <cell r="C345">
            <v>68.5</v>
          </cell>
        </row>
        <row r="346">
          <cell r="A346" t="str">
            <v>ASG7WR60AQZA</v>
          </cell>
          <cell r="B346" t="str">
            <v>NEXT GEN.  NV 75 R-flex</v>
          </cell>
          <cell r="C346">
            <v>77.5</v>
          </cell>
        </row>
        <row r="347">
          <cell r="A347" t="str">
            <v>ASG7WS60BQZA</v>
          </cell>
          <cell r="B347" t="str">
            <v>NEXT GEN.  NV 75 S-flex</v>
          </cell>
          <cell r="C347">
            <v>79.5</v>
          </cell>
        </row>
        <row r="348">
          <cell r="A348" t="str">
            <v>ASG7WX60AQZA</v>
          </cell>
          <cell r="B348" t="str">
            <v>NEXT GEN.  NV 75 X-flex</v>
          </cell>
          <cell r="C348">
            <v>78.5</v>
          </cell>
        </row>
        <row r="349">
          <cell r="A349" t="str">
            <v>ASN5WA60AAYA</v>
          </cell>
          <cell r="B349" t="str">
            <v>NEXT GEN. NVS 55 A-flex</v>
          </cell>
          <cell r="C349">
            <v>57.5</v>
          </cell>
        </row>
        <row r="350">
          <cell r="A350" t="str">
            <v>ASN5WR60AAYA</v>
          </cell>
          <cell r="B350" t="str">
            <v>NEXT GEN. NVS 55 R-flex</v>
          </cell>
          <cell r="C350">
            <v>58.5</v>
          </cell>
        </row>
        <row r="351">
          <cell r="A351" t="str">
            <v>ASN5WS60AAYA</v>
          </cell>
          <cell r="B351" t="str">
            <v>NEXT GEN. NVS 55 S-flex</v>
          </cell>
          <cell r="C351">
            <v>58.5</v>
          </cell>
        </row>
        <row r="352">
          <cell r="A352" t="str">
            <v>ASN6WR60AAYA</v>
          </cell>
          <cell r="B352" t="str">
            <v>NEXT GEN. NVS 65 R-flex</v>
          </cell>
          <cell r="C352">
            <v>68.5</v>
          </cell>
        </row>
        <row r="353">
          <cell r="A353" t="str">
            <v>ASN6WS60AAYA</v>
          </cell>
          <cell r="B353" t="str">
            <v>NEXT GEN. NVS 65 S-flex</v>
          </cell>
          <cell r="C353">
            <v>68.5</v>
          </cell>
        </row>
        <row r="354">
          <cell r="A354" t="str">
            <v>ASN4WA60AAYA</v>
          </cell>
          <cell r="B354" t="str">
            <v>NEXT GEN. NVS 45 A-flex</v>
          </cell>
          <cell r="C354">
            <v>47.5</v>
          </cell>
        </row>
        <row r="355">
          <cell r="A355" t="str">
            <v>ASN4WL60AMEA</v>
          </cell>
          <cell r="B355" t="str">
            <v>NEXT GEN. NVS 45 L-flex</v>
          </cell>
          <cell r="C355">
            <v>47.5</v>
          </cell>
        </row>
        <row r="356">
          <cell r="A356" t="str">
            <v>ASB8IR20AAYA</v>
          </cell>
          <cell r="B356" t="str">
            <v>NEXT GEN. NVS Hybrid 85 R-flex</v>
          </cell>
          <cell r="C356">
            <v>80.5</v>
          </cell>
        </row>
        <row r="357">
          <cell r="A357" t="str">
            <v>ASB8IS20AAYA</v>
          </cell>
          <cell r="B357" t="str">
            <v>NEXT GEN. NVS Hybrid 85 S-flex</v>
          </cell>
          <cell r="C357">
            <v>82</v>
          </cell>
        </row>
        <row r="358">
          <cell r="A358" t="str">
            <v>AS5AIL20AMEA</v>
          </cell>
          <cell r="B358" t="str">
            <v>NEXT GEN.  NV Hybrid 55 L-flex</v>
          </cell>
          <cell r="C358">
            <v>57.5</v>
          </cell>
        </row>
        <row r="359">
          <cell r="A359" t="str">
            <v>ASG8IR20AQZA</v>
          </cell>
          <cell r="B359" t="str">
            <v>NEXT GEN.  NV Hybrid 85 R-flex</v>
          </cell>
          <cell r="C359">
            <v>81.5</v>
          </cell>
        </row>
        <row r="360">
          <cell r="A360" t="str">
            <v>ASG8IS20AQZA</v>
          </cell>
          <cell r="B360" t="str">
            <v>NEXT GEN.  NV Hybrid 85 S-flex</v>
          </cell>
          <cell r="C360">
            <v>81.5</v>
          </cell>
        </row>
        <row r="361">
          <cell r="A361" t="str">
            <v>ASG8IX20AQZA</v>
          </cell>
          <cell r="B361" t="str">
            <v>NEXT GEN.  NV Hybrid 85 X-flex</v>
          </cell>
          <cell r="C361">
            <v>82.5</v>
          </cell>
        </row>
        <row r="362">
          <cell r="A362" t="str">
            <v>ASN4WR60AAYA</v>
          </cell>
          <cell r="B362" t="str">
            <v>ALDILA NEXT GEN-NVS 45 R</v>
          </cell>
          <cell r="C362">
            <v>47.5</v>
          </cell>
        </row>
        <row r="363">
          <cell r="A363" t="str">
            <v>CW092-IA-3A</v>
          </cell>
          <cell r="B363" t="str">
            <v>GEDDY TENSEI AV IRON 60A</v>
          </cell>
          <cell r="C363">
            <v>61</v>
          </cell>
        </row>
        <row r="364">
          <cell r="A364" t="str">
            <v>CW092-IR-3A</v>
          </cell>
          <cell r="B364" t="str">
            <v>GEDDY TENSEI AV IRON 60R</v>
          </cell>
          <cell r="C364">
            <v>63.5</v>
          </cell>
        </row>
        <row r="365">
          <cell r="A365" t="str">
            <v>CW092-IS-3A</v>
          </cell>
          <cell r="B365" t="str">
            <v>GEDDY TENSEI AV IRON 60S</v>
          </cell>
          <cell r="C365">
            <v>66</v>
          </cell>
        </row>
        <row r="366">
          <cell r="A366" t="str">
            <v>SF241-WR-1A</v>
          </cell>
          <cell r="B366" t="str">
            <v>TAYLORMADE MINI DR R-FLEX</v>
          </cell>
          <cell r="C366">
            <v>59</v>
          </cell>
        </row>
        <row r="367">
          <cell r="A367" t="str">
            <v>SF241-WS-1A</v>
          </cell>
          <cell r="B367" t="str">
            <v>TAYLORMADE MINI DR S-FLEX</v>
          </cell>
          <cell r="C367">
            <v>62.5</v>
          </cell>
        </row>
        <row r="368">
          <cell r="A368" t="str">
            <v>SF241-WX-1A</v>
          </cell>
          <cell r="B368" t="str">
            <v>TAYLORMADE MINI DR X-FLEX</v>
          </cell>
          <cell r="C368">
            <v>76</v>
          </cell>
        </row>
        <row r="369">
          <cell r="A369" t="str">
            <v>CW096-IA-3A</v>
          </cell>
          <cell r="B369" t="str">
            <v>GEDDY TENSEI AV HYB 60A</v>
          </cell>
          <cell r="C369">
            <v>65.5</v>
          </cell>
        </row>
        <row r="370">
          <cell r="A370" t="str">
            <v>CW096-IR-3A</v>
          </cell>
          <cell r="B370" t="str">
            <v>GEDDY TENSEI AV HYB 60R</v>
          </cell>
          <cell r="C370">
            <v>68.5</v>
          </cell>
        </row>
        <row r="371">
          <cell r="A371" t="str">
            <v>CW096-IS-3A</v>
          </cell>
          <cell r="B371" t="str">
            <v>GEDDY TENSEI AV HYB 60S</v>
          </cell>
          <cell r="C371">
            <v>76.5</v>
          </cell>
        </row>
        <row r="372">
          <cell r="A372" t="str">
            <v>ASQ4WX60ABIA</v>
          </cell>
          <cell r="B372" t="str">
            <v>ROGUE ELITE GREEN 55 X-FLEX INDONESIA</v>
          </cell>
          <cell r="C372">
            <v>58</v>
          </cell>
        </row>
        <row r="373">
          <cell r="A373" t="str">
            <v>ASQ5WS60ABIA</v>
          </cell>
          <cell r="B373" t="str">
            <v>ROGUE ELITE BLUE 55 S-FLEX INDONESIA</v>
          </cell>
          <cell r="C373">
            <v>55.5</v>
          </cell>
        </row>
        <row r="374">
          <cell r="A374" t="str">
            <v>ASQ8WR60ABIA</v>
          </cell>
          <cell r="B374" t="str">
            <v>ROGUE ELITE ORANGE 55 R-FLEX INDONESIA</v>
          </cell>
          <cell r="C374">
            <v>54.5</v>
          </cell>
        </row>
        <row r="375">
          <cell r="A375" t="str">
            <v>ASR4WX60ABIA</v>
          </cell>
          <cell r="B375" t="str">
            <v>ROGUE ELITE GREEN 65 X-FLEX INDONESIA</v>
          </cell>
          <cell r="C375">
            <v>65</v>
          </cell>
        </row>
        <row r="376">
          <cell r="A376" t="str">
            <v>ASR5WS60ABIA</v>
          </cell>
          <cell r="B376" t="str">
            <v>ROGUE ELITE BLUE 65 S-FLEX INDONESIA</v>
          </cell>
          <cell r="C376">
            <v>66</v>
          </cell>
        </row>
        <row r="377">
          <cell r="A377" t="str">
            <v>ASR8WR60ABIA</v>
          </cell>
          <cell r="B377" t="str">
            <v>ROGUE ELITE ORANGE 65 R-FLEX INDONESIA</v>
          </cell>
          <cell r="C377">
            <v>63</v>
          </cell>
        </row>
        <row r="378">
          <cell r="A378" t="str">
            <v>YM116-UR-2A</v>
          </cell>
          <cell r="B378" t="str">
            <v>20RMX UT R</v>
          </cell>
          <cell r="C378">
            <v>50</v>
          </cell>
        </row>
        <row r="379">
          <cell r="A379" t="str">
            <v>YM116-US-2A</v>
          </cell>
          <cell r="B379" t="str">
            <v>20RMX UT S</v>
          </cell>
          <cell r="C379">
            <v>56</v>
          </cell>
        </row>
        <row r="380">
          <cell r="A380" t="str">
            <v>YM116-USR2A</v>
          </cell>
          <cell r="B380" t="str">
            <v>20RMX UT SR</v>
          </cell>
          <cell r="C380">
            <v>52</v>
          </cell>
        </row>
        <row r="381">
          <cell r="A381" t="str">
            <v>YM116-WR-1A</v>
          </cell>
          <cell r="B381" t="str">
            <v>20RMX DRIVER R</v>
          </cell>
          <cell r="C381">
            <v>46</v>
          </cell>
        </row>
        <row r="382">
          <cell r="A382" t="str">
            <v>YM116-WR-3A</v>
          </cell>
          <cell r="B382" t="str">
            <v>20RMX FWY R</v>
          </cell>
          <cell r="C382">
            <v>47.5</v>
          </cell>
        </row>
        <row r="383">
          <cell r="A383" t="str">
            <v>YM116-WS-1A</v>
          </cell>
          <cell r="B383" t="str">
            <v>20RMX DRIVER S</v>
          </cell>
          <cell r="C383">
            <v>54</v>
          </cell>
        </row>
        <row r="384">
          <cell r="A384" t="str">
            <v>YM116-WS-3A</v>
          </cell>
          <cell r="B384" t="str">
            <v>20RMX FWY S</v>
          </cell>
          <cell r="C384">
            <v>54</v>
          </cell>
        </row>
        <row r="385">
          <cell r="A385" t="str">
            <v>YM116-WSR1A</v>
          </cell>
          <cell r="B385" t="str">
            <v>20RMX DRIVER SR</v>
          </cell>
          <cell r="C385">
            <v>48</v>
          </cell>
        </row>
        <row r="386">
          <cell r="A386" t="str">
            <v>YM116-WSR3A</v>
          </cell>
          <cell r="B386" t="str">
            <v>20RMX FWY SR</v>
          </cell>
          <cell r="C386">
            <v>50</v>
          </cell>
        </row>
        <row r="387">
          <cell r="A387" t="str">
            <v>CW096-IX-3A</v>
          </cell>
          <cell r="B387" t="str">
            <v>3544E4 MCA TENSEI AV SLVR 80 GR XSTF</v>
          </cell>
          <cell r="C387">
            <v>81.5</v>
          </cell>
        </row>
        <row r="388">
          <cell r="A388" t="str">
            <v>XG004-IA-1A</v>
          </cell>
          <cell r="B388" t="str">
            <v>S-MMT-60-A MMT PARALLEL IRON 60A</v>
          </cell>
          <cell r="C388">
            <v>63.5</v>
          </cell>
        </row>
        <row r="389">
          <cell r="A389" t="str">
            <v>XG004-IL-1A</v>
          </cell>
          <cell r="B389" t="str">
            <v>S-MMT-50-L MMT PARALLEL IRON 50L</v>
          </cell>
          <cell r="C389">
            <v>57</v>
          </cell>
        </row>
        <row r="390">
          <cell r="A390" t="str">
            <v>XG004-IR-1A</v>
          </cell>
          <cell r="B390" t="str">
            <v>S-MMT-70-R MMT PARALLEL IRON 70R</v>
          </cell>
          <cell r="C390">
            <v>72.5</v>
          </cell>
        </row>
        <row r="391">
          <cell r="A391" t="str">
            <v>XG004-IS-1A</v>
          </cell>
          <cell r="B391" t="str">
            <v>S-MMT-80-S MMT PARALLEL IRON 80S</v>
          </cell>
          <cell r="C391">
            <v>86</v>
          </cell>
        </row>
        <row r="392">
          <cell r="A392" t="str">
            <v>AU172-IA-2A</v>
          </cell>
          <cell r="B392" t="str">
            <v>2717200  SH HYB KK BLK DC 60 A 42.0</v>
          </cell>
          <cell r="C392">
            <v>55</v>
          </cell>
        </row>
        <row r="393">
          <cell r="A393" t="str">
            <v>AU172-IR-2A</v>
          </cell>
          <cell r="B393" t="str">
            <v>2717201  SH HYB KK BLK DC 60 R 42.0</v>
          </cell>
          <cell r="C393">
            <v>58</v>
          </cell>
        </row>
        <row r="394">
          <cell r="A394" t="str">
            <v>AU172-IS-2A</v>
          </cell>
          <cell r="B394" t="str">
            <v>2717202  SH HYB KK BLK DC 60 S 42.0</v>
          </cell>
          <cell r="C394">
            <v>61</v>
          </cell>
        </row>
        <row r="395">
          <cell r="A395" t="str">
            <v>AU173-IR-2A</v>
          </cell>
          <cell r="B395" t="str">
            <v>2717301  SH HYB KK BLK DC 70 R 42.0</v>
          </cell>
          <cell r="C395">
            <v>67</v>
          </cell>
        </row>
        <row r="396">
          <cell r="A396" t="str">
            <v>AU173-IS-2A</v>
          </cell>
          <cell r="B396" t="str">
            <v>2717302  SH HYB KK BLK DC 70 S 42.0</v>
          </cell>
          <cell r="C396">
            <v>70</v>
          </cell>
        </row>
        <row r="397">
          <cell r="A397" t="str">
            <v>AU176-IL-4A</v>
          </cell>
          <cell r="B397" t="str">
            <v>2776214 SH IR TENS RED AM2 L 39.5 #4</v>
          </cell>
          <cell r="C397">
            <v>48</v>
          </cell>
        </row>
        <row r="398">
          <cell r="A398" t="str">
            <v>AU176-IL-5A</v>
          </cell>
          <cell r="B398" t="str">
            <v>2776215 SH IR TENS RED AM2 L 39.0 #5</v>
          </cell>
          <cell r="C398">
            <v>48</v>
          </cell>
        </row>
        <row r="399">
          <cell r="A399" t="str">
            <v>AU176-IL-6A</v>
          </cell>
          <cell r="B399" t="str">
            <v>2776216 SH IR TENS RED AM2 L 38.5 #6</v>
          </cell>
          <cell r="C399">
            <v>48</v>
          </cell>
        </row>
        <row r="400">
          <cell r="A400" t="str">
            <v>AU176-IL-7A</v>
          </cell>
          <cell r="B400" t="str">
            <v>2776217 SH IR TENS RED AM2 L 38.0 #7</v>
          </cell>
          <cell r="C400">
            <v>48</v>
          </cell>
        </row>
        <row r="401">
          <cell r="A401" t="str">
            <v>AU176-IL-8A</v>
          </cell>
          <cell r="B401" t="str">
            <v>2776218 SH IR TENS RED AM2 L 37.5 #8</v>
          </cell>
          <cell r="C401">
            <v>50</v>
          </cell>
        </row>
        <row r="402">
          <cell r="A402" t="str">
            <v>AU176-IL-9A</v>
          </cell>
          <cell r="B402" t="str">
            <v>2776219 SH IR TENS RED AM2 L 37.0 #9</v>
          </cell>
          <cell r="C402">
            <v>52</v>
          </cell>
        </row>
        <row r="403">
          <cell r="A403" t="str">
            <v>AU176-IL-AA</v>
          </cell>
          <cell r="B403" t="str">
            <v>2776221 SH IR TENS RED AM2 L 36.5 #W</v>
          </cell>
          <cell r="C403">
            <v>56</v>
          </cell>
        </row>
        <row r="404">
          <cell r="A404" t="str">
            <v>AU176-IL-PA</v>
          </cell>
          <cell r="B404" t="str">
            <v>2776220 SH IR TENS RED AM2 L 36.75 #PW</v>
          </cell>
          <cell r="C404">
            <v>54</v>
          </cell>
        </row>
        <row r="405">
          <cell r="A405" t="str">
            <v>AU176-IR-4A</v>
          </cell>
          <cell r="B405" t="str">
            <v>2776024 SH IR TENS RED AM2 R 39.5 #4</v>
          </cell>
          <cell r="C405">
            <v>57</v>
          </cell>
        </row>
        <row r="406">
          <cell r="A406" t="str">
            <v>AU176-IR-5A</v>
          </cell>
          <cell r="B406" t="str">
            <v>2776025 SH IR TENS RED AM2 R 39.0 #5</v>
          </cell>
          <cell r="C406">
            <v>57</v>
          </cell>
        </row>
        <row r="407">
          <cell r="A407" t="str">
            <v>AU176-IR-6A</v>
          </cell>
          <cell r="B407" t="str">
            <v>2776026 SH IR TENS RED AM2 R 38.5 #6</v>
          </cell>
          <cell r="C407">
            <v>57</v>
          </cell>
        </row>
        <row r="408">
          <cell r="A408" t="str">
            <v>AU176-IR-7A</v>
          </cell>
          <cell r="B408" t="str">
            <v>2776027 SH IR TENS RED AM2 R 38.0 #7</v>
          </cell>
          <cell r="C408">
            <v>57</v>
          </cell>
        </row>
        <row r="409">
          <cell r="A409" t="str">
            <v>AU176-IR-8A</v>
          </cell>
          <cell r="B409" t="str">
            <v>2776028 SH IR TENS RED AM2 R 37.5 #8</v>
          </cell>
          <cell r="C409">
            <v>59</v>
          </cell>
        </row>
        <row r="410">
          <cell r="A410" t="str">
            <v>AU176-IR-9A</v>
          </cell>
          <cell r="B410" t="str">
            <v>2776029SH IR TENS RED AM2 R 37.0 #9</v>
          </cell>
          <cell r="C410">
            <v>61</v>
          </cell>
        </row>
        <row r="411">
          <cell r="A411" t="str">
            <v>AU176-IR-AA</v>
          </cell>
          <cell r="B411" t="str">
            <v>2776031 SH IR TENS RED AM2 R 36.5 #W</v>
          </cell>
          <cell r="C411">
            <v>65</v>
          </cell>
        </row>
        <row r="412">
          <cell r="A412" t="str">
            <v>AU176-IR-PA</v>
          </cell>
          <cell r="B412" t="str">
            <v>2776030 SH IR TENS RED AM2 R 36.75 #PW</v>
          </cell>
          <cell r="C412">
            <v>63</v>
          </cell>
        </row>
        <row r="413">
          <cell r="A413" t="str">
            <v>AU176-IS-3A</v>
          </cell>
          <cell r="B413" t="str">
            <v>2776123 SH IR TENS RED AM2 S 40.0 #3</v>
          </cell>
          <cell r="C413">
            <v>60</v>
          </cell>
        </row>
        <row r="414">
          <cell r="A414" t="str">
            <v>AU176-IS-4A</v>
          </cell>
          <cell r="B414" t="str">
            <v>2776124 SH IR TENS RED AM2 S 39.5 #4</v>
          </cell>
          <cell r="C414">
            <v>60</v>
          </cell>
        </row>
        <row r="415">
          <cell r="A415" t="str">
            <v>AU176-IS-5A</v>
          </cell>
          <cell r="B415" t="str">
            <v>2776125 SH IR TENS RED AM2 S 39.0 #5</v>
          </cell>
          <cell r="C415">
            <v>60</v>
          </cell>
        </row>
        <row r="416">
          <cell r="A416" t="str">
            <v>AU176-IS-6A</v>
          </cell>
          <cell r="B416" t="str">
            <v>2776126 SH IR TENS RED AM2 S 38.5 #6</v>
          </cell>
          <cell r="C416">
            <v>60</v>
          </cell>
        </row>
        <row r="417">
          <cell r="A417" t="str">
            <v>AU176-IS-7A</v>
          </cell>
          <cell r="B417" t="str">
            <v>2776127 SH IR TENS RED AM2 S 38.0 #7</v>
          </cell>
          <cell r="C417">
            <v>60</v>
          </cell>
        </row>
        <row r="418">
          <cell r="A418" t="str">
            <v>AU176-IS-8A</v>
          </cell>
          <cell r="B418" t="str">
            <v>2776128 SH IR TENS RED AM2 S 37.5 #8</v>
          </cell>
          <cell r="C418">
            <v>62</v>
          </cell>
        </row>
        <row r="419">
          <cell r="A419" t="str">
            <v>AU176-IS-9A</v>
          </cell>
          <cell r="B419" t="str">
            <v>2776129 SH IR TENS RED AM2 S 37.0 #9</v>
          </cell>
          <cell r="C419">
            <v>64</v>
          </cell>
        </row>
        <row r="420">
          <cell r="A420" t="str">
            <v>AU176-IS-AA</v>
          </cell>
          <cell r="B420" t="str">
            <v>2776131 SH IR TENS RED AM2 S 36.5 #W</v>
          </cell>
          <cell r="C420">
            <v>68</v>
          </cell>
        </row>
        <row r="421">
          <cell r="A421" t="str">
            <v>AU176-IS-PA</v>
          </cell>
          <cell r="B421" t="str">
            <v>2776130 SH IR TENS RED AM2 S 36.75 #PW</v>
          </cell>
          <cell r="C421">
            <v>66</v>
          </cell>
        </row>
        <row r="422">
          <cell r="A422" t="str">
            <v>AU176-IA-4A</v>
          </cell>
          <cell r="B422" t="str">
            <v>2776314 SH IR TENS RED AM2 A 39.5 #4</v>
          </cell>
          <cell r="C422">
            <v>55</v>
          </cell>
        </row>
        <row r="423">
          <cell r="A423" t="str">
            <v>AU176-IA-5A</v>
          </cell>
          <cell r="B423" t="str">
            <v>2776315 SH IR TENS RED AM2 A 39.0 #5</v>
          </cell>
          <cell r="C423">
            <v>55</v>
          </cell>
        </row>
        <row r="424">
          <cell r="A424" t="str">
            <v>AU176-IA-6A</v>
          </cell>
          <cell r="B424" t="str">
            <v>2776316 SH IR TENS RED AM2 A 38.5 #6</v>
          </cell>
          <cell r="C424">
            <v>55</v>
          </cell>
        </row>
        <row r="425">
          <cell r="A425" t="str">
            <v>AU176-IA-7A</v>
          </cell>
          <cell r="B425" t="str">
            <v>2776317 SH IR TENS RED AM2 A 38.0 #7</v>
          </cell>
          <cell r="C425">
            <v>55</v>
          </cell>
        </row>
        <row r="426">
          <cell r="A426" t="str">
            <v>AU176-IA-8A</v>
          </cell>
          <cell r="B426" t="str">
            <v>2776318 SH IR TENS RED AM2 A 37.5 #8</v>
          </cell>
          <cell r="C426">
            <v>57</v>
          </cell>
        </row>
        <row r="427">
          <cell r="A427" t="str">
            <v>AU176-IA-9A</v>
          </cell>
          <cell r="B427" t="str">
            <v>2776319 SH IR TENS RED AM2 A 37.0 #9</v>
          </cell>
          <cell r="C427">
            <v>59</v>
          </cell>
        </row>
        <row r="428">
          <cell r="A428" t="str">
            <v>AU176-IA-AA</v>
          </cell>
          <cell r="B428" t="str">
            <v>2776321 SH IR TENS RED AM2 A 36.5 #W</v>
          </cell>
          <cell r="C428">
            <v>63</v>
          </cell>
        </row>
        <row r="429">
          <cell r="A429" t="str">
            <v>AU176-IA-PA</v>
          </cell>
          <cell r="B429" t="str">
            <v>2776320 SH IR TENS RED AM2 A 36.75 #PW</v>
          </cell>
          <cell r="C429">
            <v>61</v>
          </cell>
        </row>
        <row r="430">
          <cell r="A430" t="str">
            <v>SU024-IL-1A</v>
          </cell>
          <cell r="B430" t="str">
            <v>X104 HYBRID L-FLEX</v>
          </cell>
          <cell r="C430">
            <v>52</v>
          </cell>
        </row>
        <row r="431">
          <cell r="A431" t="str">
            <v>YM116-IR-7A</v>
          </cell>
          <cell r="B431" t="str">
            <v>20RMX IRON R#7</v>
          </cell>
          <cell r="C431">
            <v>53.5</v>
          </cell>
        </row>
        <row r="432">
          <cell r="A432" t="str">
            <v>YM116-ISR7A</v>
          </cell>
          <cell r="B432" t="str">
            <v>20RMX IRON SR#7</v>
          </cell>
          <cell r="C432">
            <v>55</v>
          </cell>
        </row>
        <row r="433">
          <cell r="A433" t="str">
            <v>YM116-ISR5A</v>
          </cell>
          <cell r="B433" t="str">
            <v>20RMX IRON SR#5</v>
          </cell>
          <cell r="C433">
            <v>54.5</v>
          </cell>
        </row>
        <row r="434">
          <cell r="A434" t="str">
            <v>YM116-ISR6A</v>
          </cell>
          <cell r="B434" t="str">
            <v>20RMX IRON SR#6</v>
          </cell>
          <cell r="C434">
            <v>54.4</v>
          </cell>
        </row>
        <row r="435">
          <cell r="A435" t="str">
            <v>YM116-IR-5A</v>
          </cell>
          <cell r="B435" t="str">
            <v>20RMX IRON R#5</v>
          </cell>
          <cell r="C435">
            <v>52.5</v>
          </cell>
        </row>
        <row r="436">
          <cell r="A436" t="str">
            <v>YM116-IR-6A</v>
          </cell>
          <cell r="B436" t="str">
            <v>20RMX IRON R#6</v>
          </cell>
          <cell r="C436">
            <v>53</v>
          </cell>
        </row>
        <row r="437">
          <cell r="A437" t="str">
            <v>YM116-ISR8A</v>
          </cell>
          <cell r="B437" t="str">
            <v>20RMX IRON SR#8</v>
          </cell>
          <cell r="C437">
            <v>56</v>
          </cell>
        </row>
        <row r="438">
          <cell r="A438" t="str">
            <v>YM116-IR-8A</v>
          </cell>
          <cell r="B438" t="str">
            <v>20RMX IRON R#8</v>
          </cell>
          <cell r="C438">
            <v>55</v>
          </cell>
        </row>
        <row r="439">
          <cell r="A439" t="str">
            <v>YM116-IR-9A</v>
          </cell>
          <cell r="B439" t="str">
            <v>20RMX IRON R#9</v>
          </cell>
          <cell r="C439">
            <v>55</v>
          </cell>
        </row>
        <row r="440">
          <cell r="A440" t="str">
            <v>YM116-ISRPA</v>
          </cell>
          <cell r="B440" t="str">
            <v>20RMX IRON SR#P</v>
          </cell>
          <cell r="C440">
            <v>57.5</v>
          </cell>
        </row>
        <row r="441">
          <cell r="A441" t="str">
            <v>YM116-ISR9A</v>
          </cell>
          <cell r="B441" t="str">
            <v>20RMX IRON SR#9</v>
          </cell>
          <cell r="C441">
            <v>56</v>
          </cell>
        </row>
        <row r="442">
          <cell r="A442" t="str">
            <v>YM116-IR-PA</v>
          </cell>
          <cell r="B442" t="str">
            <v>20RMX IRON R#P</v>
          </cell>
          <cell r="C442">
            <v>56.5</v>
          </cell>
        </row>
        <row r="443">
          <cell r="A443" t="str">
            <v>MR097-IRA4A</v>
          </cell>
          <cell r="B443" t="str">
            <v>19 SHUTTLE GOLD IRON RA</v>
          </cell>
          <cell r="C443">
            <v>57</v>
          </cell>
        </row>
        <row r="444">
          <cell r="A444" t="str">
            <v>MR097-URA1A</v>
          </cell>
          <cell r="B444" t="str">
            <v>19 SHUTTLE GOLD UTILITY RA</v>
          </cell>
          <cell r="C444">
            <v>53</v>
          </cell>
        </row>
        <row r="445">
          <cell r="A445" t="str">
            <v>MR097-WRA3A</v>
          </cell>
          <cell r="B445" t="str">
            <v>19 SHUTTLE GOLD FAIRWAY RA</v>
          </cell>
          <cell r="C445">
            <v>49.5</v>
          </cell>
        </row>
        <row r="446">
          <cell r="A446" t="str">
            <v>MR097-WRA1A</v>
          </cell>
          <cell r="B446" t="str">
            <v>19 SHUTTLE GOLD DRIVER RA</v>
          </cell>
          <cell r="C446">
            <v>50.5</v>
          </cell>
        </row>
        <row r="447">
          <cell r="A447" t="str">
            <v>SX196-WA-3A</v>
          </cell>
          <cell r="B447" t="str">
            <v>TENTATIVE A FLEX</v>
          </cell>
          <cell r="C447">
            <v>46</v>
          </cell>
        </row>
        <row r="448">
          <cell r="A448" t="str">
            <v>SX196-WR-3A</v>
          </cell>
          <cell r="B448" t="str">
            <v>TENTATIVE R FLEX</v>
          </cell>
          <cell r="C448">
            <v>57</v>
          </cell>
        </row>
        <row r="449">
          <cell r="A449" t="str">
            <v>SX196-WS-3A</v>
          </cell>
          <cell r="B449" t="str">
            <v>TENTATIVE S FLEX</v>
          </cell>
          <cell r="C449">
            <v>61.5</v>
          </cell>
        </row>
        <row r="450">
          <cell r="A450" t="str">
            <v>AU176-IR-3A</v>
          </cell>
          <cell r="B450" t="str">
            <v>2776023 SH IR TENS RED AM2 R 40.0 #3</v>
          </cell>
          <cell r="C450">
            <v>57</v>
          </cell>
        </row>
        <row r="451">
          <cell r="A451" t="str">
            <v>ASG8WS60AQZA</v>
          </cell>
          <cell r="B451" t="str">
            <v>ALDILA NEXT GEN-NV 85-S</v>
          </cell>
          <cell r="C451">
            <v>87.5</v>
          </cell>
        </row>
        <row r="452">
          <cell r="A452" t="str">
            <v>ASG8WX60AQZA</v>
          </cell>
          <cell r="B452" t="str">
            <v>ALDILA NEXT GEN-NV 85-X</v>
          </cell>
          <cell r="C452">
            <v>88.5</v>
          </cell>
        </row>
        <row r="453">
          <cell r="A453" t="str">
            <v>ASN6WX60AAYA</v>
          </cell>
          <cell r="B453" t="str">
            <v>ALDILA NEXT GEN-NVS 65-X</v>
          </cell>
          <cell r="C453">
            <v>69.5</v>
          </cell>
        </row>
        <row r="454">
          <cell r="A454" t="str">
            <v>AX104-WR-1AA</v>
          </cell>
          <cell r="B454" t="str">
            <v>ROGUE BLACK 130 MSI 60 TR-Flex</v>
          </cell>
          <cell r="C454">
            <v>59.5</v>
          </cell>
        </row>
        <row r="455">
          <cell r="A455" t="str">
            <v>AX104-WS-1AA</v>
          </cell>
          <cell r="B455" t="str">
            <v>ROGUE BLACK 130 MSI 60 TS-Flex</v>
          </cell>
          <cell r="C455">
            <v>62.5</v>
          </cell>
        </row>
        <row r="456">
          <cell r="A456" t="str">
            <v>AX105-WS-1AA</v>
          </cell>
          <cell r="B456" t="str">
            <v>ROGUE BLACK 130 MSI 70 TS-Flex</v>
          </cell>
          <cell r="C456">
            <v>73.5</v>
          </cell>
        </row>
        <row r="457">
          <cell r="A457" t="str">
            <v>AX118-WR-1AA</v>
          </cell>
          <cell r="B457" t="str">
            <v>ROGUE BLACK 130 MSI 50 TR-Flex</v>
          </cell>
          <cell r="C457">
            <v>56.5</v>
          </cell>
        </row>
        <row r="458">
          <cell r="A458" t="str">
            <v>AX118-WS-1AA</v>
          </cell>
          <cell r="B458" t="str">
            <v>ROGUE BLACK 130 MSI 50 TS-Flex</v>
          </cell>
          <cell r="C458">
            <v>58.5</v>
          </cell>
        </row>
        <row r="459">
          <cell r="A459" t="str">
            <v>MX705-IS-2A</v>
          </cell>
          <cell r="B459" t="str">
            <v>KURO KAGE™ Black Dual Core TiNi Hyb. 60 S-flex</v>
          </cell>
          <cell r="C459">
            <v>61</v>
          </cell>
        </row>
        <row r="460">
          <cell r="A460" t="str">
            <v>MX706-IR-2A</v>
          </cell>
          <cell r="B460" t="str">
            <v>KURO KAGE™ Black Dual Core TiNi Hyb. 70 R-flex</v>
          </cell>
          <cell r="C460">
            <v>67</v>
          </cell>
        </row>
        <row r="461">
          <cell r="A461" t="str">
            <v>MX706-IS-2A</v>
          </cell>
          <cell r="B461" t="str">
            <v>KURO KAGE™ Black Dual Core TiNi Hyb. 70 S-flex</v>
          </cell>
          <cell r="C461">
            <v>70</v>
          </cell>
        </row>
        <row r="462">
          <cell r="A462" t="str">
            <v>MX705-IA-2A</v>
          </cell>
          <cell r="B462" t="str">
            <v>KURO KAGE™ Black Dual Core TiNi Hyb. 60 A-flex</v>
          </cell>
          <cell r="C462">
            <v>55</v>
          </cell>
        </row>
        <row r="463">
          <cell r="A463" t="str">
            <v>MX705-IR-2A</v>
          </cell>
          <cell r="B463" t="str">
            <v>KURO KAGE™ Black Dual Core TiNi Hyb. 60 R-flex</v>
          </cell>
          <cell r="C463">
            <v>58</v>
          </cell>
        </row>
        <row r="464">
          <cell r="A464" t="str">
            <v>MX698-IL-1A</v>
          </cell>
          <cell r="B464" t="str">
            <v>MMT Iron 50 L-flex (Parallel)</v>
          </cell>
          <cell r="C464">
            <v>57</v>
          </cell>
        </row>
        <row r="465">
          <cell r="A465" t="str">
            <v>MX699-IA-1A</v>
          </cell>
          <cell r="B465" t="str">
            <v>MMT Iron 60 A-flex (Parallel)</v>
          </cell>
          <cell r="C465">
            <v>63.5</v>
          </cell>
        </row>
        <row r="466">
          <cell r="A466" t="str">
            <v>MX700-IR-1A</v>
          </cell>
          <cell r="B466" t="str">
            <v>MMT Iron 70 R-flex (Parallel)</v>
          </cell>
          <cell r="C466">
            <v>72.5</v>
          </cell>
        </row>
        <row r="467">
          <cell r="A467" t="str">
            <v>MX701-IS-1A</v>
          </cell>
          <cell r="B467" t="str">
            <v>MMT Iron 80 S-flex (Parallel)</v>
          </cell>
          <cell r="C467">
            <v>86</v>
          </cell>
        </row>
        <row r="468">
          <cell r="A468" t="str">
            <v>MX703-IA-1A</v>
          </cell>
          <cell r="B468" t="str">
            <v>TENSEI™ AV Silver Hyb/Iron 55 A-flex</v>
          </cell>
          <cell r="C468">
            <v>61</v>
          </cell>
        </row>
        <row r="469">
          <cell r="A469" t="str">
            <v>MX703-IR-1A</v>
          </cell>
          <cell r="B469" t="str">
            <v>TENSEI™ AV Silver Hyb/Iron 65 R-flex</v>
          </cell>
          <cell r="C469">
            <v>63.5</v>
          </cell>
        </row>
        <row r="470">
          <cell r="A470" t="str">
            <v>MX703-IS-1A</v>
          </cell>
          <cell r="B470" t="str">
            <v>TENSEI™ AV Silver Hyb/Iron 65 S-flex</v>
          </cell>
          <cell r="C470">
            <v>66</v>
          </cell>
        </row>
        <row r="471">
          <cell r="A471" t="str">
            <v>MX704-IA-1A</v>
          </cell>
          <cell r="B471" t="str">
            <v>TENSEI™ AV Silver Hyb/Iron 60 A-flex</v>
          </cell>
          <cell r="C471">
            <v>65.5</v>
          </cell>
        </row>
        <row r="472">
          <cell r="A472" t="str">
            <v>MX704-IR-1A</v>
          </cell>
          <cell r="B472" t="str">
            <v>TENSEI™ AV Silver Hyb/Iron 60 R-flex</v>
          </cell>
          <cell r="C472">
            <v>68.5</v>
          </cell>
        </row>
        <row r="473">
          <cell r="A473" t="str">
            <v>MX704-IS-1A</v>
          </cell>
          <cell r="B473" t="str">
            <v>TENSEI™ AV Silver Hyb/Iron 70 S-flex</v>
          </cell>
          <cell r="C473">
            <v>76.5</v>
          </cell>
        </row>
        <row r="474">
          <cell r="A474" t="str">
            <v>MX697-IL-1A</v>
          </cell>
          <cell r="B474" t="str">
            <v>MMT Iron 40 L-flex (Parallel)</v>
          </cell>
          <cell r="C474">
            <v>49.5</v>
          </cell>
        </row>
        <row r="475">
          <cell r="A475" t="str">
            <v>MX699-IR-1A</v>
          </cell>
          <cell r="B475" t="str">
            <v>MMT Iron 60 R-flex (Parallel)</v>
          </cell>
          <cell r="C475">
            <v>64.5</v>
          </cell>
        </row>
        <row r="476">
          <cell r="A476" t="str">
            <v>MX701-IR-1A</v>
          </cell>
          <cell r="B476" t="str">
            <v>MMT Iron 80 R-flex (Parallel)</v>
          </cell>
          <cell r="C476">
            <v>84.5</v>
          </cell>
        </row>
        <row r="477">
          <cell r="A477" t="str">
            <v>SF240-IR-7A</v>
          </cell>
          <cell r="B477" t="str">
            <v>N7284901 SHI-MCA MMT #7 R</v>
          </cell>
          <cell r="C477">
            <v>63</v>
          </cell>
        </row>
        <row r="478">
          <cell r="A478" t="str">
            <v>SF240-IA-4A</v>
          </cell>
          <cell r="B478" t="str">
            <v>N7285401 SHI-MCA MMT #4 A</v>
          </cell>
          <cell r="C478">
            <v>62</v>
          </cell>
        </row>
        <row r="479">
          <cell r="A479" t="str">
            <v>SF240-IA-5A</v>
          </cell>
          <cell r="B479" t="str">
            <v>N7285501 SHI-MCA MMT #5 A</v>
          </cell>
          <cell r="C479">
            <v>62</v>
          </cell>
        </row>
        <row r="480">
          <cell r="A480" t="str">
            <v>SF240-IA-6A</v>
          </cell>
          <cell r="B480" t="str">
            <v>N7285601 SHI-MCA MMT #6 A</v>
          </cell>
          <cell r="C480">
            <v>61</v>
          </cell>
        </row>
        <row r="481">
          <cell r="A481" t="str">
            <v>SF240-IA-7A</v>
          </cell>
          <cell r="B481" t="str">
            <v>N7285701 SHI-MCA MMT #7 A</v>
          </cell>
          <cell r="C481">
            <v>61</v>
          </cell>
        </row>
        <row r="482">
          <cell r="A482" t="str">
            <v>SF240-IA-8A</v>
          </cell>
          <cell r="B482" t="str">
            <v>N7285801 SHI-MCA MMT #8 A</v>
          </cell>
          <cell r="C482">
            <v>61</v>
          </cell>
        </row>
        <row r="483">
          <cell r="A483" t="str">
            <v>SF240-IA-9A</v>
          </cell>
          <cell r="B483" t="str">
            <v>N7285901 SHI-MCA MMT #9 A</v>
          </cell>
          <cell r="C483">
            <v>61</v>
          </cell>
        </row>
        <row r="484">
          <cell r="A484" t="str">
            <v>SF240-IA-PA</v>
          </cell>
          <cell r="B484" t="str">
            <v>N7286001 SHI-MCA MMT PW/AW A</v>
          </cell>
          <cell r="C484">
            <v>61</v>
          </cell>
        </row>
        <row r="485">
          <cell r="A485" t="str">
            <v>SF240-IR-4A</v>
          </cell>
          <cell r="B485" t="str">
            <v>N7284601 SHI-MCA MMT #4 R</v>
          </cell>
          <cell r="C485">
            <v>64</v>
          </cell>
        </row>
        <row r="486">
          <cell r="A486" t="str">
            <v>SF240-IR-5A</v>
          </cell>
          <cell r="B486" t="str">
            <v>N7284701 SHI-MCA MMT #5 R</v>
          </cell>
          <cell r="C486">
            <v>64</v>
          </cell>
        </row>
        <row r="487">
          <cell r="A487" t="str">
            <v>SF240-IR-6A</v>
          </cell>
          <cell r="B487" t="str">
            <v>N7284801 SHI-MCA MMT #6 R</v>
          </cell>
          <cell r="C487">
            <v>63</v>
          </cell>
        </row>
        <row r="488">
          <cell r="A488" t="str">
            <v>SF240-IR-7A</v>
          </cell>
          <cell r="B488" t="str">
            <v>N7284901 SHI-MCA MMT #7 R</v>
          </cell>
          <cell r="C488">
            <v>63</v>
          </cell>
        </row>
        <row r="489">
          <cell r="A489" t="str">
            <v>SF240-IR-8A</v>
          </cell>
          <cell r="B489" t="str">
            <v>N7285001 SHI-MCA MMT #8 R</v>
          </cell>
          <cell r="C489">
            <v>63</v>
          </cell>
        </row>
        <row r="490">
          <cell r="A490" t="str">
            <v>SF240-IR-9A</v>
          </cell>
          <cell r="B490" t="str">
            <v>N7285101 SHI-MCA MMT #9 R</v>
          </cell>
          <cell r="C490">
            <v>63</v>
          </cell>
        </row>
        <row r="491">
          <cell r="A491" t="str">
            <v>SF240-IR-PA</v>
          </cell>
          <cell r="B491" t="str">
            <v>N7285201 SHI-MCA MMT PW/AW R</v>
          </cell>
          <cell r="C491">
            <v>63.5</v>
          </cell>
        </row>
        <row r="492">
          <cell r="A492" t="str">
            <v>SF245-WR-1B</v>
          </cell>
          <cell r="B492" t="str">
            <v>N9003001 TENSEI BLUE DR/FW TM50R</v>
          </cell>
          <cell r="C492">
            <v>51.5</v>
          </cell>
        </row>
        <row r="493">
          <cell r="A493" t="str">
            <v>SF245-WS-1B</v>
          </cell>
          <cell r="B493" t="str">
            <v>N9002801 TENSEI BLUE DR/FW TM50S</v>
          </cell>
          <cell r="C493">
            <v>56.5</v>
          </cell>
        </row>
        <row r="494">
          <cell r="A494" t="str">
            <v>SF245-WSR1B</v>
          </cell>
          <cell r="B494" t="str">
            <v>N9002901 TENSEI BLUE DR/FW TM50SR</v>
          </cell>
          <cell r="C494">
            <v>54</v>
          </cell>
        </row>
        <row r="495">
          <cell r="A495" t="str">
            <v>SF246-WL-1A</v>
          </cell>
          <cell r="B495" t="str">
            <v>N9003101 TENSEI BLUE DR/FW M40L</v>
          </cell>
          <cell r="C495">
            <v>48</v>
          </cell>
        </row>
        <row r="496">
          <cell r="A496" t="str">
            <v>AX065-WA-1CA</v>
          </cell>
          <cell r="B496" t="str">
            <v>Synergy Driver A</v>
          </cell>
          <cell r="C496">
            <v>56</v>
          </cell>
        </row>
        <row r="497">
          <cell r="A497" t="str">
            <v>AX066-WA-1CA</v>
          </cell>
          <cell r="B497" t="str">
            <v>Synergy Driver A</v>
          </cell>
          <cell r="C497">
            <v>64.5</v>
          </cell>
        </row>
        <row r="498">
          <cell r="A498" t="str">
            <v>AX070-IL-1CA</v>
          </cell>
          <cell r="B498" t="str">
            <v>Quaranta IronOS L</v>
          </cell>
          <cell r="C498">
            <v>49.5</v>
          </cell>
        </row>
        <row r="499">
          <cell r="A499" t="str">
            <v>AX072-IA-1CB</v>
          </cell>
          <cell r="B499" t="str">
            <v>3502J1405/SF IR/HY ALDLA SYNRGY 2.0 60 GR LGT 40.5</v>
          </cell>
          <cell r="C499">
            <v>57.5</v>
          </cell>
        </row>
        <row r="500">
          <cell r="A500" t="str">
            <v>AX072-IR-1CB</v>
          </cell>
          <cell r="B500" t="str">
            <v>3502J2405/SF IR/HY ALDLA SYNRGY 2.0 60 GR REG 40.5</v>
          </cell>
          <cell r="C500">
            <v>62</v>
          </cell>
        </row>
        <row r="501">
          <cell r="A501" t="str">
            <v>AX072-IS-1CB</v>
          </cell>
          <cell r="B501" t="str">
            <v>3502J3405/SF IR/HY ALDLA SYNRGY 2.0 60 GR STF 40.5</v>
          </cell>
          <cell r="C501">
            <v>63.5</v>
          </cell>
        </row>
        <row r="502">
          <cell r="A502" t="str">
            <v>AX125-WA-3CA</v>
          </cell>
          <cell r="B502" t="str">
            <v>3501U1/SF WD ROGUE FW 20 GR LGT</v>
          </cell>
          <cell r="C502">
            <v>68</v>
          </cell>
        </row>
        <row r="503">
          <cell r="A503" t="str">
            <v>AX125-WR-3CA</v>
          </cell>
          <cell r="B503" t="str">
            <v>3501U2/SF WD ROGUE FW 20 GR REG</v>
          </cell>
          <cell r="C503">
            <v>71</v>
          </cell>
        </row>
        <row r="504">
          <cell r="A504" t="str">
            <v>AX125-WS-3CA</v>
          </cell>
          <cell r="B504" t="str">
            <v>3501U3/SF WD ROGUE FW 20 GR STF</v>
          </cell>
          <cell r="C504">
            <v>74</v>
          </cell>
        </row>
        <row r="505">
          <cell r="A505" t="str">
            <v>AX132-WA-1CA</v>
          </cell>
          <cell r="B505" t="str">
            <v>3501R1/SF WD ROGUE DR 20 GR LGT</v>
          </cell>
          <cell r="C505">
            <v>54</v>
          </cell>
        </row>
        <row r="506">
          <cell r="A506" t="str">
            <v>AX132-WL-1CB</v>
          </cell>
          <cell r="B506" t="str">
            <v>3501S1/SF WD ROGUE DR 20 GR WMS</v>
          </cell>
          <cell r="C506">
            <v>51.5</v>
          </cell>
        </row>
        <row r="507">
          <cell r="A507" t="str">
            <v>AX132-WR-1CA</v>
          </cell>
          <cell r="B507" t="str">
            <v>3501R2/SF WD ROGUE DR 20 GR REG</v>
          </cell>
          <cell r="C507">
            <v>55.5</v>
          </cell>
        </row>
        <row r="508">
          <cell r="A508" t="str">
            <v>AX132-WS-1CA</v>
          </cell>
          <cell r="B508" t="str">
            <v>3501R3/SF WD ROGUE DR 20 GR STF</v>
          </cell>
          <cell r="C508">
            <v>59.5</v>
          </cell>
        </row>
        <row r="509">
          <cell r="A509" t="str">
            <v>SF246-WA-1A</v>
          </cell>
          <cell r="B509" t="str">
            <v>N9003201 TENSEI BLUE DR/FW M40A</v>
          </cell>
          <cell r="C509">
            <v>50</v>
          </cell>
        </row>
        <row r="510">
          <cell r="A510" t="str">
            <v>SF240-IS-7A</v>
          </cell>
          <cell r="B510" t="str">
            <v>N7284101 SHI-MCA MMT #7 S</v>
          </cell>
          <cell r="C510">
            <v>73</v>
          </cell>
        </row>
        <row r="511">
          <cell r="A511" t="str">
            <v>XG008-IR-1A</v>
          </cell>
          <cell r="B511" t="str">
            <v>S-MMT-60-R MMT Parallel IRON 60R</v>
          </cell>
          <cell r="C511">
            <v>64.5</v>
          </cell>
        </row>
        <row r="512">
          <cell r="A512" t="str">
            <v>XG007-IL-1A</v>
          </cell>
          <cell r="B512" t="str">
            <v>S-MMT-40-L MMT Parallel IRON 40L</v>
          </cell>
          <cell r="C512">
            <v>49.5</v>
          </cell>
        </row>
        <row r="513">
          <cell r="A513" t="str">
            <v>SF247-IR-1A</v>
          </cell>
          <cell r="B513" t="str">
            <v>N9004001 SHM Tensei Blue IRON TM60 R (JPN / ASIA)</v>
          </cell>
          <cell r="C513">
            <v>59.5</v>
          </cell>
        </row>
        <row r="514">
          <cell r="A514" t="str">
            <v>SF247-IS-1A</v>
          </cell>
          <cell r="B514" t="str">
            <v>N9003901 SHM Tensei Blue IRON TM60 S (JPN / ASIA)</v>
          </cell>
          <cell r="C514">
            <v>67</v>
          </cell>
        </row>
        <row r="515">
          <cell r="A515" t="str">
            <v>SF248-IA-1A</v>
          </cell>
          <cell r="B515" t="str">
            <v>N9004201 SHM Tensei Blue IRON TM40 A (JPN / ASIA)</v>
          </cell>
          <cell r="C515">
            <v>59</v>
          </cell>
        </row>
        <row r="516">
          <cell r="A516" t="str">
            <v>SF248-IL-1A</v>
          </cell>
          <cell r="B516" t="str">
            <v>N9004101 SHM Tensei Blue IRON TM40 L (JPN / ASIA)</v>
          </cell>
          <cell r="C516">
            <v>57</v>
          </cell>
        </row>
        <row r="517">
          <cell r="A517" t="str">
            <v>SF243-WR-3A</v>
          </cell>
          <cell r="B517" t="str">
            <v>N8102301 / DIAMANA S+ Limited FW 75G R</v>
          </cell>
          <cell r="C517">
            <v>75</v>
          </cell>
        </row>
        <row r="518">
          <cell r="A518" t="str">
            <v>SF243-WS-3A</v>
          </cell>
          <cell r="B518" t="str">
            <v>N8102201 / DIAMANA S+ Limited FW 75G S</v>
          </cell>
          <cell r="C518">
            <v>75</v>
          </cell>
        </row>
        <row r="519">
          <cell r="A519" t="str">
            <v>MX729-IR-4A</v>
          </cell>
          <cell r="B519" t="str">
            <v>MMT™ Tour Iron 65 R-flex (0.355 taper)</v>
          </cell>
          <cell r="C519">
            <v>64</v>
          </cell>
        </row>
        <row r="520">
          <cell r="A520" t="str">
            <v>MX729-IR-5A</v>
          </cell>
          <cell r="B520" t="str">
            <v>MMT™ Tour Iron 65 R-flex (0.355 taper)</v>
          </cell>
          <cell r="C520">
            <v>64</v>
          </cell>
        </row>
        <row r="521">
          <cell r="A521" t="str">
            <v>MX729-IR-6A</v>
          </cell>
          <cell r="B521" t="str">
            <v>MMT™ Tour Iron 65 R-flex (0.355 taper)</v>
          </cell>
          <cell r="C521">
            <v>63</v>
          </cell>
        </row>
        <row r="522">
          <cell r="A522" t="str">
            <v>MX729-IR-7A</v>
          </cell>
          <cell r="B522" t="str">
            <v>MMT™ Tour Iron 65 R-flex (0.355 taper)</v>
          </cell>
          <cell r="C522">
            <v>63</v>
          </cell>
        </row>
        <row r="523">
          <cell r="A523" t="str">
            <v>MX729-IR-8A</v>
          </cell>
          <cell r="B523" t="str">
            <v>MMT™ Tour Iron 65 R-flex (0.355 taper)</v>
          </cell>
          <cell r="C523">
            <v>63</v>
          </cell>
        </row>
        <row r="524">
          <cell r="A524" t="str">
            <v>MX729-IR-9A</v>
          </cell>
          <cell r="B524" t="str">
            <v>MMT™ Tour Iron 65 R-flex (0.355 taper)</v>
          </cell>
          <cell r="C524">
            <v>63</v>
          </cell>
        </row>
        <row r="525">
          <cell r="A525" t="str">
            <v>MX729-IR-PA</v>
          </cell>
          <cell r="B525" t="str">
            <v>MMT™ Tour Iron 65 R-flex (0.355 taper)</v>
          </cell>
          <cell r="C525">
            <v>63.5</v>
          </cell>
        </row>
        <row r="526">
          <cell r="A526" t="str">
            <v>MX730-IS-4A</v>
          </cell>
          <cell r="B526" t="str">
            <v>MMT™ Tour Iron 75 S-flex (0.355 taper)</v>
          </cell>
          <cell r="C526">
            <v>72</v>
          </cell>
        </row>
        <row r="527">
          <cell r="A527" t="str">
            <v>SF242-WR-1A</v>
          </cell>
          <cell r="B527" t="str">
            <v>N8109101 / DIAMANA S+ Limited 60G R　　</v>
          </cell>
          <cell r="C527">
            <v>62</v>
          </cell>
        </row>
        <row r="528">
          <cell r="A528" t="str">
            <v>SF242-WS-1A</v>
          </cell>
          <cell r="B528" t="str">
            <v>N8109001 / DIAMANA S+ Limited 60G S　　</v>
          </cell>
          <cell r="C528">
            <v>65</v>
          </cell>
        </row>
        <row r="529">
          <cell r="A529" t="str">
            <v>SF242-WX-1A</v>
          </cell>
          <cell r="B529" t="str">
            <v>N8108901 / DIAMANA S+ Limited 60G X　　</v>
          </cell>
          <cell r="C529">
            <v>67.5</v>
          </cell>
        </row>
        <row r="530">
          <cell r="A530" t="str">
            <v>AX103-WS-1CA</v>
          </cell>
          <cell r="B530" t="str">
            <v>SF WD ALDILA ROGUE WHT MSI 130 70 GR STF</v>
          </cell>
          <cell r="C530">
            <v>72.5</v>
          </cell>
        </row>
        <row r="531">
          <cell r="A531" t="str">
            <v>AX103-WX-1CA</v>
          </cell>
          <cell r="B531" t="str">
            <v>SF WD ALDILA ROGUE WHT MSI 130 70 GR XST</v>
          </cell>
          <cell r="C531">
            <v>75.5</v>
          </cell>
        </row>
        <row r="532">
          <cell r="A532" t="str">
            <v>AX116-WS-1CA</v>
          </cell>
          <cell r="B532" t="str">
            <v>SF WD ALDILA ROGUE WHT MSI 130 60 GR STF</v>
          </cell>
          <cell r="C532">
            <v>65.5</v>
          </cell>
        </row>
        <row r="533">
          <cell r="A533" t="str">
            <v>AX116-WX-1CA</v>
          </cell>
          <cell r="B533" t="str">
            <v>SF WD ALDILA ROGUE WHT MSI 130 60 GR XST</v>
          </cell>
          <cell r="C533">
            <v>68</v>
          </cell>
        </row>
        <row r="534">
          <cell r="A534" t="str">
            <v>MX721-ITX3A</v>
          </cell>
          <cell r="B534" t="str">
            <v>MMT™ Taper Iron 125 TX-flex (0.355 taper) 39"</v>
          </cell>
          <cell r="C534">
            <v>127.5</v>
          </cell>
        </row>
        <row r="535">
          <cell r="A535" t="str">
            <v>MX721-ITX4A</v>
          </cell>
          <cell r="B535" t="str">
            <v>MMT™ Taper Iron 125 TX-flex (0.355 taper) 38.5"</v>
          </cell>
          <cell r="C535">
            <v>127</v>
          </cell>
        </row>
        <row r="536">
          <cell r="A536" t="str">
            <v>MX721-ITX5A</v>
          </cell>
          <cell r="B536" t="str">
            <v>MMT™ Taper Iron 125 TX-flex (0.355 taper) 38"</v>
          </cell>
          <cell r="C536">
            <v>125</v>
          </cell>
        </row>
        <row r="537">
          <cell r="A537" t="str">
            <v>MX721-ITX6A</v>
          </cell>
          <cell r="B537" t="str">
            <v>MMT™ Taper Iron 125 TX-flex (0.355 taper) 37.5"</v>
          </cell>
          <cell r="C537">
            <v>125</v>
          </cell>
        </row>
        <row r="538">
          <cell r="A538" t="str">
            <v>MX721-ITX7A</v>
          </cell>
          <cell r="B538" t="str">
            <v>MMT™ Taper Iron 125 TX-flex (0.355 taper) 37"</v>
          </cell>
          <cell r="C538">
            <v>124</v>
          </cell>
        </row>
        <row r="539">
          <cell r="A539" t="str">
            <v>MX721-ITX8A</v>
          </cell>
          <cell r="B539" t="str">
            <v>MMT™ Taper Iron 125 TX-flex (0.355 taper) 36.5"</v>
          </cell>
          <cell r="C539">
            <v>125</v>
          </cell>
        </row>
        <row r="540">
          <cell r="A540" t="str">
            <v>MX721-ITX9A</v>
          </cell>
          <cell r="B540" t="str">
            <v>MMT™ Taper Iron 125 TX-flex (0.355 taper) 36"</v>
          </cell>
          <cell r="C540">
            <v>126</v>
          </cell>
        </row>
        <row r="541">
          <cell r="A541" t="str">
            <v>MX721-ITXPA</v>
          </cell>
          <cell r="B541" t="str">
            <v>MMT™ Taper Iron 125 TX-flex (0.355 taper) 35.5"</v>
          </cell>
          <cell r="C541">
            <v>125</v>
          </cell>
        </row>
        <row r="542">
          <cell r="A542" t="str">
            <v>MX728-IA-4A</v>
          </cell>
          <cell r="B542" t="str">
            <v>MMT™ Taper Iron 55 A-flex (0.355 taper)</v>
          </cell>
          <cell r="C542">
            <v>62</v>
          </cell>
        </row>
        <row r="543">
          <cell r="A543" t="str">
            <v>MX728-IA-5A</v>
          </cell>
          <cell r="B543" t="str">
            <v>MMT™ Taper Iron 55 A-flex (0.355 taper)</v>
          </cell>
          <cell r="C543">
            <v>62</v>
          </cell>
        </row>
        <row r="544">
          <cell r="A544" t="str">
            <v>MX728-IA-6A</v>
          </cell>
          <cell r="B544" t="str">
            <v>MMT™ Taper Iron 55 A-flex (0.355 taper)</v>
          </cell>
          <cell r="C544">
            <v>61</v>
          </cell>
        </row>
        <row r="545">
          <cell r="A545" t="str">
            <v>MX728-IA-7A</v>
          </cell>
          <cell r="B545" t="str">
            <v>MMT™ Taper Iron 55 A-flex (0.355 taper)</v>
          </cell>
          <cell r="C545">
            <v>61</v>
          </cell>
        </row>
        <row r="546">
          <cell r="A546" t="str">
            <v>MX728-IA-8A</v>
          </cell>
          <cell r="B546" t="str">
            <v>MMT™ Taper Iron 55 A-flex (0.355 taper)</v>
          </cell>
          <cell r="C546">
            <v>61</v>
          </cell>
        </row>
        <row r="547">
          <cell r="A547" t="str">
            <v>MX728-IA-9A</v>
          </cell>
          <cell r="B547" t="str">
            <v>MMT™ Taper Iron 55 A-flex (0.355 taper)</v>
          </cell>
          <cell r="C547">
            <v>61</v>
          </cell>
        </row>
        <row r="548">
          <cell r="A548" t="str">
            <v>MX728-IA-PA</v>
          </cell>
          <cell r="B548" t="str">
            <v>MMT™ Taper Iron 55 A-flex (0.355 taper)</v>
          </cell>
          <cell r="C548">
            <v>61</v>
          </cell>
        </row>
        <row r="549">
          <cell r="A549" t="str">
            <v>MX730-IS-5A</v>
          </cell>
          <cell r="B549" t="str">
            <v>MMT™ Taper Iron 75 S-flex (0.355 taper)</v>
          </cell>
          <cell r="C549">
            <v>74</v>
          </cell>
        </row>
        <row r="550">
          <cell r="A550" t="str">
            <v>MX730-IS-6A</v>
          </cell>
          <cell r="B550" t="str">
            <v>MMT™ Taper Iron 75 S-flex (0.355 taper)</v>
          </cell>
          <cell r="C550">
            <v>73.5</v>
          </cell>
        </row>
        <row r="551">
          <cell r="A551" t="str">
            <v>MX730-IS-7A</v>
          </cell>
          <cell r="B551" t="str">
            <v>MMT™ Taper Iron 75 S-flex (0.355 taper)</v>
          </cell>
          <cell r="C551">
            <v>73</v>
          </cell>
        </row>
        <row r="552">
          <cell r="A552" t="str">
            <v>MX730-IS-8A</v>
          </cell>
          <cell r="B552" t="str">
            <v>MMT™ Taper Iron 75 S-flex (0.355 taper)</v>
          </cell>
          <cell r="C552">
            <v>74.5</v>
          </cell>
        </row>
        <row r="553">
          <cell r="A553" t="str">
            <v>MX730-IS-9A</v>
          </cell>
          <cell r="B553" t="str">
            <v>MMT™ Taper Iron 75 S-flex (0.355 taper)</v>
          </cell>
          <cell r="C553">
            <v>74.5</v>
          </cell>
        </row>
        <row r="554">
          <cell r="A554" t="str">
            <v>MX730-IS-PA</v>
          </cell>
          <cell r="B554" t="str">
            <v>MMT™ Taper Iron 75 S-flex (0.355 taper)</v>
          </cell>
          <cell r="C554">
            <v>75</v>
          </cell>
        </row>
        <row r="555">
          <cell r="A555" t="str">
            <v>SF240-IS-4A</v>
          </cell>
          <cell r="B555" t="str">
            <v>N7283801 SHI-MCA MMT #4 S</v>
          </cell>
          <cell r="C555">
            <v>72</v>
          </cell>
        </row>
        <row r="556">
          <cell r="A556" t="str">
            <v>SF240-IS-PA</v>
          </cell>
          <cell r="B556" t="str">
            <v>N7284401 SHI-MCA MMT PW/AW S</v>
          </cell>
          <cell r="C556">
            <v>75</v>
          </cell>
        </row>
        <row r="557">
          <cell r="A557" t="str">
            <v>AX117-WS-1CA</v>
          </cell>
          <cell r="B557" t="str">
            <v>3504J3 SF WD ALDILA ROGUE WHT MSI 80 GR STF</v>
          </cell>
          <cell r="C557">
            <v>80.5</v>
          </cell>
        </row>
        <row r="558">
          <cell r="A558" t="str">
            <v>AX117-WX-1CA</v>
          </cell>
          <cell r="B558" t="str">
            <v>3504J4 SF WD ALDILA ROGUE WHT MSI 80 GR XST</v>
          </cell>
          <cell r="C558">
            <v>84.5</v>
          </cell>
        </row>
        <row r="559">
          <cell r="A559" t="str">
            <v>AX116-WR-1CA</v>
          </cell>
          <cell r="B559" t="str">
            <v>SF WD ALDILA ROGUE WHT MSI 130 60 GR REG</v>
          </cell>
          <cell r="C559">
            <v>62.5</v>
          </cell>
        </row>
        <row r="560">
          <cell r="A560" t="str">
            <v>MX727-IS-1A</v>
          </cell>
          <cell r="B560" t="str">
            <v>MMT™ Iron 90 S-flex (0.370 parallel)</v>
          </cell>
          <cell r="C560">
            <v>99.5</v>
          </cell>
        </row>
        <row r="561">
          <cell r="A561" t="str">
            <v>SF240-IS-5A</v>
          </cell>
          <cell r="B561" t="str">
            <v>N7283901 SHI-MCA MMT #5 S</v>
          </cell>
          <cell r="C561">
            <v>74</v>
          </cell>
        </row>
        <row r="562">
          <cell r="A562" t="str">
            <v>SF240-IS-6A</v>
          </cell>
          <cell r="B562" t="str">
            <v>N7284001 SHI-MCA MMT #6 S</v>
          </cell>
          <cell r="C562">
            <v>73.5</v>
          </cell>
        </row>
        <row r="563">
          <cell r="A563" t="str">
            <v>SF240-IS-8A</v>
          </cell>
          <cell r="B563" t="str">
            <v>N7284201 SHI-MCA MMT #8 S</v>
          </cell>
          <cell r="C563">
            <v>74.5</v>
          </cell>
        </row>
        <row r="564">
          <cell r="A564" t="str">
            <v>SF240-IS-9A</v>
          </cell>
          <cell r="B564" t="str">
            <v>N7284301 SHI-MCA MMT #9 S</v>
          </cell>
          <cell r="C564">
            <v>74.5</v>
          </cell>
        </row>
        <row r="565">
          <cell r="A565" t="str">
            <v>MX681-IS-3A</v>
          </cell>
          <cell r="B565" t="str">
            <v>MMT™ Taper Iron 105 S-flex (0.355 taper) 39"</v>
          </cell>
          <cell r="C565">
            <v>105.5</v>
          </cell>
        </row>
        <row r="566">
          <cell r="A566" t="str">
            <v>MX681-IS-4A</v>
          </cell>
          <cell r="B566" t="str">
            <v>MMT™ Taper Iron 105 S-flex (0.355 taper) 38.5"</v>
          </cell>
          <cell r="C566">
            <v>107</v>
          </cell>
        </row>
        <row r="567">
          <cell r="A567" t="str">
            <v>MX681-IS-5A</v>
          </cell>
          <cell r="B567" t="str">
            <v>MMT™ Taper Iron 105 S-flex (0.355 taper) 38"</v>
          </cell>
          <cell r="C567">
            <v>106.5</v>
          </cell>
        </row>
        <row r="568">
          <cell r="A568" t="str">
            <v>MX681-IS-6A</v>
          </cell>
          <cell r="B568" t="str">
            <v>MMT™ Taper Iron 105 S-flex (0.355 taper) 37.5"</v>
          </cell>
          <cell r="C568">
            <v>108</v>
          </cell>
        </row>
        <row r="569">
          <cell r="A569" t="str">
            <v>MX681-IS-7A</v>
          </cell>
          <cell r="B569" t="str">
            <v>MMT™ Taper Iron 105 S-flex (0.355 taper) 37"</v>
          </cell>
          <cell r="C569">
            <v>107</v>
          </cell>
        </row>
        <row r="570">
          <cell r="A570" t="str">
            <v>MX681-IS-8A</v>
          </cell>
          <cell r="B570" t="str">
            <v>MMT™ Taper Iron 105 S-flex (0.355 taper) 36.5"</v>
          </cell>
          <cell r="C570">
            <v>108.5</v>
          </cell>
        </row>
        <row r="571">
          <cell r="A571" t="str">
            <v>MX681-IS-9A</v>
          </cell>
          <cell r="B571" t="str">
            <v>MMT™ Taper Iron 105 S-flex (0.355 taper) 36"</v>
          </cell>
          <cell r="C571">
            <v>108.5</v>
          </cell>
        </row>
        <row r="572">
          <cell r="A572" t="str">
            <v>MX681-IS-PA</v>
          </cell>
          <cell r="B572" t="str">
            <v>MMT™ Taper Iron 105 S-flex (0.355 taper) 35.5"</v>
          </cell>
          <cell r="C572">
            <v>108.5</v>
          </cell>
        </row>
        <row r="573">
          <cell r="A573" t="str">
            <v>MX681-ITX3A</v>
          </cell>
          <cell r="B573" t="str">
            <v>MMT™ Taper Iron 105 TX-flex (0.355 taper) 39"</v>
          </cell>
          <cell r="C573">
            <v>113</v>
          </cell>
        </row>
        <row r="574">
          <cell r="A574" t="str">
            <v>MX681-ITX4A</v>
          </cell>
          <cell r="B574" t="str">
            <v>MMT™ Taper Iron 105 TX-flex (0.355 taper) 38.5"</v>
          </cell>
          <cell r="C574">
            <v>113</v>
          </cell>
        </row>
        <row r="575">
          <cell r="A575" t="str">
            <v>MX681-ITX5A</v>
          </cell>
          <cell r="B575" t="str">
            <v>MMT™ Taper Iron 105 TX-flex (0.355 taper) 38"</v>
          </cell>
          <cell r="C575">
            <v>113</v>
          </cell>
        </row>
        <row r="576">
          <cell r="A576" t="str">
            <v>MX681-ITX6A</v>
          </cell>
          <cell r="B576" t="str">
            <v>MMT™ Taper Iron 105 TX-flex (0.355 taper) 37.5"</v>
          </cell>
          <cell r="C576">
            <v>113</v>
          </cell>
        </row>
        <row r="577">
          <cell r="A577" t="str">
            <v>MX681-ITX7A</v>
          </cell>
          <cell r="B577" t="str">
            <v>MMT™ Taper Iron 105 TX-flex (0.355 taper) 37"</v>
          </cell>
          <cell r="C577">
            <v>113</v>
          </cell>
        </row>
        <row r="578">
          <cell r="A578" t="str">
            <v>MX681-ITX8A</v>
          </cell>
          <cell r="B578" t="str">
            <v>MMT™ Taper Iron 105 TX-flex (0.355 taper) 36.5"</v>
          </cell>
          <cell r="C578">
            <v>113</v>
          </cell>
        </row>
        <row r="579">
          <cell r="A579" t="str">
            <v>MX681-ITX9A</v>
          </cell>
          <cell r="B579" t="str">
            <v>MMT™ Taper Iron 105 TX-flex (0.355 taper) 36"</v>
          </cell>
          <cell r="C579">
            <v>113</v>
          </cell>
        </row>
        <row r="580">
          <cell r="A580" t="str">
            <v>MX681-ITXPA</v>
          </cell>
          <cell r="B580" t="str">
            <v>MMT™ Taper Iron 105 TX-flex (0.355 taper) 35.5"</v>
          </cell>
          <cell r="C580">
            <v>113</v>
          </cell>
        </row>
        <row r="581">
          <cell r="A581" t="str">
            <v>SF245-WS-1A</v>
          </cell>
          <cell r="B581" t="str">
            <v>N9000301 Tensei Silver DR/FW TM50 SR (JPN / ASIA)</v>
          </cell>
          <cell r="C581">
            <v>56.5</v>
          </cell>
        </row>
        <row r="582">
          <cell r="A582" t="str">
            <v>SF245-WSR1A</v>
          </cell>
          <cell r="B582" t="str">
            <v>N9000401 Tensei Silver DR/FW TM50 R (JPN / ASIA)</v>
          </cell>
          <cell r="C582">
            <v>54</v>
          </cell>
        </row>
        <row r="583">
          <cell r="A583" t="str">
            <v>SF245-WX-1A</v>
          </cell>
          <cell r="B583" t="str">
            <v>N9000201 Tensei Silver DR/FW TM50 S (JPN / ASIA)</v>
          </cell>
          <cell r="C583">
            <v>59</v>
          </cell>
        </row>
        <row r="584">
          <cell r="A584" t="str">
            <v>AX120-WTX1AA</v>
          </cell>
          <cell r="B584" t="str">
            <v>RIPX 60 TX-flex</v>
          </cell>
          <cell r="C584">
            <v>67.5</v>
          </cell>
        </row>
        <row r="585">
          <cell r="A585" t="str">
            <v>AX121-WTX1AA</v>
          </cell>
          <cell r="B585" t="str">
            <v>RIPX 70 TX-flex</v>
          </cell>
          <cell r="C585">
            <v>78</v>
          </cell>
        </row>
        <row r="586">
          <cell r="A586" t="str">
            <v>AX122-WTX1AA</v>
          </cell>
          <cell r="B586" t="str">
            <v>RIPX 80 TX-flex</v>
          </cell>
          <cell r="C586">
            <v>86.5</v>
          </cell>
        </row>
        <row r="587">
          <cell r="A587" t="str">
            <v>AX128-WTX1AA</v>
          </cell>
          <cell r="B587" t="str">
            <v>RIPX 90 TX-flex</v>
          </cell>
          <cell r="C587">
            <v>96.5</v>
          </cell>
        </row>
        <row r="588">
          <cell r="A588" t="str">
            <v>MX705-IA-2AO</v>
          </cell>
          <cell r="B588" t="str">
            <v>KURO KAGE BLACK Dual Core TiNi Hyb. 60A</v>
          </cell>
        </row>
        <row r="589">
          <cell r="A589" t="str">
            <v>MX726-IS-3A</v>
          </cell>
          <cell r="B589" t="str">
            <v>MMT™ Taper Iron 85 S-flex (0.355 taper)</v>
          </cell>
          <cell r="C589">
            <v>88</v>
          </cell>
        </row>
        <row r="590">
          <cell r="A590" t="str">
            <v>MX726-IS-4A</v>
          </cell>
          <cell r="B590" t="str">
            <v>MMT™ Taper Iron 85 S-flex (0.355 taper)</v>
          </cell>
          <cell r="C590">
            <v>87.5</v>
          </cell>
        </row>
        <row r="591">
          <cell r="A591" t="str">
            <v>MX726-IS-5A</v>
          </cell>
          <cell r="B591" t="str">
            <v>MMT™ Taper Iron 85 S-flex (0.355 taper)</v>
          </cell>
          <cell r="C591">
            <v>88</v>
          </cell>
        </row>
        <row r="592">
          <cell r="A592" t="str">
            <v>MX726-IS-6A</v>
          </cell>
          <cell r="B592" t="str">
            <v>MMT™ Taper Iron 85 S-flex (0.355 taper)</v>
          </cell>
          <cell r="C592">
            <v>86</v>
          </cell>
        </row>
        <row r="593">
          <cell r="A593" t="str">
            <v>MX726-IS-7A</v>
          </cell>
          <cell r="B593" t="str">
            <v>MMT™ Taper Iron 85 S-flex (0.355 taper)</v>
          </cell>
          <cell r="C593">
            <v>87</v>
          </cell>
        </row>
        <row r="594">
          <cell r="A594" t="str">
            <v>MX726-IS-8A</v>
          </cell>
          <cell r="B594" t="str">
            <v>MMT™ Taper Iron 85 S-flex (0.355 taper)</v>
          </cell>
          <cell r="C594">
            <v>87</v>
          </cell>
        </row>
        <row r="595">
          <cell r="A595" t="str">
            <v>MX726-IS-9A</v>
          </cell>
          <cell r="B595" t="str">
            <v>MMT™ Taper Iron 85 S-flex (0.355 taper)</v>
          </cell>
          <cell r="C595">
            <v>87</v>
          </cell>
        </row>
        <row r="596">
          <cell r="A596" t="str">
            <v>MX726-IS-PA</v>
          </cell>
          <cell r="B596" t="str">
            <v>MMT™ Taper Iron 85 S-flex (0.355 taper)</v>
          </cell>
          <cell r="C596">
            <v>87</v>
          </cell>
        </row>
        <row r="597">
          <cell r="A597" t="str">
            <v>SF243-WX-3A</v>
          </cell>
          <cell r="B597" t="str">
            <v>N8102101 / DIAMANA S+ Limited FW 75G X</v>
          </cell>
          <cell r="C597">
            <v>76.5</v>
          </cell>
        </row>
        <row r="598">
          <cell r="A598" t="str">
            <v>MX726-IR-3A</v>
          </cell>
          <cell r="B598" t="str">
            <v>MMT™ Taper Iron 85 R-flex (0.355 taper)</v>
          </cell>
          <cell r="C598">
            <v>84</v>
          </cell>
        </row>
        <row r="599">
          <cell r="A599" t="str">
            <v>MX726-IR-4A</v>
          </cell>
          <cell r="B599" t="str">
            <v>MMT™ Taper Iron 85 R-flex (0.355 taper)</v>
          </cell>
          <cell r="C599">
            <v>83</v>
          </cell>
        </row>
        <row r="600">
          <cell r="A600" t="str">
            <v>MX726-IR-5A</v>
          </cell>
          <cell r="B600" t="str">
            <v>MMT™ Taper Iron 85 R-flex (0.355 taper)</v>
          </cell>
          <cell r="C600">
            <v>83</v>
          </cell>
        </row>
        <row r="601">
          <cell r="A601" t="str">
            <v>MX726-IR-6A</v>
          </cell>
          <cell r="B601" t="str">
            <v>MMT™ Taper Iron 85 R-flex (0.355 taper)</v>
          </cell>
          <cell r="C601">
            <v>82</v>
          </cell>
        </row>
        <row r="602">
          <cell r="A602" t="str">
            <v>MX726-IR-7A</v>
          </cell>
          <cell r="B602" t="str">
            <v>MMT™ Taper Iron 85 R-flex (0.355 taper)</v>
          </cell>
          <cell r="C602">
            <v>81</v>
          </cell>
        </row>
        <row r="603">
          <cell r="A603" t="str">
            <v>MX726-IR-8A</v>
          </cell>
          <cell r="B603" t="str">
            <v>MMT™ Taper Iron 85 R-flex (0.355 taper)</v>
          </cell>
          <cell r="C603">
            <v>82</v>
          </cell>
        </row>
        <row r="604">
          <cell r="A604" t="str">
            <v>MX726-IR-9A</v>
          </cell>
          <cell r="B604" t="str">
            <v>MMT™ Taper Iron 85 R-flex (0.355 taper)</v>
          </cell>
          <cell r="C604">
            <v>82</v>
          </cell>
        </row>
        <row r="605">
          <cell r="A605" t="str">
            <v>MX726-IR-PA</v>
          </cell>
          <cell r="B605" t="str">
            <v>MMT™ Taper Iron 85 R-flex (0.355 taper)</v>
          </cell>
          <cell r="C605">
            <v>82</v>
          </cell>
        </row>
        <row r="606">
          <cell r="A606" t="str">
            <v>CW099-WS-1A</v>
          </cell>
          <cell r="B606" t="str">
            <v>3503L3 / SF WD MAVRIK DR 50G GR S JV</v>
          </cell>
          <cell r="C606">
            <v>49</v>
          </cell>
        </row>
        <row r="607">
          <cell r="A607" t="str">
            <v>SF246-WL-1B</v>
          </cell>
          <cell r="B607" t="str">
            <v>N9028101 / SHM Tensei Blue DR/FW TM40 L (JPN / ASIA)</v>
          </cell>
          <cell r="C607">
            <v>48</v>
          </cell>
        </row>
        <row r="608">
          <cell r="A608" t="str">
            <v>SF246-WA-1B</v>
          </cell>
          <cell r="B608" t="str">
            <v>N9028201 / SHM Tensei Blue DR/FW TM40 A (JPN / ASIA)</v>
          </cell>
          <cell r="C608">
            <v>50</v>
          </cell>
        </row>
        <row r="609">
          <cell r="A609" t="str">
            <v>SF243-WA-3A</v>
          </cell>
          <cell r="B609" t="str">
            <v>N8126901 / DIAMANA S+ Limited FW 75G A</v>
          </cell>
          <cell r="C609">
            <v>67.5</v>
          </cell>
        </row>
        <row r="610">
          <cell r="A610" t="str">
            <v>SP392-IR-4A</v>
          </cell>
          <cell r="B610" t="str">
            <v>BASSARA B50 V300Ⅶ Iron  Flex-R</v>
          </cell>
          <cell r="C610">
            <v>57.5</v>
          </cell>
        </row>
        <row r="611">
          <cell r="A611" t="str">
            <v>CW100-WR-1A</v>
          </cell>
          <cell r="B611" t="str">
            <v>3505U2 / SF WD DIAMANA ORG / SL V40GR R JV</v>
          </cell>
          <cell r="C611">
            <v>44.5</v>
          </cell>
        </row>
        <row r="612">
          <cell r="A612" t="str">
            <v>CW101-WA-1A</v>
          </cell>
          <cell r="B612" t="str">
            <v>3507O1 / SF WD DIAMANA 40 SLV GR LDY A JV</v>
          </cell>
          <cell r="C612">
            <v>41.5</v>
          </cell>
        </row>
        <row r="613">
          <cell r="A613" t="str">
            <v>CW101-WL-1A</v>
          </cell>
          <cell r="B613" t="str">
            <v>3506G1 / SF WD DIAMANA 40 SLV GR LDY L JV</v>
          </cell>
          <cell r="C613">
            <v>39.5</v>
          </cell>
        </row>
        <row r="614">
          <cell r="A614" t="str">
            <v>CW100-WSR1A</v>
          </cell>
          <cell r="B614" t="str">
            <v>3505U5 / SF WD DIAMANA ORG / SL V40GR SR JV</v>
          </cell>
          <cell r="C614">
            <v>46</v>
          </cell>
        </row>
        <row r="615">
          <cell r="A615" t="str">
            <v>CW099-WR-1A</v>
          </cell>
          <cell r="B615" t="str">
            <v>3503L2 / SF WD MAVRIK DR 50G GR R JV</v>
          </cell>
          <cell r="C615">
            <v>45</v>
          </cell>
        </row>
        <row r="616">
          <cell r="A616" t="str">
            <v>CW099-WSR1A</v>
          </cell>
          <cell r="B616" t="str">
            <v>3503L5 / SF WD MAVRIK DR 50G GR SR JV</v>
          </cell>
          <cell r="C616">
            <v>47</v>
          </cell>
        </row>
        <row r="617">
          <cell r="A617" t="str">
            <v>CW100-WS-1A</v>
          </cell>
          <cell r="B617" t="str">
            <v>3505U3 / SF WD DIAMANA ORG / SL V40GR S JV</v>
          </cell>
          <cell r="C617">
            <v>48</v>
          </cell>
        </row>
        <row r="618">
          <cell r="A618" t="str">
            <v>CW100-IS-2A</v>
          </cell>
          <cell r="B618" t="str">
            <v>3507S3405 / SF IR/HY DIAMANA ORG/SLV 40 GR STF GR 40.5 JV</v>
          </cell>
          <cell r="C618">
            <v>50</v>
          </cell>
        </row>
        <row r="619">
          <cell r="A619" t="str">
            <v>AX103-WR-1CA</v>
          </cell>
          <cell r="B619" t="str">
            <v>SF WD ALDILA ROGUE WHT MSI 130 70 GR REG</v>
          </cell>
          <cell r="C619">
            <v>68.5</v>
          </cell>
        </row>
        <row r="620">
          <cell r="A620" t="str">
            <v>MX741-IA-6A</v>
          </cell>
          <cell r="B620" t="str">
            <v>TENSEI™ AV Red AM2 Iron 60 A-flex 38.5"</v>
          </cell>
          <cell r="C620">
            <v>55</v>
          </cell>
        </row>
        <row r="621">
          <cell r="A621" t="str">
            <v>MX741-IA-7A</v>
          </cell>
          <cell r="B621" t="str">
            <v>TENSEI™ AV Red AM2 Iron 60 A-flex 38"</v>
          </cell>
          <cell r="C621">
            <v>55</v>
          </cell>
        </row>
        <row r="622">
          <cell r="A622" t="str">
            <v>MX741-IA-8A</v>
          </cell>
          <cell r="B622" t="str">
            <v>TENSEI™ AV Red AM2 Iron 60 A-flex 37.5"</v>
          </cell>
          <cell r="C622">
            <v>57</v>
          </cell>
        </row>
        <row r="623">
          <cell r="A623" t="str">
            <v>MX741-IA-9A</v>
          </cell>
          <cell r="B623" t="str">
            <v>TENSEI™ AV Red AM2 Iron 60 A-flex 37"</v>
          </cell>
          <cell r="C623">
            <v>59</v>
          </cell>
        </row>
        <row r="624">
          <cell r="A624" t="str">
            <v>MX741-IA-GA</v>
          </cell>
          <cell r="B624" t="str">
            <v>TENSEI™ AV Red AM2 Iron 60 A-flex 36.5"</v>
          </cell>
          <cell r="C624">
            <v>63</v>
          </cell>
        </row>
        <row r="625">
          <cell r="A625" t="str">
            <v>MX741-IA-PA</v>
          </cell>
          <cell r="B625" t="str">
            <v>TENSEI™ AV Red AM2 Iron 60 A-flex 36.75"</v>
          </cell>
          <cell r="C625">
            <v>61</v>
          </cell>
        </row>
        <row r="626">
          <cell r="A626" t="str">
            <v>MX741-IL-4A</v>
          </cell>
          <cell r="B626" t="str">
            <v>TENSEI™ AV Red AM2 Iron 60 L-flex 39.5"</v>
          </cell>
          <cell r="C626">
            <v>48</v>
          </cell>
        </row>
        <row r="627">
          <cell r="A627" t="str">
            <v>MX741-IL-5A</v>
          </cell>
          <cell r="B627" t="str">
            <v>TENSEI™ AV Red AM2 Iron 60 L-flex 39"</v>
          </cell>
          <cell r="C627">
            <v>48</v>
          </cell>
        </row>
        <row r="628">
          <cell r="A628" t="str">
            <v>MX741-IL-6A</v>
          </cell>
          <cell r="B628" t="str">
            <v>TENSEI™ AV Red AM2 Iron 60 L-flex 38.5"</v>
          </cell>
          <cell r="C628">
            <v>48</v>
          </cell>
        </row>
        <row r="629">
          <cell r="A629" t="str">
            <v>MX741-IL-7A</v>
          </cell>
          <cell r="B629" t="str">
            <v>TENSEI™ AV Red AM2 Iron 60 L-flex 38"</v>
          </cell>
          <cell r="C629">
            <v>48</v>
          </cell>
        </row>
        <row r="630">
          <cell r="A630" t="str">
            <v>MX741-IL-GA</v>
          </cell>
          <cell r="B630" t="str">
            <v>TENSEI™ AV Red AM2 Iron 60 L-flex 36.5"</v>
          </cell>
          <cell r="C630">
            <v>56</v>
          </cell>
        </row>
        <row r="631">
          <cell r="A631" t="str">
            <v>MX741-IA-5A</v>
          </cell>
          <cell r="B631" t="str">
            <v>TENSEI™ AV Red AM2 Iron 60 A-flex 39"</v>
          </cell>
          <cell r="C631">
            <v>55</v>
          </cell>
        </row>
        <row r="632">
          <cell r="A632" t="str">
            <v>MX741-IR-4A</v>
          </cell>
          <cell r="B632" t="str">
            <v>TENSEI™ AV Red AM2 Iron 60 R-flex 39.5"</v>
          </cell>
          <cell r="C632">
            <v>57</v>
          </cell>
        </row>
        <row r="633">
          <cell r="A633" t="str">
            <v>MX741-IR-5A</v>
          </cell>
          <cell r="B633" t="str">
            <v>TENSEI™ AV Red AM2 Iron 60 R-flex 39"</v>
          </cell>
          <cell r="C633">
            <v>57</v>
          </cell>
        </row>
        <row r="634">
          <cell r="A634" t="str">
            <v>MX741-IR-6A</v>
          </cell>
          <cell r="B634" t="str">
            <v>TENSEI™ AV Red AM2 Iron 60 R-flex 38.5"</v>
          </cell>
          <cell r="C634">
            <v>57</v>
          </cell>
        </row>
        <row r="635">
          <cell r="A635" t="str">
            <v>MX741-IR-7A</v>
          </cell>
          <cell r="B635" t="str">
            <v>TENSEI™ AV Red AM2 Iron 60 R-flex 38"</v>
          </cell>
          <cell r="C635">
            <v>57</v>
          </cell>
        </row>
        <row r="636">
          <cell r="A636" t="str">
            <v>MX741-IR-8A</v>
          </cell>
          <cell r="B636" t="str">
            <v>TENSEI™ AV Red AM2 Iron 60 R-flex 37.5"</v>
          </cell>
          <cell r="C636">
            <v>59</v>
          </cell>
        </row>
        <row r="637">
          <cell r="A637" t="str">
            <v>MX741-IR-9A</v>
          </cell>
          <cell r="B637" t="str">
            <v>TENSEI™ AV Red AM2 Iron 60 R-flex 37"</v>
          </cell>
          <cell r="C637">
            <v>61</v>
          </cell>
        </row>
        <row r="638">
          <cell r="A638" t="str">
            <v>MX741-IR-GA</v>
          </cell>
          <cell r="B638" t="str">
            <v>TENSEI™ AV Red AM2 Iron 60 R-flex 36.5"</v>
          </cell>
          <cell r="C638">
            <v>65</v>
          </cell>
        </row>
        <row r="639">
          <cell r="A639" t="str">
            <v>MX741-IR-PA</v>
          </cell>
          <cell r="B639" t="str">
            <v>TENSEI™ AV Red AM2 Iron 60 R-flex 36.75"</v>
          </cell>
          <cell r="C639">
            <v>63</v>
          </cell>
        </row>
        <row r="640">
          <cell r="A640" t="str">
            <v>MX741-IS-4A</v>
          </cell>
          <cell r="B640" t="str">
            <v>TENSEI™ AV Red AM2 Iron 60 S-flex 39.5"</v>
          </cell>
          <cell r="C640">
            <v>60</v>
          </cell>
        </row>
        <row r="641">
          <cell r="A641" t="str">
            <v>MX741-IS-7A</v>
          </cell>
          <cell r="B641" t="str">
            <v>TENSEI™ AV Red AM2 Iron 60 S-flex 38"</v>
          </cell>
          <cell r="C641">
            <v>60</v>
          </cell>
        </row>
        <row r="642">
          <cell r="A642" t="str">
            <v>MX741-IS-6A</v>
          </cell>
          <cell r="B642" t="str">
            <v>TENSEI™ AV Red AM2 Iron 60 S-flex 38.5"</v>
          </cell>
          <cell r="C642">
            <v>60</v>
          </cell>
        </row>
        <row r="643">
          <cell r="A643" t="str">
            <v>MX741-IS-5A</v>
          </cell>
          <cell r="B643" t="str">
            <v>TENSEI™ AV Red AM2 Iron 60 S-flex 39"</v>
          </cell>
          <cell r="C643">
            <v>60</v>
          </cell>
        </row>
        <row r="644">
          <cell r="A644" t="str">
            <v>MX741-IS-8A</v>
          </cell>
          <cell r="B644" t="str">
            <v>TENSEI™ AV Red AM2 Iron 60 S-flex 37.5"</v>
          </cell>
          <cell r="C644">
            <v>62</v>
          </cell>
        </row>
        <row r="645">
          <cell r="A645" t="str">
            <v>MX741-IS-9A</v>
          </cell>
          <cell r="B645" t="str">
            <v>TENSEI™ AV Red AM2 Iron 60 S-flex 37"</v>
          </cell>
          <cell r="C645">
            <v>64</v>
          </cell>
        </row>
        <row r="646">
          <cell r="A646" t="str">
            <v>MX741-IS-GA</v>
          </cell>
          <cell r="B646" t="str">
            <v>TENSEI™ AV Red AM2 Iron 60 S-flex 36.5"</v>
          </cell>
          <cell r="C646">
            <v>68</v>
          </cell>
        </row>
        <row r="647">
          <cell r="A647" t="str">
            <v>MX741-IS-PA</v>
          </cell>
          <cell r="B647" t="str">
            <v>TENSEI™ AV Red AM2 Iron 60 S-flex 36.75"</v>
          </cell>
          <cell r="C647">
            <v>66</v>
          </cell>
        </row>
        <row r="648">
          <cell r="A648" t="str">
            <v>MX741-IA-4A</v>
          </cell>
          <cell r="B648" t="str">
            <v>TENSEI™ AV Red AM2 Iron 60 A-flex 39.5"</v>
          </cell>
          <cell r="C648">
            <v>55</v>
          </cell>
        </row>
        <row r="649">
          <cell r="A649" t="str">
            <v>MX741-IL-PA</v>
          </cell>
          <cell r="B649" t="str">
            <v>TENSEI™ AV Red AM2 Iron 60 L-flex 36.75"</v>
          </cell>
          <cell r="C649">
            <v>54</v>
          </cell>
        </row>
        <row r="650">
          <cell r="A650" t="str">
            <v>MX741-IL-8A</v>
          </cell>
          <cell r="B650" t="str">
            <v>TENSEI™ AV Red AM2 Iron 60 L-flex 37.5"</v>
          </cell>
          <cell r="C650">
            <v>50</v>
          </cell>
        </row>
        <row r="651">
          <cell r="A651" t="str">
            <v>MX741-IL-9A</v>
          </cell>
          <cell r="B651" t="str">
            <v>TENSEI™ AV Red AM2 Iron 60 L-flex 37"</v>
          </cell>
          <cell r="C651">
            <v>52</v>
          </cell>
        </row>
        <row r="652">
          <cell r="A652" t="str">
            <v>CW101-IA-2A</v>
          </cell>
          <cell r="B652" t="str">
            <v>3507S3405 / SF IR/HY DIAMANA ORG/SLV 40 GR STF GR 40.5 JV</v>
          </cell>
          <cell r="C652">
            <v>43.5</v>
          </cell>
        </row>
        <row r="653">
          <cell r="A653" t="str">
            <v>CW101-IL-2A</v>
          </cell>
          <cell r="B653" t="str">
            <v>3506H1395 / SF IR DIAMANA SLV 40 GR LDY 39.5 JV</v>
          </cell>
          <cell r="C653">
            <v>42.5</v>
          </cell>
        </row>
        <row r="654">
          <cell r="A654" t="str">
            <v>CW100-IR-2A</v>
          </cell>
          <cell r="B654" t="str">
            <v>3507S2405 / SF IR/HY DIAMANA ORG/SLV 40 GR REG 40.5 JV</v>
          </cell>
          <cell r="C654">
            <v>47</v>
          </cell>
        </row>
        <row r="655">
          <cell r="A655" t="str">
            <v>CW100-ISR2A</v>
          </cell>
          <cell r="B655" t="str">
            <v>3507S5405 / SF IR/HY DIAMANA ORG/SLV 40 GR SR 40.5 JV</v>
          </cell>
          <cell r="C655">
            <v>48.5</v>
          </cell>
        </row>
        <row r="656">
          <cell r="A656" t="str">
            <v>CW099-IR-2A</v>
          </cell>
          <cell r="B656" t="str">
            <v>3503J2405 / SF IR/HY DIAMANA ORG/SLV 50 GR REG 40.5 JV</v>
          </cell>
          <cell r="C656">
            <v>53</v>
          </cell>
        </row>
        <row r="657">
          <cell r="A657" t="str">
            <v>CW099-IS-2A</v>
          </cell>
          <cell r="B657" t="str">
            <v>3503J3405 / SF IR/HY DIAMANA ORG/SLV 50 GR STF 40.5 JV</v>
          </cell>
          <cell r="C657">
            <v>55.5</v>
          </cell>
        </row>
        <row r="658">
          <cell r="A658" t="str">
            <v>CW099-ISR2A</v>
          </cell>
          <cell r="B658" t="str">
            <v>3503J5405 / SF IR/HY DIAMANA ORG/SLV 50 GR SR40.5 JV</v>
          </cell>
          <cell r="C658">
            <v>54</v>
          </cell>
        </row>
        <row r="659">
          <cell r="A659" t="str">
            <v>AX124AIR-8</v>
          </cell>
          <cell r="B659" t="str">
            <v>BLANK</v>
          </cell>
          <cell r="C659">
            <v>43</v>
          </cell>
        </row>
        <row r="660">
          <cell r="A660" t="str">
            <v>AX124AIR-9</v>
          </cell>
          <cell r="B660" t="str">
            <v>BLANK</v>
          </cell>
          <cell r="C660">
            <v>43</v>
          </cell>
        </row>
        <row r="661">
          <cell r="A661" t="str">
            <v>AX124AIR-P</v>
          </cell>
          <cell r="B661" t="str">
            <v>BLANK</v>
          </cell>
          <cell r="C661">
            <v>43</v>
          </cell>
        </row>
        <row r="662">
          <cell r="A662" t="str">
            <v>AX124AIR-2</v>
          </cell>
          <cell r="B662" t="str">
            <v>BLANK</v>
          </cell>
          <cell r="C662">
            <v>43</v>
          </cell>
        </row>
        <row r="663">
          <cell r="A663" t="str">
            <v>AX124AIR-3</v>
          </cell>
          <cell r="B663" t="str">
            <v>BLANK</v>
          </cell>
          <cell r="C663">
            <v>43</v>
          </cell>
        </row>
        <row r="664">
          <cell r="A664" t="str">
            <v>AX144-WR-1PA</v>
          </cell>
          <cell r="B664" t="str">
            <v>34985-04 / Coffee Driver Shaft - Asia Spec - R Flex</v>
          </cell>
          <cell r="C664">
            <v>48</v>
          </cell>
        </row>
        <row r="665">
          <cell r="A665" t="str">
            <v>AX144-WS-1PA</v>
          </cell>
          <cell r="B665" t="str">
            <v>34985-02 / Coffee Driver Shaft - Asia Spec - S Flex</v>
          </cell>
          <cell r="C665">
            <v>59</v>
          </cell>
        </row>
        <row r="666">
          <cell r="A666" t="str">
            <v>AX144-WSR1PA</v>
          </cell>
          <cell r="B666" t="str">
            <v>34985-03 / Coffee Driver Shaft - Asia Spec - SR Flex</v>
          </cell>
          <cell r="C666">
            <v>54</v>
          </cell>
        </row>
        <row r="667">
          <cell r="A667" t="str">
            <v>AX144-WX-1PA</v>
          </cell>
          <cell r="B667" t="str">
            <v>34985-01 / Coffee Driver Shaft - Asia Spec - X Flex</v>
          </cell>
          <cell r="C667">
            <v>64</v>
          </cell>
        </row>
        <row r="668">
          <cell r="A668" t="str">
            <v>SF240-IA-3A</v>
          </cell>
          <cell r="B668" t="str">
            <v>N8198801 / SHI-MCA MMT #3 A-flex</v>
          </cell>
          <cell r="C668">
            <v>62</v>
          </cell>
        </row>
        <row r="669">
          <cell r="A669" t="str">
            <v>SF240-IR-3A</v>
          </cell>
          <cell r="B669" t="str">
            <v>N8198701 / SHI-MCA MMT #3 R-flex</v>
          </cell>
          <cell r="C669">
            <v>64</v>
          </cell>
        </row>
        <row r="670">
          <cell r="A670" t="str">
            <v>SF240-IS-3A</v>
          </cell>
          <cell r="B670" t="str">
            <v>N8198601 / SHI-MCA MMT #3 S-flex</v>
          </cell>
          <cell r="C670">
            <v>71</v>
          </cell>
        </row>
        <row r="671">
          <cell r="A671" t="str">
            <v>AX144-IR-1PA</v>
          </cell>
          <cell r="B671" t="str">
            <v>34987-04 / Walnut HY Shaft - Asia Spec - R Flex</v>
          </cell>
          <cell r="C671">
            <v>52</v>
          </cell>
        </row>
        <row r="672">
          <cell r="A672" t="str">
            <v>AX144-IS-1PA</v>
          </cell>
          <cell r="B672" t="str">
            <v>34987-02 / Walnut HY Shaft - Asia Spec - S Flex</v>
          </cell>
          <cell r="C672">
            <v>63</v>
          </cell>
        </row>
        <row r="673">
          <cell r="A673" t="str">
            <v>AX144-ISR1PA</v>
          </cell>
          <cell r="B673" t="str">
            <v>34987-03 / Walnut HY Shaft - Asia Spec - SR Flex</v>
          </cell>
          <cell r="C673">
            <v>57</v>
          </cell>
        </row>
        <row r="674">
          <cell r="A674" t="str">
            <v>AX144-IX-1PA</v>
          </cell>
          <cell r="B674" t="str">
            <v>34987-01 / Walnut HY Shaft - Asia Spec - X Flex</v>
          </cell>
          <cell r="C674">
            <v>74</v>
          </cell>
        </row>
        <row r="675">
          <cell r="A675" t="str">
            <v>AX144-WR-3PA</v>
          </cell>
          <cell r="B675" t="str">
            <v>34986-04 / Hickory FW Shaft - Asia Spec - R Flex</v>
          </cell>
          <cell r="C675">
            <v>48</v>
          </cell>
        </row>
        <row r="676">
          <cell r="A676" t="str">
            <v>AX144-WS-3PA</v>
          </cell>
          <cell r="B676" t="str">
            <v>34986-02 / Hickory FW Shaft - Asia Spec - S Flex</v>
          </cell>
          <cell r="C676">
            <v>58.5</v>
          </cell>
        </row>
        <row r="677">
          <cell r="A677" t="str">
            <v>AX144-WSR3PA</v>
          </cell>
          <cell r="B677" t="str">
            <v>34986-03 / Hickory FW Shaft - Asia Spec - SR Flex</v>
          </cell>
          <cell r="C677">
            <v>53.5</v>
          </cell>
        </row>
        <row r="678">
          <cell r="A678" t="str">
            <v>AX144-WX-3PA</v>
          </cell>
          <cell r="B678" t="str">
            <v>34986-01 / Hickory FW Shaft - Asia Spec - X Flex</v>
          </cell>
          <cell r="C678">
            <v>69</v>
          </cell>
        </row>
        <row r="679">
          <cell r="A679" t="str">
            <v>XG009-IR-1A</v>
          </cell>
          <cell r="B679" t="str">
            <v>S-MMT-80-R MMT Parallel IRON 80R</v>
          </cell>
          <cell r="C679">
            <v>84.5</v>
          </cell>
        </row>
        <row r="680">
          <cell r="A680" t="str">
            <v>MR109-WR-1A</v>
          </cell>
          <cell r="B680" t="str">
            <v>8460701, 20 DANGAN Z R</v>
          </cell>
          <cell r="C680">
            <v>53</v>
          </cell>
        </row>
        <row r="681">
          <cell r="A681" t="str">
            <v>MR109-WS-1A</v>
          </cell>
          <cell r="B681" t="str">
            <v>8460719, 20 DANGAN Z S</v>
          </cell>
          <cell r="C681">
            <v>59.5</v>
          </cell>
        </row>
        <row r="682">
          <cell r="A682" t="str">
            <v>MX681-ITX2B</v>
          </cell>
          <cell r="B682" t="str">
            <v>MMT™ Utility Iron 105 TX-flex (0.355 taper)</v>
          </cell>
          <cell r="C682">
            <v>115</v>
          </cell>
        </row>
        <row r="683">
          <cell r="A683" t="str">
            <v>MX681-ITXSB</v>
          </cell>
          <cell r="B683" t="str">
            <v>MMT™ Scoring Wedge 105 TX-flex (0.355 taper)</v>
          </cell>
          <cell r="C683">
            <v>119</v>
          </cell>
        </row>
        <row r="684">
          <cell r="A684" t="str">
            <v>MX721-ITX2B</v>
          </cell>
          <cell r="B684" t="str">
            <v>MMT™ Utility Iron 125 TX-flex (0.355 taper)</v>
          </cell>
          <cell r="C684">
            <v>130</v>
          </cell>
        </row>
        <row r="685">
          <cell r="A685" t="str">
            <v>MX721-ITXSB</v>
          </cell>
          <cell r="B685" t="str">
            <v>MMT™ Scoring Wedge 125 TX-flex (0.355 taper)</v>
          </cell>
          <cell r="C685">
            <v>129</v>
          </cell>
        </row>
        <row r="686">
          <cell r="A686" t="str">
            <v>ASG6WX60AQZY</v>
          </cell>
          <cell r="B686" t="str">
            <v>NEXT GEN. NV® 65 X-flex (DEMO)</v>
          </cell>
          <cell r="C686">
            <v>68.5</v>
          </cell>
        </row>
        <row r="687">
          <cell r="A687" t="str">
            <v>SF244-IS-3A</v>
          </cell>
          <cell r="B687" t="str">
            <v>N8197301 / Diamana +PLUS Limited HY 75 S-flex</v>
          </cell>
          <cell r="C687">
            <v>79.5</v>
          </cell>
        </row>
        <row r="688">
          <cell r="A688" t="str">
            <v>SF250-IS-3A</v>
          </cell>
          <cell r="B688" t="str">
            <v>N8197201 / Diamana THUMP HY 90 S-flex</v>
          </cell>
          <cell r="C688">
            <v>96</v>
          </cell>
        </row>
        <row r="689">
          <cell r="A689" t="str">
            <v>AX103-WR-1AB</v>
          </cell>
          <cell r="B689" t="str">
            <v>ROGUE® SILVER 130 M.S.I. 70 R-flex</v>
          </cell>
          <cell r="C689">
            <v>68.5</v>
          </cell>
        </row>
        <row r="690">
          <cell r="A690" t="str">
            <v>AX103-WS-1AB</v>
          </cell>
          <cell r="B690" t="str">
            <v>ROGUE® SILVER 130 M.S.I. 70 S-flex</v>
          </cell>
          <cell r="C690">
            <v>72.5</v>
          </cell>
        </row>
        <row r="691">
          <cell r="A691" t="str">
            <v>AX103-WX-1AB</v>
          </cell>
          <cell r="B691" t="str">
            <v>ROGUE® SILVER 130 M.S.I. 70 X-flex</v>
          </cell>
          <cell r="C691">
            <v>75.5</v>
          </cell>
        </row>
        <row r="692">
          <cell r="A692" t="str">
            <v>AX116-WR-1AB</v>
          </cell>
          <cell r="B692" t="str">
            <v>ROGUE® SILVER 130 M.S.I. 60 R-flex</v>
          </cell>
          <cell r="C692">
            <v>62.5</v>
          </cell>
        </row>
        <row r="693">
          <cell r="A693" t="str">
            <v>AX116-WS-1AB</v>
          </cell>
          <cell r="B693" t="str">
            <v>ROGUE® SILVER 130 M.S.I. 60 S-flex</v>
          </cell>
          <cell r="C693">
            <v>65.5</v>
          </cell>
        </row>
        <row r="694">
          <cell r="A694" t="str">
            <v>AX116-WX-1AB</v>
          </cell>
          <cell r="B694" t="str">
            <v>ROGUE® SILVER 130 M.S.I. 60 X-flex</v>
          </cell>
          <cell r="C694">
            <v>68</v>
          </cell>
        </row>
        <row r="695">
          <cell r="A695" t="str">
            <v>AX117-WS-1AB</v>
          </cell>
          <cell r="B695" t="str">
            <v>ROGUE® SILVER 130 M.S.I. 80 S-flex</v>
          </cell>
          <cell r="C695">
            <v>80.5</v>
          </cell>
        </row>
        <row r="696">
          <cell r="A696" t="str">
            <v>AX117-WX-1AB</v>
          </cell>
          <cell r="B696" t="str">
            <v>ROGUE® SILVER 130 M.S.I. 80 X-flex</v>
          </cell>
          <cell r="C696">
            <v>84.5</v>
          </cell>
        </row>
        <row r="697">
          <cell r="A697" t="str">
            <v>AX139-IA-3AA</v>
          </cell>
          <cell r="B697" t="str">
            <v>NV® Iron 45 A-flex</v>
          </cell>
          <cell r="C697">
            <v>47</v>
          </cell>
        </row>
        <row r="698">
          <cell r="A698" t="str">
            <v>AX139-IL-3AA</v>
          </cell>
          <cell r="B698" t="str">
            <v>NV® Iron 55 A-flex</v>
          </cell>
          <cell r="C698">
            <v>58.5</v>
          </cell>
        </row>
        <row r="699">
          <cell r="A699" t="str">
            <v>AX139-IR-3AA</v>
          </cell>
          <cell r="B699" t="str">
            <v>NV® Iron 55 R-flex</v>
          </cell>
          <cell r="C699">
            <v>62.5</v>
          </cell>
        </row>
        <row r="700">
          <cell r="A700" t="str">
            <v>AX140-IA-3AA</v>
          </cell>
          <cell r="B700" t="str">
            <v>NV® Iron 65 A-flex</v>
          </cell>
          <cell r="C700">
            <v>62.5</v>
          </cell>
        </row>
        <row r="701">
          <cell r="A701" t="str">
            <v>AX140-IR-3AA</v>
          </cell>
          <cell r="B701" t="str">
            <v>NV® Iron 65 R-flex</v>
          </cell>
          <cell r="C701">
            <v>64.5</v>
          </cell>
        </row>
        <row r="702">
          <cell r="A702" t="str">
            <v>AX141-IS-3AA</v>
          </cell>
          <cell r="B702" t="str">
            <v>NV® Iron 75 S-flex</v>
          </cell>
          <cell r="C702">
            <v>73</v>
          </cell>
        </row>
        <row r="703">
          <cell r="A703" t="str">
            <v>AX142-IS-3AA</v>
          </cell>
          <cell r="B703" t="str">
            <v>NV® Iron 85 S-flex</v>
          </cell>
          <cell r="C703">
            <v>88</v>
          </cell>
        </row>
        <row r="704">
          <cell r="A704" t="str">
            <v>AX143-IS-3AA</v>
          </cell>
          <cell r="B704" t="str">
            <v>NV® Iron 95 S-flex</v>
          </cell>
          <cell r="C704">
            <v>97</v>
          </cell>
        </row>
        <row r="705">
          <cell r="A705" t="str">
            <v>MX747-WR-1A</v>
          </cell>
          <cell r="B705" t="str">
            <v>2nd Gen. Diamana™ S+PLUS Limited Edition 60 R-flex</v>
          </cell>
          <cell r="C705">
            <v>62</v>
          </cell>
        </row>
        <row r="706">
          <cell r="A706" t="str">
            <v>MX747-WS-1A</v>
          </cell>
          <cell r="B706" t="str">
            <v>2nd Gen. Diamana™ S+PLUS Limited Edition 60 S-flex</v>
          </cell>
          <cell r="C706">
            <v>65</v>
          </cell>
        </row>
        <row r="707">
          <cell r="A707" t="str">
            <v>MX747-WX-1A</v>
          </cell>
          <cell r="B707" t="str">
            <v>2nd Gen. Diamana™ S+PLUS Limited Edition 60 X-flex</v>
          </cell>
          <cell r="C707">
            <v>67.5</v>
          </cell>
        </row>
        <row r="708">
          <cell r="A708" t="str">
            <v>MX748-WS-1A</v>
          </cell>
          <cell r="B708" t="str">
            <v>2nd Gen. Diamana™ S+PLUS Limited Edition 70 S-flex</v>
          </cell>
          <cell r="C708">
            <v>75.5</v>
          </cell>
        </row>
        <row r="709">
          <cell r="A709" t="str">
            <v>MX748-WX-1A</v>
          </cell>
          <cell r="B709" t="str">
            <v>2nd Gen. Diamana™ S+PLUS Limited Edition 70 X-flex</v>
          </cell>
          <cell r="C709">
            <v>77.5</v>
          </cell>
        </row>
        <row r="710">
          <cell r="A710" t="str">
            <v>ASG6WS60BQZY</v>
          </cell>
          <cell r="B710" t="str">
            <v>N9840601 SHM-DemoNew NV Green 65 S</v>
          </cell>
          <cell r="C710">
            <v>71</v>
          </cell>
        </row>
        <row r="711">
          <cell r="A711" t="str">
            <v>ASG7WS60BQZY</v>
          </cell>
          <cell r="B711" t="str">
            <v>N9840801 SHM-Demo New NV Green 75 S</v>
          </cell>
          <cell r="C711">
            <v>71</v>
          </cell>
        </row>
        <row r="712">
          <cell r="A712" t="str">
            <v>AX120-WR-1AB</v>
          </cell>
          <cell r="B712" t="str">
            <v>RIPX 65 R-flex WITH BLACK TIP SPRAY</v>
          </cell>
          <cell r="C712">
            <v>60</v>
          </cell>
        </row>
        <row r="713">
          <cell r="A713" t="str">
            <v>AX120-WS-1AB</v>
          </cell>
          <cell r="B713" t="str">
            <v>RIPX 65 S-flex WITH BLACK TIP SPRAY</v>
          </cell>
          <cell r="C713">
            <v>60</v>
          </cell>
        </row>
        <row r="714">
          <cell r="A714" t="str">
            <v>AX134-WR-1AB</v>
          </cell>
          <cell r="B714" t="str">
            <v>RIPX 55 R-flex  WITH BLACK TIP SPRAY</v>
          </cell>
          <cell r="C714">
            <v>60</v>
          </cell>
        </row>
        <row r="715">
          <cell r="A715" t="str">
            <v>AX134-WS-1AB</v>
          </cell>
          <cell r="B715" t="str">
            <v>RIPX 55 S-flex WITH BLACK TIP SPRAY</v>
          </cell>
          <cell r="C715">
            <v>60</v>
          </cell>
        </row>
        <row r="716">
          <cell r="A716" t="str">
            <v>MX681-IS-2B</v>
          </cell>
          <cell r="B716" t="str">
            <v>MMT™ Utility Iron 105 S-flex (0.355 taper)</v>
          </cell>
          <cell r="C716">
            <v>109</v>
          </cell>
        </row>
        <row r="717">
          <cell r="A717" t="str">
            <v>MX681-IS-SB</v>
          </cell>
          <cell r="B717" t="str">
            <v>MMT™ Scoring Wedge 105 S-flex (0.355 taper)</v>
          </cell>
          <cell r="C717">
            <v>115</v>
          </cell>
        </row>
        <row r="718">
          <cell r="A718" t="str">
            <v>YR161-WS-1A</v>
          </cell>
          <cell r="B718" t="str">
            <v>VD201-43A,2020 RS Driver S-flex</v>
          </cell>
          <cell r="C718">
            <v>56</v>
          </cell>
        </row>
        <row r="719">
          <cell r="A719" t="str">
            <v>YR161-WSR1A</v>
          </cell>
          <cell r="B719" t="str">
            <v>VD201-40A,2020 RS Driver SR-flex</v>
          </cell>
          <cell r="C719">
            <v>51</v>
          </cell>
        </row>
        <row r="720">
          <cell r="A720" t="str">
            <v>YR161-WR-1A</v>
          </cell>
          <cell r="B720" t="str">
            <v>VD201-37A,2020 RS Driver R-flex</v>
          </cell>
          <cell r="C720">
            <v>47.5</v>
          </cell>
        </row>
        <row r="721">
          <cell r="A721" t="str">
            <v>AX135-IR-3AA</v>
          </cell>
          <cell r="B721" t="str">
            <v>ROGUE® Black Hybrid Gen2 70 TR-flex</v>
          </cell>
          <cell r="C721">
            <v>90</v>
          </cell>
        </row>
        <row r="722">
          <cell r="A722" t="str">
            <v>AX135-IS-3AA</v>
          </cell>
          <cell r="B722" t="str">
            <v>ROGUE® Black Hybrid  Gen2 70 TS-flex</v>
          </cell>
          <cell r="C722">
            <v>90</v>
          </cell>
        </row>
        <row r="723">
          <cell r="A723" t="str">
            <v>AX136-IR-3AA</v>
          </cell>
          <cell r="B723" t="str">
            <v>ROGUE® Black Hybrid  Gen2 80 TR-flex</v>
          </cell>
          <cell r="C723">
            <v>90</v>
          </cell>
        </row>
        <row r="724">
          <cell r="A724" t="str">
            <v>AX136-IS-3AA</v>
          </cell>
          <cell r="B724" t="str">
            <v>ROGUE® Black Hybrid  Gen2 80 TS-flex</v>
          </cell>
          <cell r="C724">
            <v>90</v>
          </cell>
        </row>
        <row r="725">
          <cell r="A725" t="str">
            <v>AX136-ITX3AA</v>
          </cell>
          <cell r="B725" t="str">
            <v>ROGUE® Black Hybrid  Gen2 80 TX-flex</v>
          </cell>
          <cell r="C725">
            <v>90</v>
          </cell>
        </row>
        <row r="726">
          <cell r="A726" t="str">
            <v>AX137-IS-3AA</v>
          </cell>
          <cell r="B726" t="str">
            <v>ROGUE® Black Hybrid  Gen2 90 TS-flex</v>
          </cell>
          <cell r="C726">
            <v>90</v>
          </cell>
        </row>
        <row r="727">
          <cell r="A727" t="str">
            <v>AX137-ITX3AA</v>
          </cell>
          <cell r="B727" t="str">
            <v>ROGUE® Black Hybrid  Gen2 90 TX-flex</v>
          </cell>
          <cell r="C727">
            <v>90</v>
          </cell>
        </row>
        <row r="728">
          <cell r="A728" t="str">
            <v>AX138-ITX3AA</v>
          </cell>
          <cell r="B728" t="str">
            <v>ROGUE® Black Hybrid  Gen2 100 TX-flex</v>
          </cell>
          <cell r="C728">
            <v>90</v>
          </cell>
        </row>
        <row r="729">
          <cell r="A729" t="str">
            <v>YR161-WS-3A</v>
          </cell>
          <cell r="B729" t="str">
            <v>VF201-43C,2020 RS Fairway S-flex</v>
          </cell>
          <cell r="C729">
            <v>61.6</v>
          </cell>
        </row>
        <row r="730">
          <cell r="A730" t="str">
            <v>YR161-WSR3A</v>
          </cell>
          <cell r="B730" t="str">
            <v>VF201-40C,2020 RS Fairway SR-flex</v>
          </cell>
          <cell r="C730">
            <v>56.5</v>
          </cell>
        </row>
        <row r="731">
          <cell r="A731" t="str">
            <v>YR161-WR-3A</v>
          </cell>
          <cell r="B731" t="str">
            <v>VF201-37C,2020 RS Fairway R-flex</v>
          </cell>
          <cell r="C731">
            <v>52</v>
          </cell>
        </row>
        <row r="732">
          <cell r="A732" t="str">
            <v>YR161-US-1A</v>
          </cell>
          <cell r="B732" t="str">
            <v>VU201-43C,2020 RS Utility S-flex</v>
          </cell>
          <cell r="C732">
            <v>58.5</v>
          </cell>
        </row>
        <row r="733">
          <cell r="A733" t="str">
            <v>YR161-USR1A</v>
          </cell>
          <cell r="B733" t="str">
            <v>VU201-40C,2020 RS Utility SR-flex</v>
          </cell>
          <cell r="C733">
            <v>55.5</v>
          </cell>
        </row>
        <row r="734">
          <cell r="A734" t="str">
            <v>YR161-UR-1A</v>
          </cell>
          <cell r="B734" t="str">
            <v>VU201-37C,2020 RS Utility R-flex</v>
          </cell>
          <cell r="C734">
            <v>51.5</v>
          </cell>
        </row>
        <row r="735">
          <cell r="A735" t="str">
            <v>YR161-IS-5A</v>
          </cell>
          <cell r="B735" t="str">
            <v>VI201-4305,2020 RS Iron S-flex #5</v>
          </cell>
          <cell r="C735">
            <v>59</v>
          </cell>
        </row>
        <row r="736">
          <cell r="A736" t="str">
            <v>YR161-IS-6A</v>
          </cell>
          <cell r="B736" t="str">
            <v>VI201-4306,2020 RS Iron S-flex #6</v>
          </cell>
          <cell r="C736">
            <v>59</v>
          </cell>
        </row>
        <row r="737">
          <cell r="A737" t="str">
            <v>YR161-IS-7A</v>
          </cell>
          <cell r="B737" t="str">
            <v>VI201-4307,2020 RS Iron S-flex #7</v>
          </cell>
          <cell r="C737">
            <v>59.5</v>
          </cell>
        </row>
        <row r="738">
          <cell r="A738" t="str">
            <v>YR161-IS-8A</v>
          </cell>
          <cell r="B738" t="str">
            <v>VI201-4308,2020 RS Iron S-flex #8</v>
          </cell>
          <cell r="C738">
            <v>60.5</v>
          </cell>
        </row>
        <row r="739">
          <cell r="A739" t="str">
            <v>YR161-IS-9A</v>
          </cell>
          <cell r="B739" t="str">
            <v>VI201-4309,2020 RS Iron S-flex #9</v>
          </cell>
          <cell r="C739">
            <v>61</v>
          </cell>
        </row>
        <row r="740">
          <cell r="A740" t="str">
            <v>YR161-IS-PA</v>
          </cell>
          <cell r="B740" t="str">
            <v>VI201-43W1,2020 RS Iron S-flex #P</v>
          </cell>
          <cell r="C740">
            <v>61.5</v>
          </cell>
        </row>
        <row r="741">
          <cell r="A741" t="str">
            <v>YR161-ISR5A</v>
          </cell>
          <cell r="B741" t="str">
            <v>VI201-4005,2020 RS Iron SR-flex #5</v>
          </cell>
          <cell r="C741">
            <v>56</v>
          </cell>
        </row>
        <row r="742">
          <cell r="A742" t="str">
            <v>YR161-ISR6A</v>
          </cell>
          <cell r="B742" t="str">
            <v>VI201-4006,2020 RS Iron SR-flex #6</v>
          </cell>
          <cell r="C742">
            <v>57</v>
          </cell>
        </row>
        <row r="743">
          <cell r="A743" t="str">
            <v>YR161-ISR7A</v>
          </cell>
          <cell r="B743" t="str">
            <v>VI201-4007,2020 RS Iron SR-flex #7</v>
          </cell>
          <cell r="C743">
            <v>58</v>
          </cell>
        </row>
        <row r="744">
          <cell r="A744" t="str">
            <v>YR161-ISR8A</v>
          </cell>
          <cell r="B744" t="str">
            <v>VI201-4008,2020 RS Iron SR-flex #8</v>
          </cell>
          <cell r="C744">
            <v>58.5</v>
          </cell>
        </row>
        <row r="745">
          <cell r="A745" t="str">
            <v>YR161-ISR9A</v>
          </cell>
          <cell r="B745" t="str">
            <v>VI201-4009,2020 RS Iron SR-flex #9</v>
          </cell>
          <cell r="C745">
            <v>58.5</v>
          </cell>
        </row>
        <row r="746">
          <cell r="A746" t="str">
            <v>YR161-ISRPA</v>
          </cell>
          <cell r="B746" t="str">
            <v>VI201-40W1,2020 RS Iron SR-flex #P</v>
          </cell>
          <cell r="C746">
            <v>59</v>
          </cell>
        </row>
        <row r="747">
          <cell r="A747" t="str">
            <v>YR161-ISRAA</v>
          </cell>
          <cell r="B747" t="str">
            <v>VI201-40W2,2020 RS Iron SR-flex #A</v>
          </cell>
          <cell r="C747">
            <v>60.5</v>
          </cell>
        </row>
        <row r="748">
          <cell r="A748" t="str">
            <v>YR161-IR-5A</v>
          </cell>
          <cell r="B748" t="str">
            <v>VI201-3705,2020 RS Iron R-flex #5</v>
          </cell>
          <cell r="C748">
            <v>54</v>
          </cell>
        </row>
        <row r="749">
          <cell r="A749" t="str">
            <v>YR161-IR-6A</v>
          </cell>
          <cell r="B749" t="str">
            <v>VI201-3706,2020 RS Iron R-flex #6</v>
          </cell>
          <cell r="C749">
            <v>54.5</v>
          </cell>
        </row>
        <row r="750">
          <cell r="A750" t="str">
            <v>YR161-IR-7A</v>
          </cell>
          <cell r="B750" t="str">
            <v>VI201-3707,2020 RS Iron R-flex #7</v>
          </cell>
          <cell r="C750">
            <v>55.5</v>
          </cell>
        </row>
        <row r="751">
          <cell r="A751" t="str">
            <v>YR161-IR-8A</v>
          </cell>
          <cell r="B751" t="str">
            <v>VI201-3708,2020 RS Iron R-flex #8</v>
          </cell>
          <cell r="C751">
            <v>56.5</v>
          </cell>
        </row>
        <row r="752">
          <cell r="A752" t="str">
            <v>YR161-IR-9A</v>
          </cell>
          <cell r="B752" t="str">
            <v>VI201-3709,2020 RS Iron R-flex #9</v>
          </cell>
          <cell r="C752">
            <v>57</v>
          </cell>
        </row>
        <row r="753">
          <cell r="A753" t="str">
            <v>YR161-IR-PA</v>
          </cell>
          <cell r="B753" t="str">
            <v>VI201-37W1,2020 RS Iron R-flex #P</v>
          </cell>
          <cell r="C753">
            <v>57.5</v>
          </cell>
        </row>
        <row r="754">
          <cell r="A754" t="str">
            <v>TE033-IR-1A</v>
          </cell>
          <cell r="B754" t="str">
            <v>TENSEI™ AV Silver HYB/IR 65 R-flex</v>
          </cell>
          <cell r="C754">
            <v>68.5</v>
          </cell>
        </row>
        <row r="755">
          <cell r="A755" t="str">
            <v>TE033-IS-1A</v>
          </cell>
          <cell r="B755" t="str">
            <v>TENSEI™ AV Silver HYB/IR 70 S-flex</v>
          </cell>
          <cell r="C755">
            <v>76.5</v>
          </cell>
        </row>
        <row r="756">
          <cell r="A756" t="str">
            <v>TE033-IX-1A</v>
          </cell>
          <cell r="B756" t="str">
            <v>TENSEI™ AV Silver HYB/IR 75 X-flex</v>
          </cell>
          <cell r="C756">
            <v>81.5</v>
          </cell>
        </row>
        <row r="757">
          <cell r="A757" t="str">
            <v>SF244-IA-3A</v>
          </cell>
          <cell r="B757" t="str">
            <v>N8197501 / Diamana +PLUS Limited HY 55 A-flex</v>
          </cell>
          <cell r="C757">
            <v>60</v>
          </cell>
        </row>
        <row r="758">
          <cell r="A758" t="str">
            <v>SF244-IR-3A</v>
          </cell>
          <cell r="B758" t="str">
            <v>N8197401 / Diamana +PLUS Limited HY 65 R-flex</v>
          </cell>
          <cell r="C758">
            <v>69</v>
          </cell>
        </row>
        <row r="759">
          <cell r="A759" t="str">
            <v>SF250-IX-3A</v>
          </cell>
          <cell r="B759" t="str">
            <v>N8197101 / Diamana THUMP HY 100 X-flex</v>
          </cell>
          <cell r="C759">
            <v>109</v>
          </cell>
        </row>
        <row r="760">
          <cell r="A760" t="str">
            <v>AU187-IR-7A</v>
          </cell>
          <cell r="B760" t="str">
            <v>2776037 / FUBUKI™ MV 55 Taper Tip Iron R-flex 38"</v>
          </cell>
          <cell r="C760">
            <v>61</v>
          </cell>
        </row>
        <row r="761">
          <cell r="A761" t="str">
            <v>AU187-IL-7A</v>
          </cell>
          <cell r="B761" t="str">
            <v>2776227 / FUBUKI™ MV 44 Taper Tip Iron L-flex 38"</v>
          </cell>
          <cell r="C761">
            <v>61</v>
          </cell>
        </row>
        <row r="762">
          <cell r="A762" t="str">
            <v>AU187-IA-7A</v>
          </cell>
          <cell r="B762" t="str">
            <v>2776327 / FUBUKI™ MV 50 Taper Tip Iron A-flex 38"</v>
          </cell>
          <cell r="C762">
            <v>61</v>
          </cell>
        </row>
        <row r="763">
          <cell r="A763" t="str">
            <v>AU187-IR-4A</v>
          </cell>
          <cell r="B763" t="str">
            <v>2776034 / FUBUKI™ MV 55 Taper Tip Iron R-flex 39.5"</v>
          </cell>
          <cell r="C763">
            <v>61</v>
          </cell>
        </row>
        <row r="764">
          <cell r="A764" t="str">
            <v>AU187-IR-5A</v>
          </cell>
          <cell r="B764" t="str">
            <v>2776035 / FUBUKI™ MV 55 Taper Tip Iron R-flex 39"</v>
          </cell>
          <cell r="C764">
            <v>61</v>
          </cell>
        </row>
        <row r="765">
          <cell r="A765" t="str">
            <v>AU187-IR-6A</v>
          </cell>
          <cell r="B765" t="str">
            <v>2776036 / FUBUKI™ MV 55 Taper Tip Iron R-flex 38.5"</v>
          </cell>
          <cell r="C765">
            <v>61</v>
          </cell>
        </row>
        <row r="766">
          <cell r="A766" t="str">
            <v>AU187-IR-8A</v>
          </cell>
          <cell r="B766" t="str">
            <v>2776038 / FUBUKI™ MV 55 Taper Tip Iron R-flex 37.5"</v>
          </cell>
          <cell r="C766">
            <v>61</v>
          </cell>
        </row>
        <row r="767">
          <cell r="A767" t="str">
            <v>AU187-IR-9A</v>
          </cell>
          <cell r="B767" t="str">
            <v>2776039 / FUBUKI™ MV 55 Taper Tip Iron R-flex 37"</v>
          </cell>
          <cell r="C767">
            <v>61</v>
          </cell>
        </row>
        <row r="768">
          <cell r="A768" t="str">
            <v>AU187-IR-PA</v>
          </cell>
          <cell r="B768" t="str">
            <v>2776040 / FUBUKI™ MV 55 Taper Tip Iron R-flex 36.5"</v>
          </cell>
          <cell r="C768">
            <v>61</v>
          </cell>
        </row>
        <row r="769">
          <cell r="A769" t="str">
            <v>AU187-IS-4A</v>
          </cell>
          <cell r="B769" t="str">
            <v xml:space="preserve">2776154 / FUBUKI™ MV 60 Taper Tip Iron S-flex 39.5" </v>
          </cell>
          <cell r="C769">
            <v>61</v>
          </cell>
        </row>
        <row r="770">
          <cell r="A770" t="str">
            <v>AU187-IS-5A</v>
          </cell>
          <cell r="B770" t="str">
            <v xml:space="preserve">2776155 / FUBUKI™ MV 60 Taper Tip Iron S-flex 39" </v>
          </cell>
          <cell r="C770">
            <v>61</v>
          </cell>
        </row>
        <row r="771">
          <cell r="A771" t="str">
            <v>AU187-IS-6A</v>
          </cell>
          <cell r="B771" t="str">
            <v xml:space="preserve">2776156 / FUBUKI™ MV 60 Taper Tip Iron S-flex 38.5" </v>
          </cell>
          <cell r="C771">
            <v>61</v>
          </cell>
        </row>
        <row r="772">
          <cell r="A772" t="str">
            <v>AU187-IS-7A</v>
          </cell>
          <cell r="B772" t="str">
            <v xml:space="preserve">2776157 / FUBUKI™ MV 60 Taper Tip Iron S-flex 38" </v>
          </cell>
          <cell r="C772">
            <v>61</v>
          </cell>
        </row>
        <row r="773">
          <cell r="A773" t="str">
            <v>AU187-IS-8A</v>
          </cell>
          <cell r="B773" t="str">
            <v xml:space="preserve">2776158 / FUBUKI™ MV 60 Taper Tip Iron S-flex 37.5" </v>
          </cell>
          <cell r="C773">
            <v>61</v>
          </cell>
        </row>
        <row r="774">
          <cell r="A774" t="str">
            <v>AU187-IS-9A</v>
          </cell>
          <cell r="B774" t="str">
            <v xml:space="preserve">2776159 / FUBUKI™ MV 60 Taper Tip Iron S-flex 37" </v>
          </cell>
          <cell r="C774">
            <v>61</v>
          </cell>
        </row>
        <row r="775">
          <cell r="A775" t="str">
            <v>AU187-IS-PA</v>
          </cell>
          <cell r="B775" t="str">
            <v xml:space="preserve">2776160 / FUBUKI™ MV 60 Taper Tip Iron S-flex 36.5" </v>
          </cell>
          <cell r="C775">
            <v>61</v>
          </cell>
        </row>
        <row r="776">
          <cell r="A776" t="str">
            <v>AU187-IL-4A</v>
          </cell>
          <cell r="B776" t="str">
            <v>2776224 / FUBUKI™ MV 44 Taper Tip Iron L-flex 39.5"</v>
          </cell>
          <cell r="C776">
            <v>61</v>
          </cell>
        </row>
        <row r="777">
          <cell r="A777" t="str">
            <v>AU187-IL-5A</v>
          </cell>
          <cell r="B777" t="str">
            <v>2776225 / FUBUKI™ MV 44 Taper Tip Iron L-flex 39"</v>
          </cell>
          <cell r="C777">
            <v>61</v>
          </cell>
        </row>
        <row r="778">
          <cell r="A778" t="str">
            <v>AU187-IL-6A</v>
          </cell>
          <cell r="B778" t="str">
            <v>2776226 / FUBUKI™ MV 44 Taper Tip Iron L-flex 38.5"</v>
          </cell>
          <cell r="C778">
            <v>61</v>
          </cell>
        </row>
        <row r="779">
          <cell r="A779" t="str">
            <v>AU187-IL-8A</v>
          </cell>
          <cell r="B779" t="str">
            <v>2776228 / FUBUKI™ MV 44 Taper Tip Iron L-flex 37.5"</v>
          </cell>
          <cell r="C779">
            <v>61</v>
          </cell>
        </row>
        <row r="780">
          <cell r="A780" t="str">
            <v>AU187-IL-9A</v>
          </cell>
          <cell r="B780" t="str">
            <v>2776229 / FUBUKI™ MV 44 Taper Tip Iron L-flex 37"</v>
          </cell>
          <cell r="C780">
            <v>61</v>
          </cell>
        </row>
        <row r="781">
          <cell r="A781" t="str">
            <v>AU187-IL-PA</v>
          </cell>
          <cell r="B781" t="str">
            <v>2776230 / FUBUKI™ MV 44 Taper Tip Iron L-flex 36.5"</v>
          </cell>
          <cell r="C781">
            <v>61</v>
          </cell>
        </row>
        <row r="782">
          <cell r="A782" t="str">
            <v>AX126-IA-1CB</v>
          </cell>
          <cell r="B782" t="str">
            <v>SF WD ALDILA ROGUE WHT MSI 130 70 GR XST</v>
          </cell>
          <cell r="C782">
            <v>57.5</v>
          </cell>
        </row>
        <row r="783">
          <cell r="A783" t="str">
            <v>AX120-WTX1AB</v>
          </cell>
          <cell r="B783" t="str">
            <v>RIPX 65 TX-flex WITH BLACK TIP SPRAY</v>
          </cell>
          <cell r="C783">
            <v>67.5</v>
          </cell>
        </row>
        <row r="784">
          <cell r="A784" t="str">
            <v>AX121-WS-1AB</v>
          </cell>
          <cell r="B784" t="str">
            <v>RIPX 75 S-flex WITH BLACK TIP SPRAY</v>
          </cell>
          <cell r="C784">
            <v>74</v>
          </cell>
        </row>
        <row r="785">
          <cell r="A785" t="str">
            <v>AX122-WTX1AB</v>
          </cell>
          <cell r="B785" t="str">
            <v>RIPX 85 TX-flex WITH BLACK TIP SPRAY</v>
          </cell>
          <cell r="C785">
            <v>86.5</v>
          </cell>
        </row>
        <row r="786">
          <cell r="A786" t="str">
            <v>AX126-IR-1CB</v>
          </cell>
          <cell r="B786" t="str">
            <v>SF IR/HY ALDLA SYNRGY 2.0 60 GR REG 40.5</v>
          </cell>
          <cell r="C786">
            <v>62</v>
          </cell>
        </row>
        <row r="787">
          <cell r="A787" t="str">
            <v>SF249-IR-1A</v>
          </cell>
          <cell r="B787" t="str">
            <v>N9027001 / Tensei AV TM60R</v>
          </cell>
          <cell r="C787">
            <v>67</v>
          </cell>
        </row>
        <row r="788">
          <cell r="A788" t="str">
            <v>SF249-IS-1A</v>
          </cell>
          <cell r="B788" t="str">
            <v>N9026901 / Tensei AV TM60S</v>
          </cell>
          <cell r="C788">
            <v>72.5</v>
          </cell>
        </row>
        <row r="789">
          <cell r="A789" t="str">
            <v>AX121-WTX1AB</v>
          </cell>
          <cell r="B789" t="str">
            <v>RIPX 75 TX-flex</v>
          </cell>
          <cell r="C789">
            <v>78</v>
          </cell>
        </row>
        <row r="790">
          <cell r="A790" t="str">
            <v>AX128-WTX1AB</v>
          </cell>
          <cell r="B790" t="str">
            <v>RIPX 95 TX-flex</v>
          </cell>
          <cell r="C790">
            <v>96.5</v>
          </cell>
        </row>
        <row r="791">
          <cell r="A791" t="str">
            <v>AX126-IS-1CB</v>
          </cell>
          <cell r="B791" t="str">
            <v>3502J3405 SF IR/HY ALDLA SYNRGY 2.0 60 GR STF 40.5</v>
          </cell>
          <cell r="C791">
            <v>63.5</v>
          </cell>
        </row>
        <row r="792">
          <cell r="A792" t="str">
            <v>AX126-IA-1CA</v>
          </cell>
          <cell r="B792" t="str">
            <v>3502J1405/SF IR/HY ALDLA SYNRGY 2.0 60 GR LGT 40.5</v>
          </cell>
          <cell r="C792">
            <v>57.5</v>
          </cell>
        </row>
        <row r="793">
          <cell r="A793" t="str">
            <v>AX126-IS-1CA</v>
          </cell>
          <cell r="B793" t="str">
            <v>3502J3405/SF IR/HY ALDLA SYNRGY 2.0 60 GR STF 40.5</v>
          </cell>
          <cell r="C793">
            <v>63.5</v>
          </cell>
        </row>
        <row r="794">
          <cell r="A794" t="str">
            <v>AX126-IR-1CA</v>
          </cell>
          <cell r="B794" t="str">
            <v>3502J2405/SF IR/HY ALDLA SYNRGY 2.0 60 GR REG 40.5</v>
          </cell>
          <cell r="C794">
            <v>62</v>
          </cell>
        </row>
        <row r="795">
          <cell r="A795" t="str">
            <v>AX096-WR-1OB</v>
          </cell>
          <cell r="B795" t="str">
            <v>SD22GR094460,ROGUE SILVER WITH 130MSI 60 R</v>
          </cell>
          <cell r="C795">
            <v>62</v>
          </cell>
        </row>
        <row r="796">
          <cell r="A796" t="str">
            <v>AX096-WS-1OB</v>
          </cell>
          <cell r="B796" t="str">
            <v>SD22GS116460,ROGUE SILVER WITH 130MSI 60 S</v>
          </cell>
          <cell r="C796">
            <v>64.5</v>
          </cell>
        </row>
        <row r="797">
          <cell r="A797" t="str">
            <v>AX096-WTX1OB</v>
          </cell>
          <cell r="B797" t="str">
            <v>SD22GX113460,ROGUE SILVER WITH 130MSI 60 TX</v>
          </cell>
          <cell r="C797">
            <v>66</v>
          </cell>
        </row>
        <row r="798">
          <cell r="A798" t="str">
            <v>AU196-WA-1A</v>
          </cell>
          <cell r="B798" t="str">
            <v>2691371 / KURO KAGE BLK Dual Core Tini Gen-5 50G A-FLEX</v>
          </cell>
          <cell r="C798">
            <v>50</v>
          </cell>
        </row>
        <row r="799">
          <cell r="A799" t="str">
            <v>AU196-WR-1A</v>
          </cell>
          <cell r="B799" t="str">
            <v>2691373 / KURO KAGE BLK Dual Core Tini Gen-5 50G R-FLEX</v>
          </cell>
          <cell r="C799">
            <v>52</v>
          </cell>
        </row>
        <row r="800">
          <cell r="A800" t="str">
            <v>AU196-WS-1A</v>
          </cell>
          <cell r="B800" t="str">
            <v>2691375  / KURO KAGE BLK Dual Core Tini Gen-5 50G S-FLEX</v>
          </cell>
          <cell r="C800">
            <v>53</v>
          </cell>
        </row>
        <row r="801">
          <cell r="A801" t="str">
            <v>AU197-WA-1A</v>
          </cell>
          <cell r="B801" t="str">
            <v>2691379 / KURO KAGE BLK Dual Core Tini Gen-5 55G A-FLEX</v>
          </cell>
          <cell r="C801">
            <v>55</v>
          </cell>
        </row>
        <row r="802">
          <cell r="A802" t="str">
            <v>AU197-WR-1A</v>
          </cell>
          <cell r="B802" t="str">
            <v>2691381  / KURO KAGE BLK Dual Core Tini Gen-5 55G R-FLEX</v>
          </cell>
          <cell r="C802">
            <v>57</v>
          </cell>
        </row>
        <row r="803">
          <cell r="A803" t="str">
            <v>AU197-WS-1A</v>
          </cell>
          <cell r="B803" t="str">
            <v>2691383  / KURO KAGE BLK Dual Core Tini Gen-5 55G S-FLEX</v>
          </cell>
          <cell r="C803">
            <v>59</v>
          </cell>
        </row>
        <row r="804">
          <cell r="A804" t="str">
            <v>CW100-WR-1B</v>
          </cell>
          <cell r="B804" t="str">
            <v>3512V2/DIAMANA MAX LITE WOOD 40G R-FLEX</v>
          </cell>
          <cell r="C804">
            <v>44</v>
          </cell>
        </row>
        <row r="805">
          <cell r="A805" t="str">
            <v>CW100-WSR1B</v>
          </cell>
          <cell r="B805" t="str">
            <v>3512V5/DIAMANA MAX LITE WOOD 40G SR-FLEX</v>
          </cell>
          <cell r="C805">
            <v>45.5</v>
          </cell>
        </row>
        <row r="806">
          <cell r="A806" t="str">
            <v>CW100-WS-1B</v>
          </cell>
          <cell r="B806" t="str">
            <v>3512V3/DIAMANA MAX LITE WOOD 40G S-FLEX</v>
          </cell>
          <cell r="C806">
            <v>47.5</v>
          </cell>
        </row>
        <row r="807">
          <cell r="A807" t="str">
            <v>AU185-WS-1A</v>
          </cell>
          <cell r="B807" t="str">
            <v>TENSEI AV White (RAW) WOOD 75G S-FLEX</v>
          </cell>
          <cell r="C807">
            <v>76</v>
          </cell>
        </row>
        <row r="808">
          <cell r="A808" t="str">
            <v>AU185-WX-1A</v>
          </cell>
          <cell r="B808" t="str">
            <v>TENSEI AV White (RAW) WOOD 75G X-FLEX</v>
          </cell>
          <cell r="C808">
            <v>79</v>
          </cell>
        </row>
        <row r="809">
          <cell r="A809" t="str">
            <v>AU184-WS-1A</v>
          </cell>
          <cell r="B809" t="str">
            <v>TENSEI AV White (RAW) WOOD 65G S-FLEX</v>
          </cell>
          <cell r="C809">
            <v>67</v>
          </cell>
        </row>
        <row r="810">
          <cell r="A810" t="str">
            <v>AU184-WX-1A</v>
          </cell>
          <cell r="B810" t="str">
            <v>TENSEI AV White (RAW) WOOD 65G X-FLEX</v>
          </cell>
          <cell r="C810">
            <v>70</v>
          </cell>
        </row>
        <row r="811">
          <cell r="A811" t="str">
            <v>AX146-WS-1PA</v>
          </cell>
          <cell r="B811" t="str">
            <v>AX146-WS-1PA</v>
          </cell>
          <cell r="C811">
            <v>71.5</v>
          </cell>
        </row>
        <row r="812">
          <cell r="A812" t="str">
            <v>AX137-IS-3PA</v>
          </cell>
          <cell r="B812" t="str">
            <v>ROGUE BLACK( HYBRID, 2020 VERSION ) 95 S</v>
          </cell>
          <cell r="C812">
            <v>98.5</v>
          </cell>
        </row>
        <row r="813">
          <cell r="A813" t="str">
            <v>AX137-ITX3PA</v>
          </cell>
          <cell r="B813" t="str">
            <v>ROGUE BLACK( HYBRID, 2020 VERSION ) 95 TX</v>
          </cell>
          <cell r="C813">
            <v>98.5</v>
          </cell>
        </row>
        <row r="814">
          <cell r="A814" t="str">
            <v>AX146-WR-1PA</v>
          </cell>
          <cell r="B814" t="str">
            <v>AX146-WR-1PA</v>
          </cell>
          <cell r="C814">
            <v>67.5</v>
          </cell>
        </row>
        <row r="815">
          <cell r="A815" t="str">
            <v>AX146-WX-1PA</v>
          </cell>
          <cell r="B815" t="str">
            <v>AX146-WX-1PA</v>
          </cell>
          <cell r="C815">
            <v>74.5</v>
          </cell>
        </row>
        <row r="816">
          <cell r="A816" t="str">
            <v>AX147-WS-1PA</v>
          </cell>
          <cell r="B816" t="str">
            <v>AX147-WS-1PA</v>
          </cell>
          <cell r="C816">
            <v>74.5</v>
          </cell>
        </row>
        <row r="817">
          <cell r="A817" t="str">
            <v>AX147-WX-1PA</v>
          </cell>
          <cell r="B817" t="str">
            <v>AX147-WX-1PA</v>
          </cell>
          <cell r="C817">
            <v>83.5</v>
          </cell>
        </row>
        <row r="818">
          <cell r="A818" t="str">
            <v>MX767-IS-3A</v>
          </cell>
          <cell r="B818" t="str">
            <v>DIAMANA THUMP HYBRID 90S</v>
          </cell>
          <cell r="C818">
            <v>96</v>
          </cell>
        </row>
        <row r="819">
          <cell r="A819" t="str">
            <v>MX767-IX-3A</v>
          </cell>
          <cell r="B819" t="str">
            <v>DIAMANA THUMP HYBRID 100X</v>
          </cell>
          <cell r="C819">
            <v>109</v>
          </cell>
        </row>
        <row r="820">
          <cell r="A820" t="str">
            <v>MX768-IA-3A</v>
          </cell>
          <cell r="B820" t="str">
            <v>DIAMANA LIMITED HYBRID 55A</v>
          </cell>
          <cell r="C820">
            <v>59</v>
          </cell>
        </row>
        <row r="821">
          <cell r="A821" t="str">
            <v>MX768-IR-3A</v>
          </cell>
          <cell r="B821" t="str">
            <v>DIAMANA LIMITED HYBRID 65R</v>
          </cell>
          <cell r="C821">
            <v>69</v>
          </cell>
        </row>
        <row r="822">
          <cell r="A822" t="str">
            <v>MX768-IS-3A</v>
          </cell>
          <cell r="B822" t="str">
            <v>DIAMANA LIMITED HYBRID 75S</v>
          </cell>
          <cell r="C822">
            <v>79.5</v>
          </cell>
        </row>
        <row r="823">
          <cell r="A823" t="str">
            <v>MX769-WS-1A</v>
          </cell>
          <cell r="B823" t="str">
            <v>TENSEI™ AV RAW White 65 S-flex</v>
          </cell>
          <cell r="C823">
            <v>67</v>
          </cell>
        </row>
        <row r="824">
          <cell r="A824" t="str">
            <v>MX769-WX-1A</v>
          </cell>
          <cell r="B824" t="str">
            <v>TENSEI™ AV RAW White 65 X-flex</v>
          </cell>
          <cell r="C824">
            <v>70</v>
          </cell>
        </row>
        <row r="825">
          <cell r="A825" t="str">
            <v>MX770-WS-1A</v>
          </cell>
          <cell r="B825" t="str">
            <v>TENSEI™ AV RAW White 75 S-flex</v>
          </cell>
          <cell r="C825">
            <v>76</v>
          </cell>
        </row>
        <row r="826">
          <cell r="A826" t="str">
            <v>MX770-WX-1A</v>
          </cell>
          <cell r="B826" t="str">
            <v>TENSEI™ AV RAW White 75 X-flex</v>
          </cell>
          <cell r="C826">
            <v>79</v>
          </cell>
        </row>
        <row r="827">
          <cell r="A827" t="str">
            <v>MX771-WS-1A</v>
          </cell>
          <cell r="B827" t="str">
            <v>TENSEI™ AV RAW White 85 S-flex</v>
          </cell>
          <cell r="C827">
            <v>88.5</v>
          </cell>
        </row>
        <row r="828">
          <cell r="A828" t="str">
            <v>MX771-WX-1A</v>
          </cell>
          <cell r="B828" t="str">
            <v>TENSEI™ AV RAW White 85 X-flex</v>
          </cell>
          <cell r="C828">
            <v>91.5</v>
          </cell>
        </row>
        <row r="829">
          <cell r="A829" t="str">
            <v>XG011-WR-1A</v>
          </cell>
          <cell r="B829" t="str">
            <v>2nd Gen Diamana S+PLUS Limited 60G R-FLEX</v>
          </cell>
          <cell r="C829">
            <v>62</v>
          </cell>
        </row>
        <row r="830">
          <cell r="A830" t="str">
            <v>XG011-WS-1A</v>
          </cell>
          <cell r="B830" t="str">
            <v>2nd Gen Diamana S+PLUS Limited 60G S-FLEX</v>
          </cell>
          <cell r="C830">
            <v>65</v>
          </cell>
        </row>
        <row r="831">
          <cell r="A831" t="str">
            <v>XG011-WX-1A</v>
          </cell>
          <cell r="B831" t="str">
            <v>2nd Gen Diamana S+PLUS Limited 60G X-FLEX</v>
          </cell>
          <cell r="C831">
            <v>67.5</v>
          </cell>
        </row>
        <row r="832">
          <cell r="A832" t="str">
            <v>XG012-WS-1A</v>
          </cell>
          <cell r="B832" t="str">
            <v>2nd Gen Diamana S+PLUS Limited 70G S-FLEX</v>
          </cell>
          <cell r="C832">
            <v>75.5</v>
          </cell>
        </row>
        <row r="833">
          <cell r="A833" t="str">
            <v>XG012-WX-1A</v>
          </cell>
          <cell r="B833" t="str">
            <v>2nd Gen Diamana S+PLUS Limited 70G X-FLEX</v>
          </cell>
          <cell r="C833">
            <v>77.5</v>
          </cell>
        </row>
        <row r="834">
          <cell r="A834" t="str">
            <v>SU028-IR-3A</v>
          </cell>
          <cell r="B834" t="str">
            <v>10308064 / SM SH  DIAMANA FOR ZXI. R</v>
          </cell>
          <cell r="C834">
            <v>64.5</v>
          </cell>
        </row>
        <row r="835">
          <cell r="A835" t="str">
            <v>SU028-IS-3A</v>
          </cell>
          <cell r="B835" t="str">
            <v>10308063 / SM SH  DIAMANA FOR ZXI.  S</v>
          </cell>
          <cell r="C835">
            <v>67</v>
          </cell>
        </row>
        <row r="836">
          <cell r="A836" t="str">
            <v>SU028-UR-1A</v>
          </cell>
          <cell r="B836" t="str">
            <v>10308041 / SM SH  DIAMANA FOR ZXU. R</v>
          </cell>
          <cell r="C836">
            <v>58.5</v>
          </cell>
        </row>
        <row r="837">
          <cell r="A837" t="str">
            <v>SU028-US-1A</v>
          </cell>
          <cell r="B837" t="str">
            <v>10308040 / SM SH  DIAMANA FOR ZXU.  S</v>
          </cell>
          <cell r="C837">
            <v>61</v>
          </cell>
        </row>
        <row r="838">
          <cell r="A838" t="str">
            <v>SU028-WR-1A</v>
          </cell>
          <cell r="B838" t="str">
            <v>10308028 / SM SH  DIAMANA50 FOR ZX. R</v>
          </cell>
          <cell r="C838">
            <v>48</v>
          </cell>
        </row>
        <row r="839">
          <cell r="A839" t="str">
            <v>SU028-WS-1A</v>
          </cell>
          <cell r="B839" t="str">
            <v>10308026 / SM SH  DIAMANA50 FOR ZX.  S</v>
          </cell>
          <cell r="C839">
            <v>51.5</v>
          </cell>
        </row>
        <row r="840">
          <cell r="A840" t="str">
            <v>SU028-WSR1A</v>
          </cell>
          <cell r="B840" t="str">
            <v>10308027 / SM SH  DIAMANA50 FOR ZX. SR</v>
          </cell>
          <cell r="C840">
            <v>49.5</v>
          </cell>
        </row>
        <row r="841">
          <cell r="A841" t="str">
            <v>SU029-IR-1A</v>
          </cell>
          <cell r="B841" t="str">
            <v>10308035 / SM SH  DIAMANA FOR ZXHYB. R</v>
          </cell>
          <cell r="C841">
            <v>55</v>
          </cell>
        </row>
        <row r="842">
          <cell r="A842" t="str">
            <v>SU029-IS-1A</v>
          </cell>
          <cell r="B842" t="str">
            <v>10308034 / SM SH  DIAMANA FOR ZXHYB.  S</v>
          </cell>
          <cell r="C842">
            <v>57.5</v>
          </cell>
        </row>
        <row r="843">
          <cell r="A843" t="str">
            <v>SU029-WS-1A</v>
          </cell>
          <cell r="B843" t="str">
            <v>10307957 / SM SH  DIAMANA60 FOR ZX.S</v>
          </cell>
          <cell r="C843">
            <v>58</v>
          </cell>
        </row>
        <row r="844">
          <cell r="A844" t="str">
            <v>SU029-WSR1A</v>
          </cell>
          <cell r="B844" t="str">
            <v>10307958 / SM SH  DIAMANA60 FOR ZX.SR</v>
          </cell>
          <cell r="C844">
            <v>55.5</v>
          </cell>
        </row>
        <row r="845">
          <cell r="A845" t="str">
            <v>AX067-IL-1WA</v>
          </cell>
          <cell r="B845" t="str">
            <v>SHG2444IL410BY/ Quaranta Blue hybrid/iron 40G L-FEX</v>
          </cell>
          <cell r="C845">
            <v>50.5</v>
          </cell>
        </row>
        <row r="846">
          <cell r="A846" t="str">
            <v>AU186-WS-1A</v>
          </cell>
          <cell r="B846" t="str">
            <v>TENSEI AV White (RAW) WOOD 85G S-FLEX</v>
          </cell>
          <cell r="C846">
            <v>88.5</v>
          </cell>
        </row>
        <row r="847">
          <cell r="A847" t="str">
            <v>AU186-WX-1A</v>
          </cell>
          <cell r="B847" t="str">
            <v>TENSEI AV White (RAW) WOOD 85G X-FLEX</v>
          </cell>
          <cell r="C847">
            <v>91.5</v>
          </cell>
        </row>
        <row r="848">
          <cell r="A848" t="str">
            <v>MR112-WL-1A</v>
          </cell>
          <cell r="B848" t="str">
            <v>8462772 / Maruman Gold IV L</v>
          </cell>
          <cell r="C848">
            <v>48.5</v>
          </cell>
        </row>
        <row r="849">
          <cell r="A849" t="str">
            <v>MR112-WR-1A</v>
          </cell>
          <cell r="B849" t="str">
            <v>8462749 / Maruman Gold IV R</v>
          </cell>
          <cell r="C849">
            <v>48.5</v>
          </cell>
        </row>
        <row r="850">
          <cell r="A850" t="str">
            <v>MR112-WR-3A</v>
          </cell>
          <cell r="B850" t="str">
            <v>8462756 / Maruman Gold IV R</v>
          </cell>
          <cell r="C850">
            <v>51</v>
          </cell>
        </row>
        <row r="851">
          <cell r="A851" t="str">
            <v>MR112-WSR1A</v>
          </cell>
          <cell r="B851" t="str">
            <v>8463051 / Maruman Gold IV SR</v>
          </cell>
          <cell r="C851">
            <v>52.5</v>
          </cell>
        </row>
        <row r="852">
          <cell r="A852" t="str">
            <v>MR112-IL-5A</v>
          </cell>
          <cell r="B852" t="str">
            <v>8462798 / Maruman Gold IV L</v>
          </cell>
          <cell r="C852">
            <v>46.5</v>
          </cell>
        </row>
        <row r="853">
          <cell r="A853" t="str">
            <v>MR112-IR-4A</v>
          </cell>
          <cell r="B853" t="str">
            <v>8462764 / Maruman Gold IV R</v>
          </cell>
          <cell r="C853">
            <v>56.5</v>
          </cell>
        </row>
        <row r="854">
          <cell r="A854" t="str">
            <v>MR112-UL-1A</v>
          </cell>
          <cell r="B854" t="str">
            <v>8463044 / Maruman Gold IV L</v>
          </cell>
          <cell r="C854">
            <v>46</v>
          </cell>
        </row>
        <row r="855">
          <cell r="A855" t="str">
            <v>MR112-UR-1A</v>
          </cell>
          <cell r="B855" t="str">
            <v>8463036 / Maruman Gold IV R</v>
          </cell>
          <cell r="C855">
            <v>52.5</v>
          </cell>
        </row>
        <row r="856">
          <cell r="A856" t="str">
            <v>MR112-WL-3A</v>
          </cell>
          <cell r="B856" t="str">
            <v>8462780 / Maruman Gold IV L</v>
          </cell>
          <cell r="C856">
            <v>48.5</v>
          </cell>
        </row>
        <row r="857">
          <cell r="A857" t="str">
            <v>AU196-WX-1A</v>
          </cell>
          <cell r="B857" t="str">
            <v>2691377  / KURO KAGE BLK Dual Core Tini Gen-5 50G X-FLEX</v>
          </cell>
          <cell r="C857">
            <v>54.5</v>
          </cell>
        </row>
        <row r="858">
          <cell r="A858" t="str">
            <v>AU197-WX-1A</v>
          </cell>
          <cell r="B858" t="str">
            <v>2691385  / KURO KAGE BLK Dual Core Tini Gen-5 55G X-FLEX</v>
          </cell>
          <cell r="C858">
            <v>59</v>
          </cell>
        </row>
        <row r="859">
          <cell r="A859" t="str">
            <v>CW109-WL-1A</v>
          </cell>
          <cell r="B859" t="str">
            <v>3509V1 / SF WD CALLAWAY RCH 40 GR WMS (L-FLEX)</v>
          </cell>
          <cell r="C859">
            <v>43</v>
          </cell>
        </row>
        <row r="860">
          <cell r="A860" t="str">
            <v>CW109-WLL1A</v>
          </cell>
          <cell r="B860" t="str">
            <v>35069V1 / SF WD CALLAWAY RCH 40 GR LDY LGT (LL-FLEX)</v>
          </cell>
          <cell r="C860">
            <v>43</v>
          </cell>
        </row>
        <row r="861">
          <cell r="A861" t="str">
            <v>CW109-WR-1A</v>
          </cell>
          <cell r="B861" t="str">
            <v>3509U2 / SF WD CALLAWAY RCH 40 GR REG (R-FLEX)</v>
          </cell>
          <cell r="C861">
            <v>45</v>
          </cell>
        </row>
        <row r="862">
          <cell r="A862" t="str">
            <v>CW110-WL-1A</v>
          </cell>
          <cell r="B862" t="str">
            <v>3510J1 / SF WD CALLAWAY RCH 50 GR WMS (L-FLEX)</v>
          </cell>
          <cell r="C862">
            <v>52</v>
          </cell>
        </row>
        <row r="863">
          <cell r="A863" t="str">
            <v>CW110-WS-1A</v>
          </cell>
          <cell r="B863" t="str">
            <v>3509W3 / SF WD CALLAWAY RCH 50 GR STF (S-FLEX)</v>
          </cell>
          <cell r="C863">
            <v>57</v>
          </cell>
        </row>
        <row r="864">
          <cell r="A864" t="str">
            <v>CW111-WS-1A</v>
          </cell>
          <cell r="B864" t="str">
            <v>3509X3 / SF WD CALLAWAY RCH 60 GR STF (S-FLEX)</v>
          </cell>
          <cell r="C864">
            <v>68.5</v>
          </cell>
        </row>
        <row r="865">
          <cell r="A865" t="str">
            <v>CW109-WA-1A</v>
          </cell>
          <cell r="B865" t="str">
            <v>3509U1 / SF WD CALLAWAY RCH 45 GR LGT (A-FLEX)</v>
          </cell>
          <cell r="C865">
            <v>44</v>
          </cell>
        </row>
        <row r="866">
          <cell r="A866" t="str">
            <v>CW110-WA-1A</v>
          </cell>
          <cell r="B866" t="str">
            <v>3509W1 / SF WD CALLAWAY RCH 55 GR LGT (A-FLEX)</v>
          </cell>
          <cell r="C866">
            <v>52.5</v>
          </cell>
        </row>
        <row r="867">
          <cell r="A867" t="str">
            <v>CW110-WR-1A</v>
          </cell>
          <cell r="B867" t="str">
            <v>3509W2 / SF WD CALLAWAY RCH 55 GR REG (R-FLEX)</v>
          </cell>
          <cell r="C867">
            <v>55.5</v>
          </cell>
        </row>
        <row r="868">
          <cell r="A868" t="str">
            <v>CW111-WR-1A</v>
          </cell>
          <cell r="B868" t="str">
            <v>3509X2 / SF WD CALLAWAY RCH 65 GR REG (R-FLEX)</v>
          </cell>
          <cell r="C868">
            <v>66</v>
          </cell>
        </row>
        <row r="869">
          <cell r="A869" t="str">
            <v>CW112-WR-1A</v>
          </cell>
          <cell r="B869" t="str">
            <v>3510I2 / SF WD CALLAWAY RCH 75 GR REG (R-FLEX)</v>
          </cell>
          <cell r="C869">
            <v>71</v>
          </cell>
        </row>
        <row r="870">
          <cell r="A870" t="str">
            <v>CW112-WS-1A</v>
          </cell>
          <cell r="B870" t="str">
            <v>3510I3 / SF WD CALLAWAY RCH 75 GR STF (S-FLEX)</v>
          </cell>
          <cell r="C870">
            <v>73</v>
          </cell>
        </row>
        <row r="871">
          <cell r="A871" t="str">
            <v>SU030-IS-PA</v>
          </cell>
          <cell r="B871" t="str">
            <v>SH DIAMANA FOR WEDGE. S</v>
          </cell>
          <cell r="C871">
            <v>66</v>
          </cell>
        </row>
        <row r="872">
          <cell r="A872" t="str">
            <v>MR113-IR-5A</v>
          </cell>
          <cell r="B872" t="str">
            <v>8463184/20 MARUMAN SG R</v>
          </cell>
          <cell r="C872">
            <v>56.5</v>
          </cell>
        </row>
        <row r="873">
          <cell r="A873" t="str">
            <v>MR113-WR-1A</v>
          </cell>
          <cell r="B873" t="str">
            <v>8463226/20 MARUMAN SG R</v>
          </cell>
          <cell r="C873">
            <v>50</v>
          </cell>
        </row>
        <row r="874">
          <cell r="A874" t="str">
            <v>MR113-WSR1A</v>
          </cell>
          <cell r="B874" t="str">
            <v>8463218/20 MARUMAN SG SR</v>
          </cell>
          <cell r="C874">
            <v>52</v>
          </cell>
        </row>
        <row r="875">
          <cell r="A875" t="str">
            <v>CW106-IR-4A</v>
          </cell>
          <cell r="B875" t="str">
            <v>3513I2385 / SF IR MCA MMT TTIP 85 GR REG 38.5</v>
          </cell>
          <cell r="C875">
            <v>83</v>
          </cell>
        </row>
        <row r="876">
          <cell r="A876" t="str">
            <v>CW106-IR-5A</v>
          </cell>
          <cell r="B876" t="str">
            <v>3513I2380 / SF IR MCA MMT TTIP 85 GR REG 38.0</v>
          </cell>
          <cell r="C876">
            <v>83</v>
          </cell>
        </row>
        <row r="877">
          <cell r="A877" t="str">
            <v>CW106-IR-6A</v>
          </cell>
          <cell r="B877" t="str">
            <v>3513I2375 / SF IR MCA MMT TTIP 85 GR REG 37.5</v>
          </cell>
          <cell r="C877">
            <v>82</v>
          </cell>
        </row>
        <row r="878">
          <cell r="A878" t="str">
            <v>CW106-IR-7A</v>
          </cell>
          <cell r="B878" t="str">
            <v>3513I2370 / SF IR MCA MMT TTIP 85 GR REG 37.0</v>
          </cell>
          <cell r="C878">
            <v>81</v>
          </cell>
        </row>
        <row r="879">
          <cell r="A879" t="str">
            <v>CW106-IR-8A</v>
          </cell>
          <cell r="B879" t="str">
            <v>3513I2365 / SF IR MCA MMT TTIP 85 GR REG 36.5</v>
          </cell>
          <cell r="C879">
            <v>82</v>
          </cell>
        </row>
        <row r="880">
          <cell r="A880" t="str">
            <v>CW106-IR-9A</v>
          </cell>
          <cell r="B880" t="str">
            <v>3513I2360 / SF IR MCA MMT TTIP 85 GR REG 36.0</v>
          </cell>
          <cell r="C880">
            <v>82</v>
          </cell>
        </row>
        <row r="881">
          <cell r="A881" t="str">
            <v>CW106-IR-PA</v>
          </cell>
          <cell r="B881" t="str">
            <v>3513I2355 / SF IR MCA MMT TTIP 85 GR REG 35.5</v>
          </cell>
          <cell r="C881">
            <v>82</v>
          </cell>
        </row>
        <row r="882">
          <cell r="A882" t="str">
            <v>CW107-IS-4A</v>
          </cell>
          <cell r="B882" t="str">
            <v>3513J3385 / SF IR MCA MMT TTIP 95 GR STF 38.5</v>
          </cell>
          <cell r="C882">
            <v>94</v>
          </cell>
        </row>
        <row r="883">
          <cell r="A883" t="str">
            <v>CW107-IS-5A</v>
          </cell>
          <cell r="B883" t="str">
            <v>3513J3380 / SF IR MCA MMT TTIP 95 GR STF 38.0</v>
          </cell>
          <cell r="C883">
            <v>94</v>
          </cell>
        </row>
        <row r="884">
          <cell r="A884" t="str">
            <v>CW107-IS-6A</v>
          </cell>
          <cell r="B884" t="str">
            <v>3513J3375 / SF IR MCA MMT TTIP 95 GR STF 37.5</v>
          </cell>
          <cell r="C884">
            <v>93</v>
          </cell>
        </row>
        <row r="885">
          <cell r="A885" t="str">
            <v>CW107-IS-7A</v>
          </cell>
          <cell r="B885" t="str">
            <v>3513J3370 / SF IR MCA MMT TTIP 95 GR STF 37.0</v>
          </cell>
          <cell r="C885">
            <v>93</v>
          </cell>
        </row>
        <row r="886">
          <cell r="A886" t="str">
            <v>CW107-IS-8A</v>
          </cell>
          <cell r="B886" t="str">
            <v>3513J3365 / SF IR MCA MMT TTIP 95 GR STF 36.5</v>
          </cell>
          <cell r="C886">
            <v>93</v>
          </cell>
        </row>
        <row r="887">
          <cell r="A887" t="str">
            <v>CW107-IS-9A</v>
          </cell>
          <cell r="B887" t="str">
            <v>3513J3360 / SF IR MCA MMT TTIP 95 GR STF 36.0</v>
          </cell>
          <cell r="C887">
            <v>93</v>
          </cell>
        </row>
        <row r="888">
          <cell r="A888" t="str">
            <v>CW107-IS-PA</v>
          </cell>
          <cell r="B888" t="str">
            <v>3513J3355 / SF IR MCA MMT TTIP 95 GR STF 35.5</v>
          </cell>
          <cell r="C888">
            <v>93</v>
          </cell>
        </row>
        <row r="889">
          <cell r="A889" t="str">
            <v>SF254-IS-1A</v>
          </cell>
          <cell r="B889" t="str">
            <v>N9068501/SHI 2021 Tensei BL TM60 S</v>
          </cell>
          <cell r="C889">
            <v>68</v>
          </cell>
        </row>
        <row r="890">
          <cell r="A890" t="str">
            <v>AX154-WA-1EB</v>
          </cell>
          <cell r="B890" t="str">
            <v>YHCWGA01/HOT LAUNCH C521 ALDILA ROGUE 50A GRAPH WOOD A-FLEX</v>
          </cell>
          <cell r="C890">
            <v>56</v>
          </cell>
        </row>
        <row r="891">
          <cell r="A891" t="str">
            <v>AX154-WL-1EB</v>
          </cell>
          <cell r="B891" t="str">
            <v>YHCWGL01/HOT LAUNCH C521 ALDILA ROGUE 50L GRAPH WOOD L-FLEX</v>
          </cell>
          <cell r="C891">
            <v>56</v>
          </cell>
        </row>
        <row r="892">
          <cell r="A892" t="str">
            <v>AX154-WR-1EB</v>
          </cell>
          <cell r="B892" t="str">
            <v>YHCWGR01/HOT LAUNCH C521 ALDILA ROGUE 60R GRAPH WOOD R-FLEX</v>
          </cell>
          <cell r="C892">
            <v>58</v>
          </cell>
        </row>
        <row r="893">
          <cell r="A893" t="str">
            <v>AX154-WS-1EB</v>
          </cell>
          <cell r="B893" t="str">
            <v>YHCWGS01/HOT LAUNCH C521 ALDILA ROGUE 60S GRAPH WOOD S-FLEX</v>
          </cell>
          <cell r="C893">
            <v>60</v>
          </cell>
        </row>
        <row r="894">
          <cell r="A894" t="str">
            <v>AX154-WX-1EB</v>
          </cell>
          <cell r="B894" t="str">
            <v>YHCWGX01/HOT LAUNCH C521 ALDILA ROGUE 60X GRAPH WOOD X-FLEX</v>
          </cell>
          <cell r="C894">
            <v>62</v>
          </cell>
        </row>
        <row r="895">
          <cell r="A895" t="str">
            <v>AX155-IA-1EB</v>
          </cell>
          <cell r="B895" t="str">
            <v>YHCIGA01/HOT LAUNCH C521 ALDILA ROGUE 55A GRAPH IRON A-FLEX</v>
          </cell>
          <cell r="C895">
            <v>57.5</v>
          </cell>
        </row>
        <row r="896">
          <cell r="A896" t="str">
            <v>AX155-IL-1EB</v>
          </cell>
          <cell r="B896" t="str">
            <v>YHCIGL01/HOT LAUNCH C521 ALDILA ROGUE 55L GRAPH IRON L-FLEX</v>
          </cell>
          <cell r="C896">
            <v>55.5</v>
          </cell>
        </row>
        <row r="897">
          <cell r="A897" t="str">
            <v>AX155-IR-1EB</v>
          </cell>
          <cell r="B897" t="str">
            <v>YHCIGR01/HOT LAUNCH C521 ALDILA ROGUE 65R GRAPH IRON R-FLEX</v>
          </cell>
          <cell r="C897">
            <v>59</v>
          </cell>
        </row>
        <row r="898">
          <cell r="A898" t="str">
            <v>AX155-IS-1EB</v>
          </cell>
          <cell r="B898" t="str">
            <v>YHCIGS01/HOT LAUNCH C521 ALDILA ROGUE 65S GRAPH IRON S-FLEX</v>
          </cell>
          <cell r="C898">
            <v>60</v>
          </cell>
        </row>
        <row r="899">
          <cell r="A899" t="str">
            <v>AX155-IX-1EB</v>
          </cell>
          <cell r="B899" t="str">
            <v>YHCIGX01/HOT LAUNCH C521 ALDILA ROGUE 65X GRAPH IRON X-FLEX</v>
          </cell>
          <cell r="C899">
            <v>62</v>
          </cell>
        </row>
        <row r="900">
          <cell r="A900" t="str">
            <v>CW107-IS-3A</v>
          </cell>
          <cell r="B900" t="str">
            <v>3513J3390 / SF IR MCA MMT TTIP 95 GR STF 39.0</v>
          </cell>
          <cell r="C900">
            <v>94</v>
          </cell>
        </row>
        <row r="901">
          <cell r="A901" t="str">
            <v>CW106-IR-3A</v>
          </cell>
          <cell r="B901" t="str">
            <v>3513I2390  / SF IR MCA MMT TTIP 85 GR REG 39.0</v>
          </cell>
          <cell r="C901">
            <v>84</v>
          </cell>
        </row>
        <row r="902">
          <cell r="A902" t="str">
            <v>CW108-ITX3A</v>
          </cell>
          <cell r="B902" t="str">
            <v>3513K4390 / SF IR MCA MMT TTIP 105 GR XST 39.0</v>
          </cell>
          <cell r="C902">
            <v>114.5</v>
          </cell>
        </row>
        <row r="903">
          <cell r="A903" t="str">
            <v>CW108-ITX4A</v>
          </cell>
          <cell r="B903" t="str">
            <v>3513K4385 / SF IR MCA MMT TTIP 105 GR XST 38.5</v>
          </cell>
          <cell r="C903">
            <v>114.5</v>
          </cell>
        </row>
        <row r="904">
          <cell r="A904" t="str">
            <v>CW108-ITX5A</v>
          </cell>
          <cell r="B904" t="str">
            <v>3513K4380 / SF IR MCA MMT TTIP 105 GR XST 38.0</v>
          </cell>
          <cell r="C904">
            <v>117</v>
          </cell>
        </row>
        <row r="905">
          <cell r="A905" t="str">
            <v>CW108-ITX6A</v>
          </cell>
          <cell r="B905" t="str">
            <v>3513K4375 / SF IR MCA MMT TTIP 105 GR XST 37.5</v>
          </cell>
          <cell r="C905">
            <v>116</v>
          </cell>
        </row>
        <row r="906">
          <cell r="A906" t="str">
            <v>CW108-ITX7A</v>
          </cell>
          <cell r="B906" t="str">
            <v>3513K4370 / SF IR MCA MMT TTIP 105 GR XST 37.0</v>
          </cell>
          <cell r="C906">
            <v>117</v>
          </cell>
        </row>
        <row r="907">
          <cell r="A907" t="str">
            <v>CW108-ITX8A</v>
          </cell>
          <cell r="B907" t="str">
            <v>3513K4365 / SF IR MCA MMT TTIP 105 GR XST 36.5</v>
          </cell>
          <cell r="C907">
            <v>117</v>
          </cell>
        </row>
        <row r="908">
          <cell r="A908" t="str">
            <v>CW108-ITX9A</v>
          </cell>
          <cell r="B908" t="str">
            <v>3513K4360 / SF IR MCA MMT TTIP 105 GR XST 36.0</v>
          </cell>
          <cell r="C908">
            <v>117</v>
          </cell>
        </row>
        <row r="909">
          <cell r="A909" t="str">
            <v>CW108-ITXPA</v>
          </cell>
          <cell r="B909" t="str">
            <v>3513K4355 / SF IR MCA MMT TTIP 105 GR XST 35.5</v>
          </cell>
          <cell r="C909">
            <v>115</v>
          </cell>
        </row>
        <row r="910">
          <cell r="A910" t="str">
            <v>MR113-WS-1A</v>
          </cell>
          <cell r="B910" t="str">
            <v>8463200/20 MARUMAN SG S</v>
          </cell>
          <cell r="C910">
            <v>54</v>
          </cell>
        </row>
        <row r="911">
          <cell r="A911" t="str">
            <v>MR113-ISR5A</v>
          </cell>
          <cell r="B911" t="str">
            <v>8463176/20 MARUMAN SG SR</v>
          </cell>
          <cell r="C911">
            <v>58</v>
          </cell>
        </row>
        <row r="912">
          <cell r="A912" t="str">
            <v>SF245-WR-1D</v>
          </cell>
          <cell r="B912" t="str">
            <v>N9061701/SHM 2021 Tensei BL TM50 R</v>
          </cell>
          <cell r="C912">
            <v>52.5</v>
          </cell>
        </row>
        <row r="913">
          <cell r="A913" t="str">
            <v>SF245-WS-1D</v>
          </cell>
          <cell r="B913" t="str">
            <v>N9061501/SHM 2021 Tensei BL TM50 S</v>
          </cell>
          <cell r="C913">
            <v>57.5</v>
          </cell>
        </row>
        <row r="914">
          <cell r="A914" t="str">
            <v>SF245-WSR1D</v>
          </cell>
          <cell r="B914" t="str">
            <v>N9061601/SHM 2021 Tensei BL TM50 SR</v>
          </cell>
          <cell r="C914">
            <v>55</v>
          </cell>
        </row>
        <row r="915">
          <cell r="A915" t="str">
            <v>SF248-IL-1B</v>
          </cell>
          <cell r="B915" t="str">
            <v>N9068701/SHI 2021 Tensei BL TM40 L</v>
          </cell>
          <cell r="C915">
            <v>58</v>
          </cell>
        </row>
        <row r="916">
          <cell r="A916" t="str">
            <v>SF248-IA-1B</v>
          </cell>
          <cell r="B916" t="str">
            <v>N9068801/SHI 2021 Tensei BL TM40 A</v>
          </cell>
          <cell r="C916">
            <v>60</v>
          </cell>
        </row>
        <row r="917">
          <cell r="A917" t="str">
            <v>MR113-UR-3A</v>
          </cell>
          <cell r="B917" t="str">
            <v>8463283/ 20 MARUMAN SG R</v>
          </cell>
          <cell r="C917">
            <v>53.5</v>
          </cell>
        </row>
        <row r="918">
          <cell r="A918" t="str">
            <v>MR113-WR-3A</v>
          </cell>
          <cell r="B918" t="str">
            <v>8463259/ 20 MARUMAN SG R</v>
          </cell>
          <cell r="C918">
            <v>51.5</v>
          </cell>
        </row>
        <row r="919">
          <cell r="A919" t="str">
            <v>MR113-US-3A</v>
          </cell>
          <cell r="B919" t="str">
            <v>8463267/ 20 MARUMAN SG S</v>
          </cell>
          <cell r="C919">
            <v>57</v>
          </cell>
        </row>
        <row r="920">
          <cell r="A920" t="str">
            <v>MR113-WL-1A</v>
          </cell>
          <cell r="B920" t="str">
            <v>8463291/ 20 MARUMAN SG L</v>
          </cell>
          <cell r="C920">
            <v>44</v>
          </cell>
        </row>
        <row r="921">
          <cell r="A921" t="str">
            <v>MR113-WL-3A</v>
          </cell>
          <cell r="B921" t="str">
            <v>8463309/ 20 MARUMAN SG L</v>
          </cell>
          <cell r="C921">
            <v>44.5</v>
          </cell>
        </row>
        <row r="922">
          <cell r="A922" t="str">
            <v>MR113-IL-5A</v>
          </cell>
          <cell r="B922" t="str">
            <v>8463192/ 20 MARUMAN SG L</v>
          </cell>
          <cell r="C922">
            <v>46.5</v>
          </cell>
        </row>
        <row r="923">
          <cell r="A923" t="str">
            <v>MR113-UL-4A</v>
          </cell>
          <cell r="B923" t="str">
            <v>8463317/ 20 MARUMAN SG L</v>
          </cell>
          <cell r="C923">
            <v>43.5</v>
          </cell>
        </row>
        <row r="924">
          <cell r="A924" t="str">
            <v>MR113-WS-3A</v>
          </cell>
          <cell r="B924" t="str">
            <v>8463234/ 20 MARUMAN SG S</v>
          </cell>
          <cell r="C924">
            <v>55</v>
          </cell>
        </row>
        <row r="925">
          <cell r="A925" t="str">
            <v>CW116-IR-3A</v>
          </cell>
          <cell r="B925" t="str">
            <v>3515O2 / SF HY MITSUBISHI MMT 70 GR REG (R-FLEX)</v>
          </cell>
          <cell r="C925">
            <v>72</v>
          </cell>
        </row>
        <row r="926">
          <cell r="A926" t="str">
            <v>CW116-IS-3A</v>
          </cell>
          <cell r="B926" t="str">
            <v>3515P3 / SF HY MITSUBISHI MMT 80 GR STF (S-FLEX)</v>
          </cell>
          <cell r="C926">
            <v>85</v>
          </cell>
        </row>
        <row r="927">
          <cell r="A927" t="str">
            <v>CW116-IX-3A</v>
          </cell>
          <cell r="B927" t="str">
            <v>3515P4 / SF HY MITSUBISHI MMT 80 GR XST (X-FLEX)</v>
          </cell>
          <cell r="C927">
            <v>88.5</v>
          </cell>
        </row>
        <row r="928">
          <cell r="A928" t="str">
            <v>SF254-IS-1A　</v>
          </cell>
          <cell r="B928" t="str">
            <v>N9068501/SHI 2021 Tensei BL TM60 S</v>
          </cell>
          <cell r="C928">
            <v>65</v>
          </cell>
        </row>
        <row r="929">
          <cell r="A929" t="str">
            <v>SF246-WL-1D</v>
          </cell>
          <cell r="B929" t="str">
            <v>N9063501/SHF 2021 Tensei BL TM40 L (WM FW)</v>
          </cell>
          <cell r="C929">
            <v>48.5</v>
          </cell>
        </row>
        <row r="930">
          <cell r="A930" t="str">
            <v>SF246-WL-1C</v>
          </cell>
          <cell r="B930" t="str">
            <v>N9061801/SHF 2021 Tensei BL TM40 L (WM DR)</v>
          </cell>
          <cell r="C930">
            <v>48.5</v>
          </cell>
        </row>
        <row r="931">
          <cell r="A931" t="str">
            <v>SF254-IR-1A　</v>
          </cell>
          <cell r="B931" t="str">
            <v>N9068601/SHI 2021 Tensei BL TM60 R</v>
          </cell>
          <cell r="C931">
            <v>62</v>
          </cell>
        </row>
        <row r="932">
          <cell r="A932" t="str">
            <v>MR113-USR3A</v>
          </cell>
          <cell r="B932" t="str">
            <v>8463275/  20 MARUMAN SG SR</v>
          </cell>
          <cell r="C932">
            <v>55</v>
          </cell>
        </row>
        <row r="933">
          <cell r="A933" t="str">
            <v>MR113-WSR3A</v>
          </cell>
          <cell r="B933" t="str">
            <v>8463242/ 20 MARUMAN SG SR</v>
          </cell>
          <cell r="C933">
            <v>53</v>
          </cell>
        </row>
        <row r="934">
          <cell r="A934" t="str">
            <v>SF256-IS-1A</v>
          </cell>
          <cell r="B934" t="str">
            <v>N9069301/SHI 2021 Tensei SV TM70 S</v>
          </cell>
          <cell r="C934">
            <v>78</v>
          </cell>
        </row>
        <row r="935">
          <cell r="A935" t="str">
            <v>SF255-WR-1A</v>
          </cell>
          <cell r="B935" t="str">
            <v>N9117701/SHD-MCA Tensei AV Raw Blue 60 R</v>
          </cell>
          <cell r="C935">
            <v>66.5</v>
          </cell>
        </row>
        <row r="936">
          <cell r="A936" t="str">
            <v>SF255-WS-1A</v>
          </cell>
          <cell r="B936" t="str">
            <v>N9117601/SHD-MCA Tensei AV Raw Blue 60 S</v>
          </cell>
          <cell r="C936">
            <v>69.5</v>
          </cell>
        </row>
        <row r="937">
          <cell r="A937" t="str">
            <v>SF255-WX-1A</v>
          </cell>
          <cell r="B937" t="str">
            <v>N9117501/SHD-MCA Tensei AV Raw Blue 60 X</v>
          </cell>
          <cell r="C937">
            <v>72.5</v>
          </cell>
        </row>
        <row r="938">
          <cell r="A938" t="str">
            <v>SF246-WA-1D</v>
          </cell>
          <cell r="B938" t="str">
            <v>N9063601/SHF 2021 Tensei BL TM40 A (WM FW)</v>
          </cell>
          <cell r="C938">
            <v>50.5</v>
          </cell>
        </row>
        <row r="939">
          <cell r="A939" t="str">
            <v>CW116-IA-3A</v>
          </cell>
          <cell r="B939" t="str">
            <v>3515O1 / SF HY MITSUBISHI MMT 70 GR LGT (A-FLEX)</v>
          </cell>
          <cell r="C939">
            <v>70.5</v>
          </cell>
        </row>
        <row r="940">
          <cell r="A940" t="str">
            <v>SF245-WS-1C</v>
          </cell>
          <cell r="B940" t="str">
            <v>N9063301/SHM 2021 Tensei Silver TM50 SR</v>
          </cell>
          <cell r="C940">
            <v>57.5</v>
          </cell>
        </row>
        <row r="941">
          <cell r="A941" t="str">
            <v>SF245-WSR1C</v>
          </cell>
          <cell r="B941" t="str">
            <v>N9063401/SHM 2021 Tensei Silver TM50 R</v>
          </cell>
          <cell r="C941">
            <v>55</v>
          </cell>
        </row>
        <row r="942">
          <cell r="A942" t="str">
            <v>SF245-WX-1C</v>
          </cell>
          <cell r="B942" t="str">
            <v>N9063201/SHM 2021 Tensei Silver TM50 S</v>
          </cell>
          <cell r="C942">
            <v>60</v>
          </cell>
        </row>
        <row r="943">
          <cell r="A943" t="str">
            <v>SF258-WR-3A</v>
          </cell>
          <cell r="B943" t="str">
            <v>N9115401/SHD-MCA Tensei AV Raw Blue 65 R</v>
          </cell>
          <cell r="C943">
            <v>70.5</v>
          </cell>
        </row>
        <row r="944">
          <cell r="A944" t="str">
            <v>SF258-WS-3A</v>
          </cell>
          <cell r="B944" t="str">
            <v>N9115301/SHD-MCA Tensei AV Raw Blue 65 S</v>
          </cell>
          <cell r="C944">
            <v>72.5</v>
          </cell>
        </row>
        <row r="945">
          <cell r="A945" t="str">
            <v>SF246-WA-1C</v>
          </cell>
          <cell r="B945" t="str">
            <v>N9061901/SHF 2021 Tensei BL TM40 A (WM DR)</v>
          </cell>
          <cell r="C945">
            <v>50.5</v>
          </cell>
        </row>
        <row r="946">
          <cell r="A946" t="str">
            <v>SF259-IS-1A</v>
          </cell>
          <cell r="B946" t="str">
            <v>N9112801/SHR-MCATenseiAVRawBlue 80 S</v>
          </cell>
          <cell r="C946">
            <v>82</v>
          </cell>
        </row>
        <row r="947">
          <cell r="A947" t="str">
            <v>SF259-IX-1A</v>
          </cell>
          <cell r="B947" t="str">
            <v>N9112701/SHR-MCATenseiAVRawBlue 80 X</v>
          </cell>
          <cell r="C947">
            <v>85</v>
          </cell>
        </row>
        <row r="948">
          <cell r="A948" t="str">
            <v>SF259-IR-1A</v>
          </cell>
          <cell r="B948" t="str">
            <v>N9112901/SHR-MCATenseiAVRawBlue 70 R</v>
          </cell>
          <cell r="C948">
            <v>79</v>
          </cell>
        </row>
        <row r="949">
          <cell r="A949" t="str">
            <v>SF256-IR-1A</v>
          </cell>
          <cell r="B949" t="str">
            <v>N9069401/SHI 2021 Tensei SV TM70 R</v>
          </cell>
          <cell r="C949">
            <v>70.5</v>
          </cell>
        </row>
        <row r="950">
          <cell r="A950" t="str">
            <v>CW103-WS-1A</v>
          </cell>
          <cell r="B950" t="str">
            <v>3514O3 / SF WD MITSUBISHI MMT 60 GR STF (S-FLEX)</v>
          </cell>
          <cell r="C950">
            <v>64.5</v>
          </cell>
        </row>
        <row r="951">
          <cell r="A951" t="str">
            <v>CW105-WS-1A</v>
          </cell>
          <cell r="B951" t="str">
            <v>3515J3 / SF WD MITSUBISHI MMT 80 GR STF (S-FLEX)</v>
          </cell>
          <cell r="C951">
            <v>79.5</v>
          </cell>
        </row>
        <row r="952">
          <cell r="A952" t="str">
            <v>CW104-WS-1A</v>
          </cell>
          <cell r="B952" t="str">
            <v>3514P3 / SF WD MITSUBISHI MMT 70 GR STF (S-FLEX)</v>
          </cell>
          <cell r="C952">
            <v>71.5</v>
          </cell>
        </row>
        <row r="953">
          <cell r="A953" t="str">
            <v>CW103-WR-1A</v>
          </cell>
          <cell r="B953" t="str">
            <v>3514O2 / SF WD MITSUBISHI MMT 60 GR REG (R-FLEX)</v>
          </cell>
          <cell r="C953">
            <v>62.5</v>
          </cell>
        </row>
        <row r="954">
          <cell r="A954" t="str">
            <v>CW103-WX-1A</v>
          </cell>
          <cell r="B954" t="str">
            <v>3514O4 / SF WD MITSUBISHI MMT 60 GR XST (X-FLEX)</v>
          </cell>
          <cell r="C954">
            <v>67.5</v>
          </cell>
        </row>
        <row r="955">
          <cell r="A955" t="str">
            <v>CW104-WR-1A</v>
          </cell>
          <cell r="B955" t="str">
            <v>3514P2 / SF WD MITSUBISHI MMT 70 GR REG (R-FLEX)</v>
          </cell>
          <cell r="C955">
            <v>68.5</v>
          </cell>
        </row>
        <row r="956">
          <cell r="A956" t="str">
            <v>CW104-WX-1A</v>
          </cell>
          <cell r="B956" t="str">
            <v>3514P4 / SF WD MITSUBISHI MMT 70 GR XST (X-FLEX)</v>
          </cell>
          <cell r="C956">
            <v>75.5</v>
          </cell>
        </row>
        <row r="957">
          <cell r="A957" t="str">
            <v>SF258-WX-3A</v>
          </cell>
          <cell r="B957" t="str">
            <v>N9115201/SHD-MCA Tensei AV Raw Blue 75 X</v>
          </cell>
          <cell r="C957">
            <v>75.5</v>
          </cell>
        </row>
        <row r="958">
          <cell r="A958" t="str">
            <v>MX769-WTX1A</v>
          </cell>
          <cell r="B958" t="str">
            <v>Tensei AV White 65gram TX</v>
          </cell>
          <cell r="C958">
            <v>69.5</v>
          </cell>
        </row>
        <row r="959">
          <cell r="A959" t="str">
            <v>MX770-WTX1A</v>
          </cell>
          <cell r="B959" t="str">
            <v>Tensei AV White 75gram TX</v>
          </cell>
          <cell r="C959">
            <v>80.5</v>
          </cell>
        </row>
        <row r="960">
          <cell r="A960" t="str">
            <v>MX771-WTX1A</v>
          </cell>
          <cell r="B960" t="str">
            <v>Tensei AV White 85gram TX</v>
          </cell>
          <cell r="C960">
            <v>90.5</v>
          </cell>
        </row>
        <row r="961">
          <cell r="A961" t="str">
            <v>CW113-IR-2A</v>
          </cell>
          <cell r="B961" t="str">
            <v>3515I2405 / SF IR/HY MCA DIAMANA BLK/SLVR 55 GR REG JV</v>
          </cell>
          <cell r="C961">
            <v>56</v>
          </cell>
        </row>
        <row r="962">
          <cell r="A962" t="str">
            <v>CW113-IS-2A</v>
          </cell>
          <cell r="B962" t="str">
            <v>3515I3405 / SF IR/HY MCA DIAMANA BLK/SLVR 55 GR STF JV</v>
          </cell>
          <cell r="C962">
            <v>60</v>
          </cell>
        </row>
        <row r="963">
          <cell r="A963" t="str">
            <v>CW113-ISR2A</v>
          </cell>
          <cell r="B963" t="str">
            <v>3515I5405 / SF IR/HY MCA DIAMANA BLK/SLVR 55 GR SR JV</v>
          </cell>
          <cell r="C963">
            <v>58</v>
          </cell>
        </row>
        <row r="964">
          <cell r="A964" t="str">
            <v>CW113-WR-1A</v>
          </cell>
          <cell r="B964" t="str">
            <v>3514G2 / SF WD MCA DIAMANA BLK/GRN 50 GR REG JV</v>
          </cell>
          <cell r="C964">
            <v>50.5</v>
          </cell>
        </row>
        <row r="965">
          <cell r="A965" t="str">
            <v>CW113-WS-1A</v>
          </cell>
          <cell r="B965" t="str">
            <v>3514G3 / SF WD MCA DIAMANA BLK/GRN 50 GR STF JV</v>
          </cell>
          <cell r="C965">
            <v>54.5</v>
          </cell>
        </row>
        <row r="966">
          <cell r="A966" t="str">
            <v>CW113-WSR1A</v>
          </cell>
          <cell r="B966" t="str">
            <v>3514G5 / SF WD MCA DIAMANA BLK/GRN 50 GR SR JV</v>
          </cell>
          <cell r="C966">
            <v>52.5</v>
          </cell>
        </row>
        <row r="967">
          <cell r="A967" t="str">
            <v>CW114-WR-1A</v>
          </cell>
          <cell r="B967" t="str">
            <v>3514W2/SF WD MCA DIAMANA BLK/GRN 40 GR REG JV</v>
          </cell>
          <cell r="C967">
            <v>43</v>
          </cell>
        </row>
        <row r="968">
          <cell r="A968" t="str">
            <v>CW114-WS-1A</v>
          </cell>
          <cell r="B968" t="str">
            <v>3514W3/SF WD MCA DIAMANA BLK/GRN 40 GR STF JV</v>
          </cell>
          <cell r="C968">
            <v>46</v>
          </cell>
        </row>
        <row r="969">
          <cell r="A969" t="str">
            <v>CW114-WSR1A</v>
          </cell>
          <cell r="B969" t="str">
            <v>3514W5/SF WD MCA DIAMANA BLK/GRN 40 GR SR JV</v>
          </cell>
          <cell r="C969">
            <v>44.5</v>
          </cell>
        </row>
        <row r="970">
          <cell r="A970" t="str">
            <v>CW115-WL-1A</v>
          </cell>
          <cell r="B970" t="str">
            <v>3513Y1 / SF WD MCA ELDIO NO.3 40G GR LDY JV</v>
          </cell>
          <cell r="C970">
            <v>39.5</v>
          </cell>
        </row>
        <row r="971">
          <cell r="A971" t="str">
            <v>CW105-WX-1A</v>
          </cell>
          <cell r="B971" t="str">
            <v>3515J4 / SF WD MITSUBISHI MMT 80 GR XST (X-FLEX)</v>
          </cell>
          <cell r="C971">
            <v>84.5</v>
          </cell>
        </row>
        <row r="972">
          <cell r="A972" t="str">
            <v>MX669-IS-3A</v>
          </cell>
          <cell r="B972" t="str">
            <v>MMT™ Taper 95 S-flex (0.355 taper) 39"</v>
          </cell>
          <cell r="C972">
            <v>94</v>
          </cell>
        </row>
        <row r="973">
          <cell r="A973" t="str">
            <v>MX669-IS-4A</v>
          </cell>
          <cell r="B973" t="str">
            <v>MMT™ Taper 95 S-flex (0.355 taper) 38.5"</v>
          </cell>
          <cell r="C973">
            <v>94</v>
          </cell>
        </row>
        <row r="974">
          <cell r="A974" t="str">
            <v>MX669-IS-5A</v>
          </cell>
          <cell r="B974" t="str">
            <v>MMT™ Taper 95 S-flex (0.355 taper) 38"</v>
          </cell>
          <cell r="C974">
            <v>94</v>
          </cell>
        </row>
        <row r="975">
          <cell r="A975" t="str">
            <v>MX669-IS-6A</v>
          </cell>
          <cell r="B975" t="str">
            <v>MMT™ Taper 95 S-flex (0.355 taper) 37.5"</v>
          </cell>
          <cell r="C975">
            <v>93</v>
          </cell>
        </row>
        <row r="976">
          <cell r="A976" t="str">
            <v>MX669-IS-7A</v>
          </cell>
          <cell r="B976" t="str">
            <v>MMT™ Taper 95 S-flex (0.355 taper) 37"</v>
          </cell>
          <cell r="C976">
            <v>93</v>
          </cell>
        </row>
        <row r="977">
          <cell r="A977" t="str">
            <v>MX669-IS-8A</v>
          </cell>
          <cell r="B977" t="str">
            <v>MMT™ Taper 95 S-flex (0.355 taper) 36.5"</v>
          </cell>
          <cell r="C977">
            <v>93</v>
          </cell>
        </row>
        <row r="978">
          <cell r="A978" t="str">
            <v>MX669-IS-9A</v>
          </cell>
          <cell r="B978" t="str">
            <v>MMT™ Taper 95 S-flex (0.355 taper) 36"</v>
          </cell>
          <cell r="C978">
            <v>93</v>
          </cell>
        </row>
        <row r="979">
          <cell r="A979" t="str">
            <v>MX669-IS-PA</v>
          </cell>
          <cell r="B979" t="str">
            <v>MMT™ Taper 95 S-flex (0.355 taper) 35.5"</v>
          </cell>
          <cell r="C979">
            <v>94</v>
          </cell>
        </row>
        <row r="980">
          <cell r="A980" t="str">
            <v>AU172-IA-2B</v>
          </cell>
          <cell r="B980" t="str">
            <v>2692059 / SH HYB Kuro Kage Black 5th Gen 55 HY R2</v>
          </cell>
          <cell r="C980">
            <v>55</v>
          </cell>
        </row>
        <row r="981">
          <cell r="A981" t="str">
            <v>AU172-IR-2B</v>
          </cell>
          <cell r="B981" t="str">
            <v>2692061 / SH HYB Kuro Kage Black 5th Gen 55 HY R</v>
          </cell>
          <cell r="C981">
            <v>58</v>
          </cell>
        </row>
        <row r="982">
          <cell r="A982" t="str">
            <v>AU172-IS-2B</v>
          </cell>
          <cell r="B982" t="str">
            <v>2692063 / SH HYB Kuro Kage Black 5th Gen 55 HY S</v>
          </cell>
          <cell r="C982">
            <v>61</v>
          </cell>
        </row>
        <row r="983">
          <cell r="A983" t="str">
            <v>MX721-IS-3A</v>
          </cell>
          <cell r="B983" t="str">
            <v>MMT™ Taper Iron 125 S-flex (0.355 taper) 39"</v>
          </cell>
          <cell r="C983">
            <v>124.5</v>
          </cell>
        </row>
        <row r="984">
          <cell r="A984" t="str">
            <v>MX721-IS-4A</v>
          </cell>
          <cell r="B984" t="str">
            <v>MMT™ Taper Iron 125 S-flex (0.355 taper) 38.5"</v>
          </cell>
          <cell r="C984">
            <v>124</v>
          </cell>
        </row>
        <row r="985">
          <cell r="A985" t="str">
            <v>MX721-IS-5A</v>
          </cell>
          <cell r="B985" t="str">
            <v>MMT™ Taper Iron 125 S-flex (0.355 taper) 38"</v>
          </cell>
          <cell r="C985">
            <v>124</v>
          </cell>
        </row>
        <row r="986">
          <cell r="A986" t="str">
            <v>MX721-IS-6A</v>
          </cell>
          <cell r="B986" t="str">
            <v>MMT™ Taper Iron 125 S-flex (0.355 taper) 37.5"</v>
          </cell>
          <cell r="C986">
            <v>124</v>
          </cell>
        </row>
        <row r="987">
          <cell r="A987" t="str">
            <v>MX721-IS-7A</v>
          </cell>
          <cell r="B987" t="str">
            <v>MMT™ Taper Iron 125 S-flex (0.355 taper) 37"</v>
          </cell>
          <cell r="C987">
            <v>124</v>
          </cell>
        </row>
        <row r="988">
          <cell r="A988" t="str">
            <v>MX721-IS-8A</v>
          </cell>
          <cell r="B988" t="str">
            <v>MMT™ Taper Iron 125 S-flex (0.355 taper) 36.5"</v>
          </cell>
          <cell r="C988">
            <v>124</v>
          </cell>
        </row>
        <row r="989">
          <cell r="A989" t="str">
            <v>MX721-IS-9A</v>
          </cell>
          <cell r="B989" t="str">
            <v>MMT™ Taper Iron 125 S-flex (0.355 taper) 36"</v>
          </cell>
          <cell r="C989">
            <v>124</v>
          </cell>
        </row>
        <row r="990">
          <cell r="A990" t="str">
            <v>MX721-IS-PA</v>
          </cell>
          <cell r="B990" t="str">
            <v>MMT™ Taper Iron 125 S-flex (0.355 taper) 35.5"</v>
          </cell>
          <cell r="C990">
            <v>124</v>
          </cell>
        </row>
        <row r="991">
          <cell r="A991" t="str">
            <v>MX797-WR-1A</v>
          </cell>
          <cell r="B991" t="str">
            <v>MMT™ Wood 60 R-FLEX</v>
          </cell>
          <cell r="C991">
            <v>62.5</v>
          </cell>
        </row>
        <row r="992">
          <cell r="A992" t="str">
            <v>MX797-WS-1A</v>
          </cell>
          <cell r="B992" t="str">
            <v>MMT™ Wood 60 S-FLEX</v>
          </cell>
          <cell r="C992">
            <v>65</v>
          </cell>
        </row>
        <row r="993">
          <cell r="A993" t="str">
            <v>MX797-WX-1A</v>
          </cell>
          <cell r="B993" t="str">
            <v>MMT™ Wood 60 X-FLEX</v>
          </cell>
          <cell r="C993">
            <v>67.5</v>
          </cell>
        </row>
        <row r="994">
          <cell r="A994" t="str">
            <v>MX798-WS-1A</v>
          </cell>
          <cell r="B994" t="str">
            <v>MMT™ Wood 70 S-FLEX</v>
          </cell>
          <cell r="C994">
            <v>72.5</v>
          </cell>
        </row>
        <row r="995">
          <cell r="A995" t="str">
            <v>MX798-WX-1A</v>
          </cell>
          <cell r="B995" t="str">
            <v>MMT™ Wood 70 X-FLEX</v>
          </cell>
          <cell r="C995">
            <v>75.5</v>
          </cell>
        </row>
        <row r="996">
          <cell r="A996" t="str">
            <v>MX799-WS-1A</v>
          </cell>
          <cell r="B996" t="str">
            <v>MMT™ Wood 80 S-FLEX</v>
          </cell>
          <cell r="C996">
            <v>80.5</v>
          </cell>
        </row>
        <row r="997">
          <cell r="A997" t="str">
            <v>MX799-WX-1A</v>
          </cell>
          <cell r="B997" t="str">
            <v>MMT™ Wood 80 X-FLEX</v>
          </cell>
          <cell r="C997">
            <v>84.5</v>
          </cell>
        </row>
        <row r="998">
          <cell r="A998" t="str">
            <v>MX786-IX-2A</v>
          </cell>
          <cell r="B998" t="str">
            <v>SHR-Tensei Raw White HY 90 X</v>
          </cell>
          <cell r="C998">
            <v>94</v>
          </cell>
        </row>
        <row r="999">
          <cell r="A999" t="str">
            <v>MX786-IS-2A</v>
          </cell>
          <cell r="B999" t="str">
            <v>SHR-Tensei Raw White HY 90 S</v>
          </cell>
          <cell r="C999">
            <v>91</v>
          </cell>
        </row>
        <row r="1000">
          <cell r="A1000" t="str">
            <v>AU189-IS-2A</v>
          </cell>
          <cell r="B1000" t="str">
            <v>2692091 / SH HYB Tensei AV White RAW 90 HY S</v>
          </cell>
          <cell r="C1000">
            <v>91</v>
          </cell>
        </row>
        <row r="1001">
          <cell r="A1001" t="str">
            <v>AU189-IX-2A</v>
          </cell>
          <cell r="B1001" t="str">
            <v>2692093 / SH HYB Tensei AV White RAW 90 HY X</v>
          </cell>
          <cell r="C1001">
            <v>94</v>
          </cell>
        </row>
        <row r="1002">
          <cell r="A1002" t="str">
            <v>AU173-IR-2B</v>
          </cell>
          <cell r="B1002" t="str">
            <v>2692065 / SH HYB Kuro Kage Black 5th Gen 65 HY R</v>
          </cell>
          <cell r="C1002">
            <v>67</v>
          </cell>
        </row>
        <row r="1003">
          <cell r="A1003" t="str">
            <v>AU173-IS-2B</v>
          </cell>
          <cell r="B1003" t="str">
            <v>2692067 / SH HYB Kuro Kage Black 5th Gen 65 HY S</v>
          </cell>
          <cell r="C1003">
            <v>70</v>
          </cell>
        </row>
        <row r="1004">
          <cell r="A1004" t="str">
            <v>AU193-IS-2A</v>
          </cell>
          <cell r="B1004" t="str">
            <v>2692095 / SH HYB Tensei AV White RAW 100 HY S</v>
          </cell>
          <cell r="C1004">
            <v>103</v>
          </cell>
        </row>
        <row r="1005">
          <cell r="A1005" t="str">
            <v>AU193-IX-2A</v>
          </cell>
          <cell r="B1005" t="str">
            <v>2692097 / SH HYB Tensei AV White RAW 100 HY X</v>
          </cell>
          <cell r="C1005">
            <v>106.5</v>
          </cell>
        </row>
        <row r="1006">
          <cell r="A1006" t="str">
            <v>MX787-IX-2A</v>
          </cell>
          <cell r="B1006" t="str">
            <v>TENSEI™ AV White HY 100 X-flex</v>
          </cell>
          <cell r="C1006">
            <v>106.5</v>
          </cell>
        </row>
        <row r="1007">
          <cell r="A1007" t="str">
            <v>CW117-WS-1A</v>
          </cell>
          <cell r="B1007" t="str">
            <v>3519G3/SF WD MCA TENSEI BLK/GRN 55 GR STF JV</v>
          </cell>
          <cell r="C1007">
            <v>59</v>
          </cell>
        </row>
        <row r="1008">
          <cell r="A1008" t="str">
            <v>CW117-WSR1A</v>
          </cell>
          <cell r="B1008" t="str">
            <v>3519G5/SF WD MCA TENSEI BLK/GRN 55 GR SR JV</v>
          </cell>
          <cell r="C1008">
            <v>56.5</v>
          </cell>
        </row>
        <row r="1009">
          <cell r="A1009" t="str">
            <v>MX798-WR-1A</v>
          </cell>
          <cell r="B1009" t="str">
            <v>MMT™ Wood 70 R-FLEX</v>
          </cell>
          <cell r="C1009">
            <v>68.5</v>
          </cell>
        </row>
        <row r="1010">
          <cell r="A1010" t="str">
            <v>SF253-WR-1A</v>
          </cell>
          <cell r="B1010" t="str">
            <v>N9118701/SHD-MCA Kuro Kage Silver 60 R</v>
          </cell>
          <cell r="C1010">
            <v>64.5</v>
          </cell>
        </row>
        <row r="1011">
          <cell r="A1011" t="str">
            <v>SF253-WX-1A</v>
          </cell>
          <cell r="B1011" t="str">
            <v>N9118501/SHD-MCA Kuro Kage Silver 60 X</v>
          </cell>
          <cell r="C1011">
            <v>70.5</v>
          </cell>
        </row>
        <row r="1012">
          <cell r="A1012" t="str">
            <v>SF253-WS-1A</v>
          </cell>
          <cell r="B1012" t="str">
            <v>N9118601/SHD-MCA Kuro Kage Silver 60 S</v>
          </cell>
          <cell r="C1012">
            <v>68</v>
          </cell>
        </row>
        <row r="1013">
          <cell r="A1013" t="str">
            <v>MX705-IA-2B</v>
          </cell>
          <cell r="B1013" t="str">
            <v>5th Generation KURO KAGE™ Black Dual Core TiNi Hybrid 60 R2-</v>
          </cell>
          <cell r="C1013">
            <v>55</v>
          </cell>
        </row>
        <row r="1014">
          <cell r="A1014" t="str">
            <v>MX705-IR-2B</v>
          </cell>
          <cell r="B1014" t="str">
            <v>5th Generation KURO KAGE™ Black Dual Core TiNi Hybrid 60 R-F</v>
          </cell>
          <cell r="C1014">
            <v>58</v>
          </cell>
        </row>
        <row r="1015">
          <cell r="A1015" t="str">
            <v>MX705-IS-2B</v>
          </cell>
          <cell r="B1015" t="str">
            <v>5th Generation KURO KAGE™ Black Dual Core TiNi Hybrid 60 S-F</v>
          </cell>
          <cell r="C1015">
            <v>61</v>
          </cell>
        </row>
        <row r="1016">
          <cell r="A1016" t="str">
            <v>MX706-IR-2B</v>
          </cell>
          <cell r="B1016" t="str">
            <v>5th Generation KURO KAGE™ Black Dual Core TiNi Hybrid 70 R-F</v>
          </cell>
          <cell r="C1016">
            <v>67</v>
          </cell>
        </row>
        <row r="1017">
          <cell r="A1017" t="str">
            <v>MX706-IS-2B</v>
          </cell>
          <cell r="B1017" t="str">
            <v>5th Generation KURO KAGE™ Black Dual Core TiNi Hybrid 70 S-F</v>
          </cell>
          <cell r="C1017">
            <v>70</v>
          </cell>
        </row>
        <row r="1018">
          <cell r="A1018" t="str">
            <v>MX787-IS-2A</v>
          </cell>
          <cell r="B1018" t="str">
            <v>TENSEI™ AV White HY 100 S-flex</v>
          </cell>
          <cell r="C1018">
            <v>103</v>
          </cell>
        </row>
        <row r="1019">
          <cell r="A1019" t="str">
            <v>MX788-WTX1A</v>
          </cell>
          <cell r="B1019" t="str">
            <v>MMT™ Wood 60 TX-FLEX</v>
          </cell>
          <cell r="C1019">
            <v>68.5</v>
          </cell>
        </row>
        <row r="1020">
          <cell r="A1020" t="str">
            <v>MX789-WTX1A</v>
          </cell>
          <cell r="B1020" t="str">
            <v>MMT™ Wood 70 TX-FLEX</v>
          </cell>
          <cell r="C1020">
            <v>78</v>
          </cell>
        </row>
        <row r="1021">
          <cell r="A1021" t="str">
            <v>MX790-WTX1A</v>
          </cell>
          <cell r="B1021" t="str">
            <v>MMT™ Wood 80 TX-FLEX</v>
          </cell>
          <cell r="C1021">
            <v>85.5</v>
          </cell>
        </row>
        <row r="1022">
          <cell r="A1022" t="str">
            <v>MX800-WR-1A</v>
          </cell>
          <cell r="B1022" t="str">
            <v>KUROKAGE Silver 5th gen 60R</v>
          </cell>
          <cell r="C1022">
            <v>64.5</v>
          </cell>
        </row>
        <row r="1023">
          <cell r="A1023" t="str">
            <v>MX800-WS-1A</v>
          </cell>
          <cell r="B1023" t="str">
            <v>KUROKAGE Silver 5th gen 60S</v>
          </cell>
          <cell r="C1023">
            <v>68</v>
          </cell>
        </row>
        <row r="1024">
          <cell r="A1024" t="str">
            <v>MX800-WX-1A</v>
          </cell>
          <cell r="B1024" t="str">
            <v>KUROKAGE Silver 5th gen 60X</v>
          </cell>
          <cell r="C1024">
            <v>70.5</v>
          </cell>
        </row>
        <row r="1025">
          <cell r="A1025" t="str">
            <v>MX801-WA-1A</v>
          </cell>
          <cell r="B1025" t="str">
            <v>5th Gen. KURO KAGE™ Silver 50 R2-Flex</v>
          </cell>
          <cell r="C1025">
            <v>52</v>
          </cell>
        </row>
        <row r="1026">
          <cell r="A1026" t="str">
            <v>MX801-WR-1A</v>
          </cell>
          <cell r="B1026" t="str">
            <v>5th Gen. KURO KAGE™ Silver 50 R-Flex</v>
          </cell>
          <cell r="C1026">
            <v>55.5</v>
          </cell>
        </row>
        <row r="1027">
          <cell r="A1027" t="str">
            <v>MX801-WS-1A</v>
          </cell>
          <cell r="B1027" t="str">
            <v>5th Gen. KURO KAGE™ Silver 50 S-Flex</v>
          </cell>
          <cell r="C1027">
            <v>59</v>
          </cell>
        </row>
        <row r="1028">
          <cell r="A1028" t="str">
            <v>SF254-IR-1A</v>
          </cell>
          <cell r="B1028" t="str">
            <v>N9068601/SHI 2021 Tensei BL TM60 R</v>
          </cell>
          <cell r="C1028">
            <v>62</v>
          </cell>
        </row>
        <row r="1029">
          <cell r="A1029" t="str">
            <v>CW118-IR-2A</v>
          </cell>
          <cell r="B1029" t="str">
            <v>3503J2405/ASIA STANDARD Hy/Ir R</v>
          </cell>
          <cell r="C1029">
            <v>54.5</v>
          </cell>
        </row>
        <row r="1030">
          <cell r="A1030" t="str">
            <v>CW118-IS-2A</v>
          </cell>
          <cell r="B1030" t="str">
            <v>3503J3405/ASIA STANDARD Hy/Ir S</v>
          </cell>
          <cell r="C1030">
            <v>57.5</v>
          </cell>
        </row>
        <row r="1031">
          <cell r="A1031" t="str">
            <v>CW118-ISR2A</v>
          </cell>
          <cell r="B1031" t="str">
            <v>3503J5405/ASIA STANDARD Hy/Ir SR</v>
          </cell>
          <cell r="C1031">
            <v>56</v>
          </cell>
        </row>
        <row r="1032">
          <cell r="A1032" t="str">
            <v>CB034-IR-3A</v>
          </cell>
          <cell r="B1032" t="str">
            <v>SH22GR008420/SH HY MCA MMT 70 GR 420</v>
          </cell>
          <cell r="C1032">
            <v>72</v>
          </cell>
        </row>
        <row r="1033">
          <cell r="A1033" t="str">
            <v>CB034-IS-3A</v>
          </cell>
          <cell r="B1033" t="str">
            <v>SH22GS021420/SH HY MCA MMT 80 GS 420</v>
          </cell>
          <cell r="C1033">
            <v>88</v>
          </cell>
        </row>
        <row r="1034">
          <cell r="A1034" t="str">
            <v>CB034-IX-3A</v>
          </cell>
          <cell r="B1034" t="str">
            <v>SH22GX021420/SH HY MCA MMT 80 GX 420</v>
          </cell>
          <cell r="C1034">
            <v>85.5</v>
          </cell>
        </row>
        <row r="1035">
          <cell r="A1035" t="str">
            <v>CW115-WA-1A</v>
          </cell>
          <cell r="B1035" t="str">
            <v>3519O7 / SF WD MCA ELDIO GRN/WHT 40 GR LDY A JV </v>
          </cell>
          <cell r="C1035">
            <v>41.5</v>
          </cell>
        </row>
        <row r="1036">
          <cell r="A1036" t="str">
            <v>SF243-WR-3B</v>
          </cell>
          <cell r="B1036" t="str">
            <v>V9601601 / Mitsu Chemical MD Proto 65 R</v>
          </cell>
          <cell r="C1036">
            <v>71</v>
          </cell>
        </row>
        <row r="1037">
          <cell r="A1037" t="str">
            <v>SF243-WS-3B</v>
          </cell>
          <cell r="B1037" t="str">
            <v>V9601501 / Mitsu Chemical MD Proto 65 S</v>
          </cell>
          <cell r="C1037">
            <v>74</v>
          </cell>
        </row>
        <row r="1038">
          <cell r="A1038" t="str">
            <v>SF245-WS-1E</v>
          </cell>
          <cell r="B1038" t="str">
            <v>N9079801 / Mitsubishi Tensei Silver TM50 W/ RED SR</v>
          </cell>
          <cell r="C1038">
            <v>57.5</v>
          </cell>
        </row>
        <row r="1039">
          <cell r="A1039" t="str">
            <v>SF245-WSR1E</v>
          </cell>
          <cell r="B1039" t="str">
            <v>N9079901 / Mitsubishi Tensei Silver TM50 W/ RED R</v>
          </cell>
          <cell r="C1039">
            <v>55</v>
          </cell>
        </row>
        <row r="1040">
          <cell r="A1040" t="str">
            <v>SF245-WX-1E</v>
          </cell>
          <cell r="B1040" t="str">
            <v>N9079701 / Mitsubishi Tensei Silver TM50 W/ RED S</v>
          </cell>
          <cell r="C1040">
            <v>60</v>
          </cell>
        </row>
        <row r="1041">
          <cell r="A1041" t="str">
            <v>MR098-IS-4B</v>
          </cell>
          <cell r="B1041" t="str">
            <v>8464851/DANGAN7 Wedge S</v>
          </cell>
          <cell r="C1041">
            <v>67.5</v>
          </cell>
        </row>
        <row r="1042">
          <cell r="A1042" t="str">
            <v>CW103-WS-1B</v>
          </cell>
          <cell r="B1042" t="str">
            <v>3521X3/SF WD MITSUBISHI MMT Extra Length 60 GR STF</v>
          </cell>
          <cell r="C1042">
            <v>65</v>
          </cell>
        </row>
        <row r="1043">
          <cell r="A1043" t="str">
            <v>CW103-WX-1B</v>
          </cell>
          <cell r="B1043" t="str">
            <v>3521X4/SF WD MITSUBISHI MMT Extra Length 60 GR XST</v>
          </cell>
          <cell r="C1043">
            <v>65</v>
          </cell>
        </row>
        <row r="1044">
          <cell r="A1044" t="str">
            <v>DS008-WA-1A</v>
          </cell>
          <cell r="B1044" t="str">
            <v>7014462 / Tensei Wood 55gram A (Shared SKU )</v>
          </cell>
          <cell r="C1044">
            <v>54.5</v>
          </cell>
        </row>
        <row r="1045">
          <cell r="A1045" t="str">
            <v>DS008-WL-1A</v>
          </cell>
          <cell r="B1045" t="str">
            <v>7014461 / Tensei Wood 55gram L (Shared SKU )</v>
          </cell>
          <cell r="C1045">
            <v>50.5</v>
          </cell>
        </row>
        <row r="1046">
          <cell r="A1046" t="str">
            <v>DS008-WR-1A</v>
          </cell>
          <cell r="B1046" t="str">
            <v>7014463 / Tensei Wood 55gram R</v>
          </cell>
          <cell r="C1046">
            <v>57.5</v>
          </cell>
        </row>
        <row r="1047">
          <cell r="A1047" t="str">
            <v>DS008-WS-1A</v>
          </cell>
          <cell r="B1047" t="str">
            <v>7014464 / Tensei Wood 65gram S</v>
          </cell>
          <cell r="C1047">
            <v>67.5</v>
          </cell>
        </row>
        <row r="1048">
          <cell r="A1048" t="str">
            <v>DS009-WA-3A</v>
          </cell>
          <cell r="B1048" t="str">
            <v>7014466/Tensei Fairway 65gram A</v>
          </cell>
          <cell r="C1048">
            <v>64</v>
          </cell>
        </row>
        <row r="1049">
          <cell r="A1049" t="str">
            <v>DS009-WR-3A</v>
          </cell>
          <cell r="B1049" t="str">
            <v>7014467/Tensei Fairway 65gram R</v>
          </cell>
          <cell r="C1049">
            <v>66</v>
          </cell>
        </row>
        <row r="1050">
          <cell r="A1050" t="str">
            <v>DS009-WS-3A</v>
          </cell>
          <cell r="B1050" t="str">
            <v>7014468/Tensei Fariway 75gram S</v>
          </cell>
          <cell r="C1050">
            <v>69</v>
          </cell>
        </row>
        <row r="1051">
          <cell r="A1051" t="str">
            <v>DS010-IA-1A</v>
          </cell>
          <cell r="B1051" t="str">
            <v>7014470/Tensei Hybrid 75gram A</v>
          </cell>
          <cell r="C1051">
            <v>75</v>
          </cell>
        </row>
        <row r="1052">
          <cell r="A1052" t="str">
            <v>DS010-IL-1A</v>
          </cell>
          <cell r="B1052" t="str">
            <v>7014469/Tensei Hybrid 75gram L</v>
          </cell>
          <cell r="C1052">
            <v>70</v>
          </cell>
        </row>
        <row r="1053">
          <cell r="A1053" t="str">
            <v>DS010-IR-1A</v>
          </cell>
          <cell r="B1053" t="str">
            <v>7014471/Tensei Hybrid 75gram R</v>
          </cell>
          <cell r="C1053">
            <v>77</v>
          </cell>
        </row>
        <row r="1054">
          <cell r="A1054" t="str">
            <v>DS010-IS-1A</v>
          </cell>
          <cell r="B1054" t="str">
            <v>7014472/Tensei Hybrid 85gram S</v>
          </cell>
          <cell r="C1054">
            <v>80</v>
          </cell>
        </row>
        <row r="1055">
          <cell r="A1055" t="str">
            <v>YM122-UR-2A</v>
          </cell>
          <cell r="B1055" t="str">
            <v>22RMX UT R #2</v>
          </cell>
          <cell r="C1055">
            <v>62.5</v>
          </cell>
        </row>
        <row r="1056">
          <cell r="A1056" t="str">
            <v>YM122-US-2A</v>
          </cell>
          <cell r="B1056" t="str">
            <v>22RMX UT S #2</v>
          </cell>
          <cell r="C1056">
            <v>64.5</v>
          </cell>
        </row>
        <row r="1057">
          <cell r="A1057" t="str">
            <v>YM122-USR2A</v>
          </cell>
          <cell r="B1057" t="str">
            <v>22RMX UT SR #2</v>
          </cell>
          <cell r="C1057">
            <v>64.5</v>
          </cell>
        </row>
        <row r="1058">
          <cell r="A1058" t="str">
            <v>YM122-WR-1A</v>
          </cell>
          <cell r="B1058" t="str">
            <v>22RMX Driver R</v>
          </cell>
          <cell r="C1058">
            <v>51.5</v>
          </cell>
        </row>
        <row r="1059">
          <cell r="A1059" t="str">
            <v>YM122-WR-3A</v>
          </cell>
          <cell r="B1059" t="str">
            <v>22RMX Fwy R #3</v>
          </cell>
          <cell r="C1059">
            <v>53.5</v>
          </cell>
        </row>
        <row r="1060">
          <cell r="A1060" t="str">
            <v>YM122-WS-1A</v>
          </cell>
          <cell r="B1060" t="str">
            <v>22RMX Driver S</v>
          </cell>
          <cell r="C1060">
            <v>55</v>
          </cell>
        </row>
        <row r="1061">
          <cell r="A1061" t="str">
            <v>YM122-WS-3A</v>
          </cell>
          <cell r="B1061" t="str">
            <v>22RMX Fwy S #3</v>
          </cell>
          <cell r="C1061">
            <v>57</v>
          </cell>
        </row>
        <row r="1062">
          <cell r="A1062" t="str">
            <v>YM122-WSR1A</v>
          </cell>
          <cell r="B1062" t="str">
            <v>22RMX Driver SR</v>
          </cell>
          <cell r="C1062">
            <v>53</v>
          </cell>
        </row>
        <row r="1063">
          <cell r="A1063" t="str">
            <v>YM122-WSR3A</v>
          </cell>
          <cell r="B1063" t="str">
            <v>22RMX Fwy SR #3</v>
          </cell>
          <cell r="C1063">
            <v>55</v>
          </cell>
        </row>
        <row r="1064">
          <cell r="A1064" t="str">
            <v>YM122-IR-5A</v>
          </cell>
          <cell r="B1064" t="str">
            <v>22 RMX IRON R #5</v>
          </cell>
          <cell r="C1064">
            <v>56</v>
          </cell>
        </row>
        <row r="1065">
          <cell r="A1065" t="str">
            <v>YM122-IR-6A</v>
          </cell>
          <cell r="B1065" t="str">
            <v>22 RMX IRON R #6</v>
          </cell>
          <cell r="C1065">
            <v>56.5</v>
          </cell>
        </row>
        <row r="1066">
          <cell r="A1066" t="str">
            <v>YM122-IR-7A</v>
          </cell>
          <cell r="B1066" t="str">
            <v>23 RMX IRON R #7</v>
          </cell>
          <cell r="C1066">
            <v>58</v>
          </cell>
        </row>
        <row r="1067">
          <cell r="A1067" t="str">
            <v>YM122-IR-8A</v>
          </cell>
          <cell r="B1067" t="str">
            <v>23 RMX IRON R #8</v>
          </cell>
          <cell r="C1067">
            <v>58.5</v>
          </cell>
        </row>
        <row r="1068">
          <cell r="A1068" t="str">
            <v>YM122-IR-9A</v>
          </cell>
          <cell r="B1068" t="str">
            <v>24 RMX IRON R #9</v>
          </cell>
          <cell r="C1068">
            <v>58.5</v>
          </cell>
        </row>
        <row r="1069">
          <cell r="A1069" t="str">
            <v>YM122-IR-PA</v>
          </cell>
          <cell r="B1069" t="str">
            <v>24 RMX IRON R #P</v>
          </cell>
          <cell r="C1069">
            <v>60.5</v>
          </cell>
        </row>
        <row r="1070">
          <cell r="A1070" t="str">
            <v>YM122-ISR5A</v>
          </cell>
          <cell r="B1070" t="str">
            <v>22 RMX IRON SR #5</v>
          </cell>
          <cell r="C1070">
            <v>57.5</v>
          </cell>
        </row>
        <row r="1071">
          <cell r="A1071" t="str">
            <v>YM122-ISR6A</v>
          </cell>
          <cell r="B1071" t="str">
            <v>22 RMX IRON SR #6</v>
          </cell>
          <cell r="C1071">
            <v>58</v>
          </cell>
        </row>
        <row r="1072">
          <cell r="A1072" t="str">
            <v>YM122-ISR7A</v>
          </cell>
          <cell r="B1072" t="str">
            <v>23 RMX IRON SR #7</v>
          </cell>
          <cell r="C1072">
            <v>59.5</v>
          </cell>
        </row>
        <row r="1073">
          <cell r="A1073" t="str">
            <v>YM122-ISR8A</v>
          </cell>
          <cell r="B1073" t="str">
            <v>23 RMX IRON SR #8</v>
          </cell>
          <cell r="C1073">
            <v>60</v>
          </cell>
        </row>
        <row r="1074">
          <cell r="A1074" t="str">
            <v>YM122-ISR9A</v>
          </cell>
          <cell r="B1074" t="str">
            <v>24 RMX IRON SR #9</v>
          </cell>
          <cell r="C1074">
            <v>60</v>
          </cell>
        </row>
        <row r="1075">
          <cell r="A1075" t="str">
            <v>YM122-ISRPA</v>
          </cell>
          <cell r="B1075" t="str">
            <v>24 RMX IRON SR #P</v>
          </cell>
          <cell r="C1075">
            <v>61.5</v>
          </cell>
        </row>
        <row r="1076">
          <cell r="A1076" t="str">
            <v>CW113-WR-1B</v>
          </cell>
          <cell r="B1076" t="str">
            <v>3523V2/MCA DIAMANA TKYGIANTS 50 GR REGJV</v>
          </cell>
          <cell r="C1076">
            <v>50.5</v>
          </cell>
        </row>
        <row r="1077">
          <cell r="A1077" t="str">
            <v>CW113-WS-1B</v>
          </cell>
          <cell r="B1077" t="str">
            <v>3523V3/MCA DIAMANA TKYGIANTS 50 STFJV</v>
          </cell>
          <cell r="C1077">
            <v>54.5</v>
          </cell>
        </row>
        <row r="1078">
          <cell r="A1078" t="str">
            <v>CW113-WSR1B</v>
          </cell>
          <cell r="B1078" t="str">
            <v>3523V5/MCA DIAMANA TKYGIANTS 50 GR SRJV</v>
          </cell>
          <cell r="C1078">
            <v>52.5</v>
          </cell>
        </row>
        <row r="1079">
          <cell r="A1079" t="str">
            <v>CW115-IL-2A</v>
          </cell>
          <cell r="B1079" t="str">
            <v>3523L1395/SF IR/HY MCA ELDIO GRN/WHT 40 GR LDY JV</v>
          </cell>
          <cell r="C1079">
            <v>42</v>
          </cell>
        </row>
        <row r="1080">
          <cell r="A1080" t="str">
            <v>YM121-US-2A</v>
          </cell>
          <cell r="B1080" t="str">
            <v>22RMX Athlete UT S #2</v>
          </cell>
          <cell r="C1080">
            <v>78</v>
          </cell>
        </row>
        <row r="1081">
          <cell r="A1081" t="str">
            <v>YM121-WS-3A</v>
          </cell>
          <cell r="B1081" t="str">
            <v>22RMX Athlete Fwy S #3</v>
          </cell>
          <cell r="C1081">
            <v>69</v>
          </cell>
        </row>
        <row r="1082">
          <cell r="A1082" t="str">
            <v>CW115-IA-2A</v>
          </cell>
          <cell r="B1082" t="str">
            <v>3523L7395/SF IR/HY MCA ELDIO GRN/WHT 40 GR LDYA JV</v>
          </cell>
          <cell r="C1082">
            <v>44</v>
          </cell>
        </row>
        <row r="1083">
          <cell r="A1083" t="str">
            <v>CW114-WR-1A</v>
          </cell>
          <cell r="B1083" t="str">
            <v>3514W2/SF WD MCA DIAMANA BLK/GRN 40 GR REG JV</v>
          </cell>
        </row>
        <row r="1084">
          <cell r="A1084" t="str">
            <v>CW114-WRA1A</v>
          </cell>
          <cell r="B1084" t="str">
            <v>3514W1 / SF WD MCA DIAMANA BLK/GRN 40 GR R2 JV  </v>
          </cell>
          <cell r="C1084">
            <v>42.5</v>
          </cell>
        </row>
        <row r="1085">
          <cell r="A1085" t="str">
            <v>CW114-WS-1A</v>
          </cell>
          <cell r="B1085" t="str">
            <v>3514W3/SF WD MCA DIAMANA BLK/GRN 40 GR STF JV</v>
          </cell>
        </row>
        <row r="1086">
          <cell r="A1086" t="str">
            <v>CW114-WSR1A</v>
          </cell>
          <cell r="B1086" t="str">
            <v>3514W5/SF WD MCA DIAMANA BLK/GRN 40 GR SR JV</v>
          </cell>
        </row>
        <row r="1087">
          <cell r="A1087" t="str">
            <v>CW115-IA-2A</v>
          </cell>
          <cell r="B1087" t="str">
            <v>3523L7395/SF IR/HY MCA ELDIO GRN/WHT 40 GR LDYA JV</v>
          </cell>
        </row>
        <row r="1088">
          <cell r="A1088" t="str">
            <v>MR098-IS-4B</v>
          </cell>
          <cell r="B1088" t="str">
            <v>8464851/DANGAN7 Wedge S</v>
          </cell>
        </row>
        <row r="1089">
          <cell r="A1089" t="str">
            <v>MX787-IS-2A</v>
          </cell>
          <cell r="B1089" t="str">
            <v>TENSEI™ AV Raw White HY 100 S-flex</v>
          </cell>
        </row>
        <row r="1090">
          <cell r="A1090" t="str">
            <v>SX196-WR-3B</v>
          </cell>
          <cell r="B1090" t="str">
            <v>SX196-WR-3B</v>
          </cell>
          <cell r="C1090">
            <v>57</v>
          </cell>
        </row>
        <row r="1091">
          <cell r="A1091" t="str">
            <v>TE041-WS-1A</v>
          </cell>
          <cell r="B1091" t="str">
            <v>YC0WGS01/TENSEI AV RAW WHITE WOOD 65G S-FLEX</v>
          </cell>
          <cell r="C1091">
            <v>67</v>
          </cell>
        </row>
        <row r="1092">
          <cell r="A1092" t="str">
            <v>TE041-WX-1A</v>
          </cell>
          <cell r="B1092" t="str">
            <v>YC0WGX01/TENSEI AV RAW WHITE WOOD 65G X-FLEX</v>
          </cell>
          <cell r="C1092">
            <v>69</v>
          </cell>
        </row>
        <row r="1093">
          <cell r="A1093" t="str">
            <v>TE043-IS-2A</v>
          </cell>
          <cell r="B1093" t="str">
            <v>YC0HGS01/TENSEI AV RAW WHITE HYB 90G S-FLEX</v>
          </cell>
          <cell r="C1093">
            <v>91</v>
          </cell>
        </row>
        <row r="1094">
          <cell r="A1094" t="str">
            <v>TE043-IX-2A</v>
          </cell>
          <cell r="B1094" t="str">
            <v>YC0HGX01/TENSEI AV RAW WHITE HYB 90G X-FLEX</v>
          </cell>
          <cell r="C1094">
            <v>94</v>
          </cell>
        </row>
        <row r="1095">
          <cell r="A1095" t="str">
            <v>XG015-WL-1A</v>
          </cell>
          <cell r="B1095" t="str">
            <v>XG015-WL-1A</v>
          </cell>
          <cell r="C1095">
            <v>50.5</v>
          </cell>
        </row>
        <row r="1096">
          <cell r="A1096" t="str">
            <v>XG015-WR-1A</v>
          </cell>
          <cell r="B1096" t="str">
            <v>XG015-WR-1A</v>
          </cell>
          <cell r="C1096">
            <v>54.4</v>
          </cell>
        </row>
        <row r="1097">
          <cell r="A1097" t="str">
            <v>XG015-WS-1A</v>
          </cell>
          <cell r="B1097" t="str">
            <v>XG015-WS-1A</v>
          </cell>
          <cell r="C1097">
            <v>58</v>
          </cell>
        </row>
        <row r="1098">
          <cell r="A1098" t="str">
            <v>XG015-WSR1A</v>
          </cell>
          <cell r="B1098" t="str">
            <v>XG015-WSR1A</v>
          </cell>
          <cell r="C1098">
            <v>56.5</v>
          </cell>
        </row>
        <row r="1099">
          <cell r="A1099" t="str">
            <v>XG016-WS-1A</v>
          </cell>
          <cell r="B1099" t="str">
            <v>XG016-WS-1A</v>
          </cell>
          <cell r="C1099">
            <v>50.5</v>
          </cell>
        </row>
        <row r="1100">
          <cell r="A1100" t="str">
            <v>XG018-IL-1A</v>
          </cell>
          <cell r="B1100" t="str">
            <v>XG018-IL-1A</v>
          </cell>
          <cell r="C1100">
            <v>52</v>
          </cell>
        </row>
        <row r="1101">
          <cell r="A1101" t="str">
            <v>XG018-IR-1A</v>
          </cell>
          <cell r="B1101" t="str">
            <v>XG018-IR-1A</v>
          </cell>
          <cell r="C1101">
            <v>65.5</v>
          </cell>
        </row>
        <row r="1102">
          <cell r="A1102" t="str">
            <v>XG018-IS-1A</v>
          </cell>
          <cell r="B1102" t="str">
            <v>XG018-IS-1A</v>
          </cell>
          <cell r="C1102">
            <v>67.5</v>
          </cell>
        </row>
        <row r="1103">
          <cell r="A1103" t="str">
            <v>XG019-IL-1A</v>
          </cell>
          <cell r="B1103" t="str">
            <v>XG019-IL-1A</v>
          </cell>
          <cell r="C1103">
            <v>57</v>
          </cell>
        </row>
        <row r="1104">
          <cell r="A1104" t="str">
            <v>XG020-IR-1A</v>
          </cell>
          <cell r="B1104" t="str">
            <v>XG020-IR-1A</v>
          </cell>
          <cell r="C1104">
            <v>63.5</v>
          </cell>
        </row>
        <row r="1105">
          <cell r="A1105" t="str">
            <v>XG020-IS-1A</v>
          </cell>
          <cell r="B1105" t="str">
            <v>XG020-IS-1A</v>
          </cell>
          <cell r="C1105">
            <v>64.5</v>
          </cell>
        </row>
        <row r="1106">
          <cell r="A1106" t="str">
            <v>XG021-IS-1A</v>
          </cell>
          <cell r="B1106" t="str">
            <v>XG021-IS-1A</v>
          </cell>
          <cell r="C1106">
            <v>72.5</v>
          </cell>
        </row>
        <row r="1107">
          <cell r="A1107" t="str">
            <v>XG022-IX-1A</v>
          </cell>
          <cell r="B1107" t="str">
            <v>XG022-IX-1A</v>
          </cell>
          <cell r="C1107">
            <v>86</v>
          </cell>
        </row>
        <row r="1108">
          <cell r="A1108" t="str">
            <v>XGQ4WS60ATCA</v>
          </cell>
          <cell r="B1108" t="str">
            <v>S-ALDI-ROGUE ELITE-G-55-S</v>
          </cell>
          <cell r="C1108">
            <v>55.5</v>
          </cell>
        </row>
        <row r="1109">
          <cell r="A1109" t="str">
            <v>XGQ4WX60ATCA</v>
          </cell>
          <cell r="B1109" t="str">
            <v>S-ALDI-ROGUE ELITE-G-55-X</v>
          </cell>
          <cell r="C1109">
            <v>58</v>
          </cell>
        </row>
        <row r="1110">
          <cell r="A1110" t="str">
            <v>XGQ5WR60ATBA</v>
          </cell>
          <cell r="B1110" t="str">
            <v>S-ALDI-ROGUE ELITE-B-55-R</v>
          </cell>
          <cell r="C1110">
            <v>56</v>
          </cell>
        </row>
        <row r="1111">
          <cell r="A1111" t="str">
            <v>XGQ5WS60ATBA</v>
          </cell>
          <cell r="B1111" t="str">
            <v>S-ALDI-ROGUE ELITE-B-55-S</v>
          </cell>
          <cell r="C1111">
            <v>55.5</v>
          </cell>
        </row>
        <row r="1112">
          <cell r="A1112" t="str">
            <v>XGR4WS60ATCA</v>
          </cell>
          <cell r="B1112" t="str">
            <v>S-ALDI-ROGUE ELITE-G-65-S</v>
          </cell>
          <cell r="C1112">
            <v>66</v>
          </cell>
        </row>
        <row r="1113">
          <cell r="A1113" t="str">
            <v>XGR4WX60ATCA</v>
          </cell>
          <cell r="B1113" t="str">
            <v>S-ALDI-ROGUE ELITE-G-65-X</v>
          </cell>
          <cell r="C1113">
            <v>65</v>
          </cell>
        </row>
        <row r="1114">
          <cell r="A1114" t="str">
            <v>XGR5WR60ATBA</v>
          </cell>
          <cell r="B1114" t="str">
            <v>S-ALDI-ROGUE ELITE-B-65-R</v>
          </cell>
          <cell r="C1114">
            <v>63</v>
          </cell>
        </row>
        <row r="1115">
          <cell r="A1115" t="str">
            <v>XGR5WS60ATBA</v>
          </cell>
          <cell r="B1115" t="str">
            <v>S-ALDI-ROGUE ELITE-B-65-S</v>
          </cell>
          <cell r="C1115">
            <v>66</v>
          </cell>
        </row>
        <row r="1116">
          <cell r="A1116" t="str">
            <v>SP400-IR-4A</v>
          </cell>
          <cell r="B1116" t="str">
            <v>MV8BIRM/BASSARA B50 V300Ⅷ Iron  Flex-R</v>
          </cell>
          <cell r="C1116">
            <v>57.5</v>
          </cell>
        </row>
        <row r="1117">
          <cell r="A1117" t="str">
            <v>MR120-IS-SA</v>
          </cell>
          <cell r="B1117" t="str">
            <v>8466609/21 MAJESTY WEDGE S</v>
          </cell>
          <cell r="C1117">
            <v>68</v>
          </cell>
        </row>
        <row r="1118">
          <cell r="A1118" t="str">
            <v>CW113-IR-2B</v>
          </cell>
          <cell r="B1118" t="str">
            <v>3526J2405/SF WD MCA DIAMANA BLK/GRN GR REG 40.5 JV</v>
          </cell>
          <cell r="C1118">
            <v>56</v>
          </cell>
        </row>
        <row r="1119">
          <cell r="A1119" t="str">
            <v>CW113-IS-2B</v>
          </cell>
          <cell r="B1119" t="str">
            <v>3526J3405/SF WD MCA DIAMANA BLK/GRN GR STF 40.5 JV</v>
          </cell>
          <cell r="C1119">
            <v>60</v>
          </cell>
        </row>
        <row r="1120">
          <cell r="A1120" t="str">
            <v>CB037-WS-1A</v>
          </cell>
          <cell r="B1120" t="str">
            <v>SD22GS152460/TENSEI AV RAW WHITE DR / FWY 65G S-FLEX</v>
          </cell>
          <cell r="C1120">
            <v>67</v>
          </cell>
        </row>
        <row r="1121">
          <cell r="A1121" t="str">
            <v>CB037-WX-1A</v>
          </cell>
          <cell r="B1121" t="str">
            <v>SD22GX152460/TENSEI AV RAW WHITE DR / FWY 65G X-FLEX</v>
          </cell>
          <cell r="C1121">
            <v>69</v>
          </cell>
        </row>
        <row r="1122">
          <cell r="A1122" t="str">
            <v>CB038-WS-1A</v>
          </cell>
          <cell r="B1122" t="str">
            <v>SD22GS153460/TENSEI AV RAW WHITE DR / FWY 75G S-FLEX</v>
          </cell>
          <cell r="C1122">
            <v>76.5</v>
          </cell>
        </row>
        <row r="1123">
          <cell r="A1123" t="str">
            <v>CB038-WX-1A</v>
          </cell>
          <cell r="B1123" t="str">
            <v>SD22GX153460/TENSEI AV RAW WHITE DR / FWY 75G X-FLEX</v>
          </cell>
          <cell r="C1123">
            <v>79</v>
          </cell>
        </row>
        <row r="1124">
          <cell r="A1124" t="str">
            <v>CW113-ISR2B</v>
          </cell>
          <cell r="B1124" t="str">
            <v>3526J5405/SF WD MCA DIAMANA BLK/GRN GR SR 40.5 JV</v>
          </cell>
          <cell r="C1124">
            <v>58</v>
          </cell>
        </row>
        <row r="1125">
          <cell r="A1125" t="str">
            <v>SF254-IS-1B</v>
          </cell>
          <cell r="B1125" t="str">
            <v>N9087701/SHI 2022 Tensei RD TM60 S</v>
          </cell>
          <cell r="C1125">
            <v>68</v>
          </cell>
        </row>
        <row r="1126">
          <cell r="A1126" t="str">
            <v>SU031-IS-PA</v>
          </cell>
          <cell r="B1126" t="str">
            <v>SU031-IS-PA</v>
          </cell>
          <cell r="C1126">
            <v>61.5</v>
          </cell>
        </row>
        <row r="1127">
          <cell r="A1127" t="str">
            <v>SF254-IR-1B</v>
          </cell>
          <cell r="B1127" t="str">
            <v>N9087801/SHI 2022 Tensei RD TM60 R</v>
          </cell>
          <cell r="C1127">
            <v>62</v>
          </cell>
        </row>
        <row r="1128">
          <cell r="A1128" t="str">
            <v>SF263-WS-1A</v>
          </cell>
          <cell r="B1128" t="str">
            <v>V9681401/SHM-MCA Kaili White 60 S</v>
          </cell>
          <cell r="C1128">
            <v>68</v>
          </cell>
        </row>
        <row r="1129">
          <cell r="A1129" t="str">
            <v>SF263-WX-1A</v>
          </cell>
          <cell r="B1129" t="str">
            <v>V9681301/SHM-MCA Kaili White 60 X</v>
          </cell>
          <cell r="C1129">
            <v>69.5</v>
          </cell>
        </row>
        <row r="1130">
          <cell r="A1130" t="str">
            <v>CW132-WS-1A</v>
          </cell>
          <cell r="B1130" t="str">
            <v>3529P3/TENSEI AV2 WHITE 85 S-FLEX</v>
          </cell>
          <cell r="C1130">
            <v>89.5</v>
          </cell>
        </row>
        <row r="1131">
          <cell r="A1131" t="str">
            <v>CW128-WR-1A</v>
          </cell>
          <cell r="B1131" t="str">
            <v>3529L2/TENSEI AV2 BLUE 65 R-FLEX</v>
          </cell>
          <cell r="C1131">
            <v>66</v>
          </cell>
        </row>
        <row r="1132">
          <cell r="A1132" t="str">
            <v>CW128-WS-1A</v>
          </cell>
          <cell r="B1132" t="str">
            <v>3529L3/TENSEI AV2 BLUE 65 S-FLEX</v>
          </cell>
          <cell r="C1132">
            <v>67.5</v>
          </cell>
        </row>
        <row r="1133">
          <cell r="A1133" t="str">
            <v>CW135-IR-1A</v>
          </cell>
          <cell r="B1133" t="str">
            <v>3527P2420/TENESEI AV2 WHITE IR 75 R-FLEX</v>
          </cell>
          <cell r="C1133">
            <v>70.3</v>
          </cell>
        </row>
        <row r="1134">
          <cell r="A1134" t="str">
            <v>CW136-IS-1A</v>
          </cell>
          <cell r="B1134" t="str">
            <v>3527Q3420/TENESEI AV2 WHITE IR 85 S-FLEX</v>
          </cell>
          <cell r="C1134">
            <v>83</v>
          </cell>
        </row>
        <row r="1135">
          <cell r="A1135" t="str">
            <v>CW128-WX-1A</v>
          </cell>
          <cell r="B1135" t="str">
            <v>3529L4/TENSEI AV2 BLUE 65 X-FLEX</v>
          </cell>
          <cell r="C1135">
            <v>68.5</v>
          </cell>
        </row>
        <row r="1136">
          <cell r="A1136" t="str">
            <v>CW129-WR-1A</v>
          </cell>
          <cell r="B1136" t="str">
            <v>3529O2/TENSEI AV2 BLUE 75 R-FLEX</v>
          </cell>
          <cell r="C1136">
            <v>75</v>
          </cell>
        </row>
        <row r="1137">
          <cell r="A1137" t="str">
            <v>CW129-WS-1A</v>
          </cell>
          <cell r="B1137" t="str">
            <v>3529O3/TENSEI AV2 BLUE 75 S-FLEX</v>
          </cell>
          <cell r="C1137">
            <v>77.5</v>
          </cell>
        </row>
        <row r="1138">
          <cell r="A1138" t="str">
            <v>CW129-WX-1A</v>
          </cell>
          <cell r="B1138" t="str">
            <v>3529O4/TENSEI AV2 BLUE 75 X-FLEX</v>
          </cell>
          <cell r="C1138">
            <v>79</v>
          </cell>
        </row>
        <row r="1139">
          <cell r="A1139" t="str">
            <v>YR166-IL-7A</v>
          </cell>
          <cell r="B1139" t="str">
            <v>LI221-3007/SWEEP IRON</v>
          </cell>
          <cell r="C1139">
            <v>45.5</v>
          </cell>
        </row>
        <row r="1140">
          <cell r="A1140" t="str">
            <v>YR166-UL-1A</v>
          </cell>
          <cell r="B1140" t="str">
            <v>LI221-3007/SWEEP IRON</v>
          </cell>
          <cell r="C1140">
            <v>41</v>
          </cell>
        </row>
        <row r="1141">
          <cell r="A1141" t="str">
            <v>CW121-WS-1A</v>
          </cell>
        </row>
        <row r="1142">
          <cell r="A1142" t="str">
            <v>CW130-WS-1A</v>
          </cell>
          <cell r="B1142" t="str">
            <v>LU221-30E/SWEEP UT</v>
          </cell>
          <cell r="C1142">
            <v>68.5</v>
          </cell>
        </row>
        <row r="1143">
          <cell r="A1143" t="str">
            <v>CW130-WX-1A</v>
          </cell>
          <cell r="B1143" t="str">
            <v>3528R3/TENSEI AV2 WHITE 65 S-FLEX</v>
          </cell>
          <cell r="C1143">
            <v>70.5</v>
          </cell>
        </row>
        <row r="1144">
          <cell r="A1144" t="str">
            <v>CW131-WS-1A</v>
          </cell>
          <cell r="B1144" t="str">
            <v>3528R4/TENSEI AV2 WHITE 65 X-FLEX</v>
          </cell>
          <cell r="C1144">
            <v>78</v>
          </cell>
        </row>
        <row r="1145">
          <cell r="A1145" t="str">
            <v>CW131-WX-1A</v>
          </cell>
          <cell r="B1145" t="str">
            <v>3528S3/TENSEI AV2 WHITE 75 S-FLEX</v>
          </cell>
          <cell r="C1145">
            <v>80.5</v>
          </cell>
        </row>
        <row r="1146">
          <cell r="A1146" t="str">
            <v>CW132-WX-1A</v>
          </cell>
          <cell r="B1146" t="str">
            <v>3529P3/TENSEI AV2 WHITE 85 S-FLEX</v>
          </cell>
          <cell r="C1146">
            <v>93</v>
          </cell>
        </row>
        <row r="1147">
          <cell r="A1147" t="str">
            <v>SF245-WS-1G</v>
          </cell>
          <cell r="B1147" t="str">
            <v>3529P4/TENSEI AV2 WHITE 85 X-FLEX</v>
          </cell>
          <cell r="C1147">
            <v>57.5</v>
          </cell>
        </row>
        <row r="1148">
          <cell r="A1148" t="str">
            <v>SF245-WX-1F</v>
          </cell>
          <cell r="B1148" t="str">
            <v>N9084101/Tensei Red DR/FWY TM50 S</v>
          </cell>
          <cell r="C1148">
            <v>60</v>
          </cell>
        </row>
        <row r="1149">
          <cell r="A1149" t="str">
            <v>CW136-IX-1A</v>
          </cell>
          <cell r="B1149" t="str">
            <v>N9084601/Tensei Silver DR/FWY TM50 S</v>
          </cell>
          <cell r="C1149">
            <v>88</v>
          </cell>
        </row>
        <row r="1150">
          <cell r="A1150" t="str">
            <v>YR166-WL-1A</v>
          </cell>
          <cell r="B1150" t="str">
            <v>3527Q4420/TENESEI AV2 WHITE IR 85 X-FLEX</v>
          </cell>
          <cell r="C1150">
            <v>43.5</v>
          </cell>
        </row>
        <row r="1151">
          <cell r="A1151" t="str">
            <v>YR166-WL-3A</v>
          </cell>
          <cell r="B1151" t="str">
            <v>LD221-30A/SWEEP DR</v>
          </cell>
          <cell r="C1151">
            <v>44</v>
          </cell>
        </row>
        <row r="1152">
          <cell r="A1152" t="str">
            <v>MX784-WS-1BO</v>
          </cell>
          <cell r="B1152" t="str">
            <v>LF221-30D/SWEEP FW</v>
          </cell>
          <cell r="C1152">
            <v>75.5</v>
          </cell>
        </row>
        <row r="1153">
          <cell r="A1153" t="str">
            <v>MX784-WX-1BO</v>
          </cell>
          <cell r="B1153" t="str">
            <v>SHM-MCA Kaili White 70 S</v>
          </cell>
          <cell r="C1153">
            <v>77.5</v>
          </cell>
        </row>
        <row r="1154">
          <cell r="A1154" t="str">
            <v>MX784-WS-1CO</v>
          </cell>
          <cell r="B1154" t="str">
            <v>SHM-MCA Kaili White 70 X</v>
          </cell>
          <cell r="C1154">
            <v>75.5</v>
          </cell>
        </row>
        <row r="1155">
          <cell r="A1155" t="str">
            <v>MX784-WX-1CO</v>
          </cell>
          <cell r="B1155" t="str">
            <v>A9424601 (DYN)/SHM-MCA Kaili White 70 S (DEMO)</v>
          </cell>
          <cell r="C1155">
            <v>77.5</v>
          </cell>
        </row>
        <row r="1156">
          <cell r="A1156" t="str">
            <v>SF256-IS-1C</v>
          </cell>
          <cell r="B1156" t="str">
            <v>A9424501 (DYN)/SHM-MCA Kaili White 70 X (DEMO)</v>
          </cell>
          <cell r="C1156">
            <v>78</v>
          </cell>
        </row>
        <row r="1157">
          <cell r="A1157" t="str">
            <v>CW133-IR-1A</v>
          </cell>
          <cell r="B1157" t="str">
            <v>3528W2420/TENSEI AV2 BLUE HY/IR 65 R-FLX</v>
          </cell>
          <cell r="C1157">
            <v>64</v>
          </cell>
        </row>
        <row r="1158">
          <cell r="A1158" t="str">
            <v>CW134-IS-1A</v>
          </cell>
          <cell r="B1158" t="str">
            <v>3528X3420/TENSEI AV2 BLUE HY/IR 75 S-FLX</v>
          </cell>
          <cell r="C1158">
            <v>74</v>
          </cell>
        </row>
        <row r="1159">
          <cell r="A1159" t="str">
            <v>XGQ4WS60ATCA</v>
          </cell>
          <cell r="B1159" t="str">
            <v>S-ALDI-ROGUE ELITE-G-55-S</v>
          </cell>
          <cell r="C1159">
            <v>82</v>
          </cell>
        </row>
        <row r="1160">
          <cell r="A1160" t="str">
            <v>CW138-IS-1A</v>
          </cell>
          <cell r="B1160" t="str">
            <v>S-ALDI-ROGUE ELITE-G-55-S</v>
          </cell>
          <cell r="C1160">
            <v>82</v>
          </cell>
        </row>
        <row r="1161">
          <cell r="A1161" t="str">
            <v>CW138-IX-1A</v>
          </cell>
          <cell r="B1161" t="str">
            <v>3530N3420/TENESEI AV2 WHITE HYB 85 S-FLEX</v>
          </cell>
          <cell r="C1161">
            <v>82.5</v>
          </cell>
        </row>
        <row r="1162">
          <cell r="A1162" t="str">
            <v>SF267-ITX7D</v>
          </cell>
          <cell r="B1162" t="str">
            <v>3530N4420/TENESEI AV2 WHITE HYB 85 X-FLEX</v>
          </cell>
          <cell r="C1162">
            <v>117</v>
          </cell>
        </row>
        <row r="1163">
          <cell r="A1163" t="str">
            <v>SF268-IS-7D</v>
          </cell>
          <cell r="B1163" t="str">
            <v>A9422701/SHI-MCA MMT 105 TX #7</v>
          </cell>
          <cell r="C1163">
            <v>124</v>
          </cell>
        </row>
        <row r="1164">
          <cell r="A1164" t="str">
            <v>SF267-IS-7D</v>
          </cell>
          <cell r="B1164" t="str">
            <v>A9423001/SHI-MCA MMT 125 S #7</v>
          </cell>
          <cell r="C1164">
            <v>109</v>
          </cell>
        </row>
        <row r="1165">
          <cell r="A1165" t="str">
            <v>SF268-ITX7D</v>
          </cell>
          <cell r="B1165" t="str">
            <v>A9422801/SHI-MCA MMT 105 S #7</v>
          </cell>
          <cell r="C1165">
            <v>124</v>
          </cell>
        </row>
        <row r="1166">
          <cell r="A1166" t="str">
            <v>CW137-IR-1A</v>
          </cell>
          <cell r="B1166" t="str">
            <v>3530M2420/TENESEI AV2 WHITE HYB 75 R-FLEX</v>
          </cell>
          <cell r="C1166">
            <v>79.5</v>
          </cell>
        </row>
        <row r="1167">
          <cell r="A1167" t="str">
            <v>SF267-IS-3A</v>
          </cell>
          <cell r="B1167" t="str">
            <v>A9409401/SHI-MCA MMT 105 S #3</v>
          </cell>
          <cell r="C1167">
            <v>109</v>
          </cell>
        </row>
        <row r="1168">
          <cell r="A1168" t="str">
            <v>SF267-IS-4A</v>
          </cell>
          <cell r="B1168" t="str">
            <v>A9409501/SHI-MCA MMT 105 S #4</v>
          </cell>
          <cell r="C1168">
            <v>109.5</v>
          </cell>
        </row>
        <row r="1169">
          <cell r="A1169" t="str">
            <v>SF267-IS-5A</v>
          </cell>
          <cell r="B1169" t="str">
            <v>A9409601/SHI-MCA MMT 105 S #5</v>
          </cell>
          <cell r="C1169">
            <v>108</v>
          </cell>
        </row>
        <row r="1170">
          <cell r="A1170" t="str">
            <v>SF267-IS-6A</v>
          </cell>
          <cell r="B1170" t="str">
            <v>A9409701/SHI-MCA MMT 105 S #6</v>
          </cell>
          <cell r="C1170">
            <v>109.5</v>
          </cell>
        </row>
        <row r="1171">
          <cell r="A1171" t="str">
            <v>SF267-IS-7A</v>
          </cell>
          <cell r="B1171" t="str">
            <v>A9409801/SHI-MCA MMT 105 S #7</v>
          </cell>
          <cell r="C1171">
            <v>109</v>
          </cell>
        </row>
        <row r="1172">
          <cell r="A1172" t="str">
            <v>SF267-IS-8A</v>
          </cell>
          <cell r="B1172" t="str">
            <v>A9409901/SHI-MCA MMT 105 S #8</v>
          </cell>
          <cell r="C1172">
            <v>110</v>
          </cell>
        </row>
        <row r="1173">
          <cell r="A1173" t="str">
            <v>SF267-IS-9A</v>
          </cell>
          <cell r="B1173" t="str">
            <v>A9410001/SHI-MCA MMT 105 S #9</v>
          </cell>
          <cell r="C1173">
            <v>112</v>
          </cell>
        </row>
        <row r="1174">
          <cell r="A1174" t="str">
            <v>SF267-IS-PA</v>
          </cell>
          <cell r="B1174" t="str">
            <v>A9410101/SHI-MCA MMT 105 S PW</v>
          </cell>
          <cell r="C1174">
            <v>110</v>
          </cell>
        </row>
        <row r="1175">
          <cell r="A1175" t="str">
            <v>SF246-WL-1F</v>
          </cell>
          <cell r="B1175" t="str">
            <v>N9086901/Tensei Red FWY TM40 L</v>
          </cell>
          <cell r="C1175">
            <v>48.5</v>
          </cell>
        </row>
        <row r="1176">
          <cell r="A1176" t="str">
            <v>SF246-WA-1F</v>
          </cell>
          <cell r="B1176" t="str">
            <v>N9087001/Tensei Red FWY TM40 A</v>
          </cell>
          <cell r="C1176">
            <v>50.5</v>
          </cell>
        </row>
        <row r="1177">
          <cell r="A1177" t="str">
            <v>SF267-ITX3A</v>
          </cell>
          <cell r="B1177" t="str">
            <v>A9408601/SHI-MCA MMT 105 TX #3</v>
          </cell>
          <cell r="C1177">
            <v>114.5</v>
          </cell>
        </row>
        <row r="1178">
          <cell r="A1178" t="str">
            <v>SF267-ITX4A</v>
          </cell>
          <cell r="B1178" t="str">
            <v>A9408701/SHI-MCA MMT 105 TX #4</v>
          </cell>
          <cell r="C1178">
            <v>114.5</v>
          </cell>
        </row>
        <row r="1179">
          <cell r="A1179" t="str">
            <v>SF267-ITX5A</v>
          </cell>
          <cell r="B1179" t="str">
            <v>A9408801/SHI-MCA MMT 105 TX #5</v>
          </cell>
          <cell r="C1179">
            <v>117</v>
          </cell>
        </row>
        <row r="1180">
          <cell r="A1180" t="str">
            <v>SF267-ITX6A</v>
          </cell>
          <cell r="B1180" t="str">
            <v>A9408901/SHI-MCA MMT 105 TX #6</v>
          </cell>
          <cell r="C1180">
            <v>116</v>
          </cell>
        </row>
        <row r="1181">
          <cell r="A1181" t="str">
            <v>SF267-ITX7A</v>
          </cell>
          <cell r="B1181" t="str">
            <v>A9409001/SHI-MCA MMT 105 TX #7</v>
          </cell>
          <cell r="C1181">
            <v>117</v>
          </cell>
        </row>
        <row r="1182">
          <cell r="A1182" t="str">
            <v>SF267-ITX8A</v>
          </cell>
          <cell r="B1182" t="str">
            <v>A9409101/SHI-MCA MMT 105 TX #8</v>
          </cell>
          <cell r="C1182">
            <v>117</v>
          </cell>
        </row>
        <row r="1183">
          <cell r="A1183" t="str">
            <v>SF267-ITX9A</v>
          </cell>
          <cell r="B1183" t="str">
            <v>A9409201/SHI-MCA MMT 105 TX #9</v>
          </cell>
          <cell r="C1183">
            <v>117</v>
          </cell>
        </row>
        <row r="1184">
          <cell r="A1184" t="str">
            <v>SF267-ITXPA</v>
          </cell>
          <cell r="B1184" t="str">
            <v>A9409301/SHI-MCA MMT 105 TX PW</v>
          </cell>
          <cell r="C1184">
            <v>115</v>
          </cell>
        </row>
        <row r="1185">
          <cell r="A1185" t="str">
            <v>SF268-IS-4A</v>
          </cell>
          <cell r="B1185" t="str">
            <v>A9411101/SHI-MCA MMT 125 S #4</v>
          </cell>
          <cell r="C1185">
            <v>125</v>
          </cell>
        </row>
        <row r="1186">
          <cell r="A1186" t="str">
            <v>SF268-IS-5A</v>
          </cell>
          <cell r="B1186" t="str">
            <v>A9411201/SHI-MCA MMT 125 S #5</v>
          </cell>
          <cell r="C1186">
            <v>124</v>
          </cell>
        </row>
        <row r="1187">
          <cell r="A1187" t="str">
            <v>SF268-IS-6A</v>
          </cell>
          <cell r="B1187" t="str">
            <v>A9411201/SHI-MCA MMT 125 S #5</v>
          </cell>
          <cell r="C1187">
            <v>125.5</v>
          </cell>
        </row>
        <row r="1188">
          <cell r="A1188" t="str">
            <v>YR169-WS-3A</v>
          </cell>
          <cell r="B1188" t="str">
            <v>A9411201/SHI-MCA MMT 125 S #5</v>
          </cell>
          <cell r="C1188">
            <v>61</v>
          </cell>
        </row>
        <row r="1189">
          <cell r="A1189" t="str">
            <v>YR169-WSR3A</v>
          </cell>
          <cell r="B1189" t="str">
            <v>A9411201/SHI-MCA MMT 125 S #5</v>
          </cell>
          <cell r="C1189">
            <v>56</v>
          </cell>
        </row>
        <row r="1190">
          <cell r="A1190" t="str">
            <v>YR169-USR1A</v>
          </cell>
          <cell r="B1190" t="str">
            <v>A9411201/SHI-MCA MMT 125 S #5</v>
          </cell>
          <cell r="C1190">
            <v>58</v>
          </cell>
        </row>
        <row r="1191">
          <cell r="A1191" t="str">
            <v>YR169-WS-1A</v>
          </cell>
          <cell r="B1191" t="str">
            <v>A9411201/SHI-MCA MMT 125 S #5</v>
          </cell>
          <cell r="C1191">
            <v>57.5</v>
          </cell>
        </row>
        <row r="1192">
          <cell r="A1192" t="str">
            <v>YR169-WSR1A</v>
          </cell>
          <cell r="B1192" t="str">
            <v>A9411201/SHI-MCA MMT 125 S #5</v>
          </cell>
          <cell r="C1192">
            <v>53</v>
          </cell>
        </row>
        <row r="1193">
          <cell r="A1193" t="str">
            <v>YR169-US-1A</v>
          </cell>
          <cell r="B1193" t="str">
            <v>YR169-US-1A</v>
          </cell>
          <cell r="C1193">
            <v>64.5</v>
          </cell>
        </row>
        <row r="1194">
          <cell r="A1194" t="str">
            <v>YR170-WR-1A</v>
          </cell>
          <cell r="B1194" t="str">
            <v>YR170-WR-1A</v>
          </cell>
          <cell r="C1194">
            <v>46.5</v>
          </cell>
        </row>
        <row r="1195">
          <cell r="A1195" t="str">
            <v>YR170-WS-1A</v>
          </cell>
          <cell r="B1195" t="str">
            <v>YR170-WS-1A</v>
          </cell>
          <cell r="C1195">
            <v>53.5</v>
          </cell>
        </row>
        <row r="1196">
          <cell r="A1196" t="str">
            <v>YR170-WSR1A</v>
          </cell>
          <cell r="B1196" t="str">
            <v>YR170-WSR1A</v>
          </cell>
          <cell r="C1196">
            <v>49.5</v>
          </cell>
        </row>
        <row r="1197">
          <cell r="A1197" t="str">
            <v>SF268-ITX5A</v>
          </cell>
          <cell r="B1197" t="str">
            <v>A9410401/SHI-MCA MMT 125 TX #5</v>
          </cell>
          <cell r="C1197">
            <v>124</v>
          </cell>
        </row>
        <row r="1198">
          <cell r="A1198" t="str">
            <v>SF268-ITX6A</v>
          </cell>
          <cell r="B1198" t="str">
            <v>A9410501/SHI-MCA MMT 125 TX #6</v>
          </cell>
          <cell r="C1198">
            <v>125</v>
          </cell>
        </row>
        <row r="1199">
          <cell r="A1199" t="str">
            <v>SF268-ITX8A</v>
          </cell>
          <cell r="B1199" t="str">
            <v>A9410701/SHI-MCA MMT 125 TX #8</v>
          </cell>
          <cell r="C1199">
            <v>125</v>
          </cell>
        </row>
        <row r="1200">
          <cell r="A1200" t="str">
            <v>MX730-IS-3A</v>
          </cell>
          <cell r="B1200" t="str">
            <v>A9410701/SHI-MCA MMT 125 TX #8</v>
          </cell>
          <cell r="C1200">
            <v>71</v>
          </cell>
        </row>
        <row r="1201">
          <cell r="A1201" t="str">
            <v>SF268-IS-3A</v>
          </cell>
          <cell r="B1201" t="str">
            <v>A9411001/SHI-MCA MMT 125 S #3</v>
          </cell>
          <cell r="C1201">
            <v>126</v>
          </cell>
        </row>
        <row r="1202">
          <cell r="A1202" t="str">
            <v>SF268-IS-7A</v>
          </cell>
          <cell r="B1202" t="str">
            <v>A9411401/SHI-MCA MMT 125 S #7</v>
          </cell>
          <cell r="C1202">
            <v>124</v>
          </cell>
        </row>
        <row r="1203">
          <cell r="A1203" t="str">
            <v>SF268-IS-8A</v>
          </cell>
          <cell r="B1203" t="str">
            <v>A9411501/SHI-MCA MMT 125 S #8</v>
          </cell>
          <cell r="C1203">
            <v>124</v>
          </cell>
        </row>
        <row r="1204">
          <cell r="A1204" t="str">
            <v>SF268-IS-9A</v>
          </cell>
          <cell r="B1204" t="str">
            <v>A9411601/SHI-MCA MMT 125 S #9</v>
          </cell>
          <cell r="C1204">
            <v>125.5</v>
          </cell>
        </row>
        <row r="1205">
          <cell r="A1205" t="str">
            <v>SF268-IS-PA</v>
          </cell>
          <cell r="B1205" t="str">
            <v>A9411701/SHI-MCA MMT 125 S PW</v>
          </cell>
          <cell r="C1205">
            <v>125</v>
          </cell>
        </row>
        <row r="1206">
          <cell r="A1206" t="str">
            <v>SF268-ITX3A</v>
          </cell>
          <cell r="B1206" t="str">
            <v>A9410201/SHI-MCA MMT 125 TX #3</v>
          </cell>
          <cell r="C1206">
            <v>125</v>
          </cell>
        </row>
        <row r="1207">
          <cell r="A1207" t="str">
            <v>SF268-ITX4A</v>
          </cell>
          <cell r="B1207" t="str">
            <v>A9410301/SHI-MCA MMT 125 TX #4</v>
          </cell>
          <cell r="C1207">
            <v>124.5</v>
          </cell>
        </row>
        <row r="1208">
          <cell r="A1208" t="str">
            <v>SF268-ITX7A</v>
          </cell>
          <cell r="B1208" t="str">
            <v>A9410601/SHI-MCA MMT 125 TX #7</v>
          </cell>
          <cell r="C1208">
            <v>124</v>
          </cell>
        </row>
        <row r="1209">
          <cell r="A1209" t="str">
            <v>SF268-ITX9A</v>
          </cell>
          <cell r="B1209" t="str">
            <v>A9410801/SHI-MCA MMT 125 TX #9</v>
          </cell>
          <cell r="C1209">
            <v>126</v>
          </cell>
        </row>
        <row r="1210">
          <cell r="A1210" t="str">
            <v>SF268-ITXPA</v>
          </cell>
          <cell r="B1210" t="str">
            <v>A9410901/SHI-MCA MMT 125 TX PW</v>
          </cell>
          <cell r="C1210">
            <v>125</v>
          </cell>
        </row>
        <row r="1211">
          <cell r="A1211" t="str">
            <v>MX699-IA-1AO</v>
          </cell>
          <cell r="B1211" t="str">
            <v>MMT IRON 60G A-FLEX</v>
          </cell>
          <cell r="C1211">
            <v>63.5</v>
          </cell>
        </row>
        <row r="1212">
          <cell r="A1212" t="str">
            <v>MX699-IR-1AO</v>
          </cell>
          <cell r="B1212" t="str">
            <v>MMT IRON 60G R-FLEX</v>
          </cell>
          <cell r="C1212">
            <v>64.5</v>
          </cell>
        </row>
        <row r="1213">
          <cell r="A1213" t="str">
            <v>MX700-IR-1AO</v>
          </cell>
          <cell r="B1213" t="str">
            <v>MMT IRON 70G R-FLEX</v>
          </cell>
          <cell r="C1213">
            <v>72.5</v>
          </cell>
        </row>
        <row r="1214">
          <cell r="A1214" t="str">
            <v>MX701-IR-1AO</v>
          </cell>
          <cell r="B1214" t="str">
            <v>MMT IRON 80G R-FLEX</v>
          </cell>
          <cell r="C1214">
            <v>83.5</v>
          </cell>
        </row>
        <row r="1215">
          <cell r="A1215" t="str">
            <v>MX701-IS-1AO</v>
          </cell>
          <cell r="B1215" t="str">
            <v>MMT IRON 80G S-FLEX</v>
          </cell>
          <cell r="C1215">
            <v>86</v>
          </cell>
        </row>
        <row r="1216">
          <cell r="A1216" t="str">
            <v>MX727-IS-1AO</v>
          </cell>
          <cell r="B1216" t="str">
            <v>MMT IRON 90G S-FLEX</v>
          </cell>
          <cell r="C1216">
            <v>99.5</v>
          </cell>
        </row>
        <row r="1217">
          <cell r="A1217" t="str">
            <v>SF248-IA-1C</v>
          </cell>
          <cell r="B1217" t="str">
            <v>N9085501/Tensei Red IRON TM40 A</v>
          </cell>
          <cell r="C1217">
            <v>59.5</v>
          </cell>
        </row>
        <row r="1218">
          <cell r="A1218" t="str">
            <v>SF248-IL-1C</v>
          </cell>
          <cell r="B1218" t="str">
            <v>N9085401/Tensei Red IRON TM40 L</v>
          </cell>
          <cell r="C1218">
            <v>57.5</v>
          </cell>
        </row>
        <row r="1219">
          <cell r="A1219" t="str">
            <v>MX783-WR-1B</v>
          </cell>
          <cell r="B1219" t="str">
            <v>KAI'LI™ White 60 R</v>
          </cell>
          <cell r="C1219">
            <v>65.5</v>
          </cell>
        </row>
        <row r="1220">
          <cell r="A1220" t="str">
            <v>MX783-WS-1B</v>
          </cell>
          <cell r="B1220" t="str">
            <v>KAI'LI™ White 60 S</v>
          </cell>
          <cell r="C1220">
            <v>68</v>
          </cell>
        </row>
        <row r="1221">
          <cell r="A1221" t="str">
            <v>MX783-WX-1B</v>
          </cell>
          <cell r="B1221" t="str">
            <v>KAI'LI™ White 60 X</v>
          </cell>
          <cell r="C1221">
            <v>69.5</v>
          </cell>
        </row>
        <row r="1222">
          <cell r="A1222" t="str">
            <v>AX180-WR-3PA</v>
          </cell>
          <cell r="B1222" t="str">
            <v>35859-04/MW FW MAGURO  R-FLEX</v>
          </cell>
          <cell r="C1222">
            <v>66</v>
          </cell>
        </row>
        <row r="1223">
          <cell r="A1223" t="str">
            <v>AX180-WS-3PA</v>
          </cell>
          <cell r="B1223" t="str">
            <v>35859-02/MW FW MAGURO S-FLEX</v>
          </cell>
          <cell r="C1223">
            <v>55</v>
          </cell>
        </row>
        <row r="1224">
          <cell r="A1224" t="str">
            <v>AX180-WSR3PA</v>
          </cell>
          <cell r="B1224" t="str">
            <v>35859-03/MW FW MAGURO SR-FLEX</v>
          </cell>
          <cell r="C1224">
            <v>67</v>
          </cell>
        </row>
        <row r="1225">
          <cell r="A1225" t="str">
            <v>AX181-IR-1PA</v>
          </cell>
          <cell r="B1225" t="str">
            <v>35860-04/MW FW HYBRID R-FLEX</v>
          </cell>
          <cell r="C1225">
            <v>55</v>
          </cell>
        </row>
        <row r="1226">
          <cell r="A1226" t="str">
            <v>AX181-IS-1PA</v>
          </cell>
          <cell r="B1226" t="str">
            <v>35860-02/MW FW HYBRID S-FLEX</v>
          </cell>
          <cell r="C1226">
            <v>68</v>
          </cell>
        </row>
        <row r="1227">
          <cell r="A1227" t="str">
            <v>AX181-ISR1PA</v>
          </cell>
          <cell r="B1227" t="str">
            <v>35860-03/MW FW HYBRID SR-FLEX</v>
          </cell>
          <cell r="C1227">
            <v>59</v>
          </cell>
        </row>
        <row r="1228">
          <cell r="A1228" t="str">
            <v>AU205-WS-1A</v>
          </cell>
          <cell r="B1228" t="str">
            <v>2692919/TENSEI 1k Black 65 S-FLEX</v>
          </cell>
          <cell r="C1228">
            <v>69</v>
          </cell>
        </row>
        <row r="1229">
          <cell r="A1229" t="str">
            <v>AU205-WTX1A</v>
          </cell>
          <cell r="B1229" t="str">
            <v>2692923/TENSEI 1k Black 65 TX-FLEX</v>
          </cell>
          <cell r="C1229">
            <v>69</v>
          </cell>
        </row>
        <row r="1230">
          <cell r="A1230" t="str">
            <v>AU205-WX-1A</v>
          </cell>
          <cell r="B1230" t="str">
            <v>2692921/TENSEI 1k Black 65 X-FLEX</v>
          </cell>
          <cell r="C1230">
            <v>70.5</v>
          </cell>
        </row>
        <row r="1231">
          <cell r="A1231" t="str">
            <v>AU206-WX-1A</v>
          </cell>
          <cell r="B1231" t="str">
            <v>2692927/TENSEI 1k Black 75 X-FLEX</v>
          </cell>
          <cell r="C1231">
            <v>80</v>
          </cell>
        </row>
        <row r="1232">
          <cell r="A1232" t="str">
            <v>AU206-WS-1A</v>
          </cell>
          <cell r="B1232" t="str">
            <v>2692925/TENSEI 1k Black 75 S-FLEX</v>
          </cell>
          <cell r="C1232">
            <v>76.5</v>
          </cell>
        </row>
        <row r="1233">
          <cell r="A1233" t="str">
            <v>AU206-WTX1A</v>
          </cell>
          <cell r="B1233" t="str">
            <v>2692929/TENSEI 1k Black 75 TX-FLEX</v>
          </cell>
          <cell r="C1233">
            <v>79.5</v>
          </cell>
        </row>
        <row r="1234">
          <cell r="A1234" t="str">
            <v>AU207-WS-1A</v>
          </cell>
          <cell r="B1234" t="str">
            <v>2692931/TENSEI 1k Black 85 S-FLEX</v>
          </cell>
          <cell r="C1234">
            <v>91</v>
          </cell>
        </row>
        <row r="1235">
          <cell r="A1235" t="str">
            <v>AU207-WTX1A</v>
          </cell>
          <cell r="B1235" t="str">
            <v>2692935/TENSEI 1k Black 85 TX-FLEX</v>
          </cell>
          <cell r="C1235">
            <v>89</v>
          </cell>
        </row>
        <row r="1236">
          <cell r="A1236" t="str">
            <v>AU207-WX-1A</v>
          </cell>
          <cell r="B1236" t="str">
            <v>2692933/TENSEI 1k Black 85 X-FLEX</v>
          </cell>
          <cell r="C1236">
            <v>92</v>
          </cell>
        </row>
        <row r="1237">
          <cell r="A1237" t="str">
            <v>SF246-WA-1E</v>
          </cell>
          <cell r="B1237" t="str">
            <v>N9084501/Tensei Red DR TM40 A</v>
          </cell>
          <cell r="C1237">
            <v>50.5</v>
          </cell>
        </row>
        <row r="1238">
          <cell r="A1238" t="str">
            <v>SF246-WL-1E</v>
          </cell>
          <cell r="B1238" t="str">
            <v>N9084401/Tensei Red DR TM40 L</v>
          </cell>
          <cell r="C1238">
            <v>48.5</v>
          </cell>
        </row>
        <row r="1239">
          <cell r="A1239" t="str">
            <v>YR169-UR-1A</v>
          </cell>
          <cell r="B1239" t="str">
            <v>N9084401/Tensei Red DR TM40 L</v>
          </cell>
          <cell r="C1239">
            <v>52.5</v>
          </cell>
        </row>
        <row r="1240">
          <cell r="A1240" t="str">
            <v>YR169-WR-1A</v>
          </cell>
          <cell r="B1240" t="str">
            <v>N9084401/Tensei Red DR TM40 L</v>
          </cell>
          <cell r="C1240">
            <v>47.5</v>
          </cell>
        </row>
        <row r="1241">
          <cell r="A1241" t="str">
            <v>YR169-WR-3A</v>
          </cell>
          <cell r="B1241" t="str">
            <v>N9084401/Tensei Red DR TM40 L</v>
          </cell>
          <cell r="C1241">
            <v>51.5</v>
          </cell>
        </row>
        <row r="1242">
          <cell r="A1242" t="str">
            <v>MR127-IL-SA</v>
          </cell>
          <cell r="B1242" t="str">
            <v>8468118/21 MAJESTY WEDGE Ladies L</v>
          </cell>
          <cell r="C1242">
            <v>46.5</v>
          </cell>
        </row>
        <row r="1243">
          <cell r="A1243" t="str">
            <v>MX783-WS-1BO</v>
          </cell>
          <cell r="B1243" t="str">
            <v>KAILI White 60 S-FLEX</v>
          </cell>
          <cell r="C1243">
            <v>68</v>
          </cell>
        </row>
        <row r="1244">
          <cell r="A1244" t="str">
            <v>MX783-WX-1BO</v>
          </cell>
          <cell r="B1244" t="str">
            <v>KAILI White 60 X-FLEX</v>
          </cell>
          <cell r="C1244">
            <v>69.5</v>
          </cell>
        </row>
        <row r="1245">
          <cell r="A1245" t="str">
            <v>XG015-WL-1B</v>
          </cell>
          <cell r="B1245" t="str">
            <v>KAILI White 60 X-FLEX</v>
          </cell>
          <cell r="C1245">
            <v>51</v>
          </cell>
        </row>
        <row r="1246">
          <cell r="A1246" t="str">
            <v>XG015-WR-1B</v>
          </cell>
          <cell r="B1246" t="str">
            <v>KAILI White 60 X-FLEX</v>
          </cell>
          <cell r="C1246">
            <v>55</v>
          </cell>
        </row>
        <row r="1247">
          <cell r="A1247" t="str">
            <v>XG015-WS-1B</v>
          </cell>
          <cell r="B1247" t="str">
            <v>KAILI White 60 X-FLEX</v>
          </cell>
          <cell r="C1247">
            <v>58.5</v>
          </cell>
        </row>
        <row r="1248">
          <cell r="A1248" t="str">
            <v>XG016-WS-1B</v>
          </cell>
          <cell r="B1248" t="str">
            <v>KAILI White 60 X-FLEX</v>
          </cell>
          <cell r="C1248">
            <v>62.5</v>
          </cell>
        </row>
        <row r="1249">
          <cell r="A1249" t="str">
            <v>XG018-IL-1B</v>
          </cell>
          <cell r="B1249" t="str">
            <v>KAILI White 60 X-FLEX</v>
          </cell>
          <cell r="C1249">
            <v>51.5</v>
          </cell>
        </row>
        <row r="1250">
          <cell r="A1250" t="str">
            <v>XG018-IS-1B</v>
          </cell>
          <cell r="B1250" t="str">
            <v>KAILI White 60 X-FLEX</v>
          </cell>
          <cell r="C1250">
            <v>67</v>
          </cell>
        </row>
        <row r="1251">
          <cell r="A1251" t="str">
            <v>PA002-WA-1A</v>
          </cell>
          <cell r="B1251" t="str">
            <v>PA002-WA-1A</v>
          </cell>
          <cell r="C1251">
            <v>50</v>
          </cell>
        </row>
        <row r="1252">
          <cell r="A1252" t="str">
            <v>SF245-WSR1G</v>
          </cell>
          <cell r="B1252" t="str">
            <v>N9084201/Tensei Red DR/FWY TM50 SR</v>
          </cell>
          <cell r="C1252">
            <v>55</v>
          </cell>
        </row>
        <row r="1253">
          <cell r="A1253" t="str">
            <v>CW113-IRA2A</v>
          </cell>
          <cell r="B1253" t="str">
            <v>3515I1405 / SF IR/HY MCA DIAMNA BLK/SLV 55 GR R2 JV </v>
          </cell>
          <cell r="C1253">
            <v>55</v>
          </cell>
        </row>
        <row r="1254">
          <cell r="A1254" t="str">
            <v>SU024-IL-1B</v>
          </cell>
          <cell r="B1254" t="str">
            <v>11215924/X151 Hybrid L-flex</v>
          </cell>
          <cell r="C1254">
            <v>52.5</v>
          </cell>
        </row>
        <row r="1255">
          <cell r="A1255" t="str">
            <v>SU024-WL-1B</v>
          </cell>
          <cell r="B1255" t="str">
            <v>11215910/X151 Wood L-flex</v>
          </cell>
          <cell r="C1255">
            <v>54.5</v>
          </cell>
        </row>
        <row r="1256">
          <cell r="A1256" t="str">
            <v>AX184-WR-3PA</v>
          </cell>
          <cell r="B1256" t="str">
            <v>35859-04/MW FW ALTA J CB BLACK (MAGURO)  R-FLEX</v>
          </cell>
          <cell r="C1256">
            <v>50.2</v>
          </cell>
        </row>
        <row r="1257">
          <cell r="A1257" t="str">
            <v>AX184-WS-3PA</v>
          </cell>
          <cell r="B1257" t="str">
            <v>35859-02/MW FW ALTA J CB BLACK (MAGURO) S-FLEX</v>
          </cell>
          <cell r="C1257">
            <v>59.4</v>
          </cell>
        </row>
        <row r="1258">
          <cell r="A1258" t="str">
            <v>AX184-WSR3PA</v>
          </cell>
          <cell r="B1258" t="str">
            <v>35859-03/MW FW ALTA J CB BLACK (MAGURO) SR-FLEX</v>
          </cell>
          <cell r="C1258">
            <v>54.7</v>
          </cell>
        </row>
        <row r="1259">
          <cell r="A1259" t="str">
            <v>PG056-WS-1A</v>
          </cell>
          <cell r="B1259" t="str">
            <v>36534-02/MW MTSB KAILI WHITE 60 S-FLEX</v>
          </cell>
          <cell r="C1259">
            <v>68</v>
          </cell>
        </row>
        <row r="1260">
          <cell r="A1260" t="str">
            <v>PG056-WX-1A</v>
          </cell>
          <cell r="B1260" t="str">
            <v>36534-03/MW MTSB KAILI WHITE 60 X-FLEX</v>
          </cell>
          <cell r="C1260">
            <v>69.5</v>
          </cell>
        </row>
        <row r="1261">
          <cell r="A1261" t="str">
            <v>PG057-WS-1A</v>
          </cell>
          <cell r="B1261" t="str">
            <v>36535-01/MW MTSB KAILI WHITE 70 S-FLEX</v>
          </cell>
          <cell r="C1261">
            <v>75.5</v>
          </cell>
        </row>
        <row r="1262">
          <cell r="A1262" t="str">
            <v>PG057-WX-1A</v>
          </cell>
          <cell r="B1262" t="str">
            <v>36535-02/MW MTSB KAILI WHITE 70 X-FLEX</v>
          </cell>
          <cell r="C1262">
            <v>77.5</v>
          </cell>
        </row>
        <row r="1263">
          <cell r="A1263" t="str">
            <v>PG058-IS-1A</v>
          </cell>
          <cell r="B1263" t="str">
            <v>36679-02/HYBRID MTSB KAILI WHITE 80 S-FLEX</v>
          </cell>
          <cell r="C1263">
            <v>82.5</v>
          </cell>
        </row>
        <row r="1264">
          <cell r="A1264" t="str">
            <v>PG058-IX-1A</v>
          </cell>
          <cell r="B1264" t="str">
            <v>36679-01/HYBRID MTSB KAILI WHITE 80 X-FLEX</v>
          </cell>
          <cell r="C1264">
            <v>84</v>
          </cell>
        </row>
        <row r="1265">
          <cell r="A1265" t="str">
            <v>CB039-WS-1A</v>
          </cell>
          <cell r="B1265" t="str">
            <v>SD22GS173460/KAILI White DR/FW 60 S</v>
          </cell>
          <cell r="C1265">
            <v>68</v>
          </cell>
        </row>
        <row r="1266">
          <cell r="A1266" t="str">
            <v>CB039-WX-1A</v>
          </cell>
          <cell r="B1266" t="str">
            <v>SD22GX169460/KAILI White DR/FW 60 X</v>
          </cell>
          <cell r="C1266">
            <v>69.5</v>
          </cell>
        </row>
        <row r="1267">
          <cell r="A1267" t="str">
            <v>CB040-WS-1A</v>
          </cell>
          <cell r="B1267" t="str">
            <v>SD22GS174460/KAILI White DR/FW 70 S</v>
          </cell>
          <cell r="C1267">
            <v>75.5</v>
          </cell>
        </row>
        <row r="1268">
          <cell r="A1268" t="str">
            <v>CB040-WX-1A</v>
          </cell>
          <cell r="B1268" t="str">
            <v>SD22GX170460/KAILI White DR/FW 70 X</v>
          </cell>
          <cell r="C1268">
            <v>77.5</v>
          </cell>
        </row>
        <row r="1269">
          <cell r="A1269" t="str">
            <v>CB041-WR-1A</v>
          </cell>
          <cell r="B1269" t="str">
            <v>SD22GR116460/KAILI Blue DR/FW 60 R</v>
          </cell>
          <cell r="C1269">
            <v>65</v>
          </cell>
        </row>
        <row r="1270">
          <cell r="A1270" t="str">
            <v>CB041-WS-1A</v>
          </cell>
          <cell r="B1270" t="str">
            <v>SD22GS171460/KAILI Blue DR/FW 60 S</v>
          </cell>
          <cell r="C1270">
            <v>67</v>
          </cell>
        </row>
        <row r="1271">
          <cell r="A1271" t="str">
            <v>AX124-IR-4PA</v>
          </cell>
          <cell r="B1271" t="str">
            <v>SHAFT, IRON/HYBRID, ALTA DISTANZA, SR FLEX #4</v>
          </cell>
          <cell r="C1271">
            <v>43.5</v>
          </cell>
        </row>
        <row r="1272">
          <cell r="A1272" t="str">
            <v>YM123-IA-7A</v>
          </cell>
          <cell r="B1272" t="str">
            <v>23UD+ IRON #7 A</v>
          </cell>
          <cell r="C1272">
            <v>46.5</v>
          </cell>
        </row>
        <row r="1273">
          <cell r="A1273" t="str">
            <v>YM123-IL-7A</v>
          </cell>
          <cell r="B1273" t="str">
            <v>23UD+ IRON #7 L</v>
          </cell>
          <cell r="C1273">
            <v>45.5</v>
          </cell>
        </row>
        <row r="1274">
          <cell r="A1274" t="str">
            <v>SP404-IS-3A</v>
          </cell>
          <cell r="B1274" t="str">
            <v>OTBBISM/CB Iron Flex-S</v>
          </cell>
          <cell r="C1274">
            <v>83.5</v>
          </cell>
        </row>
        <row r="1275">
          <cell r="A1275" t="str">
            <v>YM123-IA-6A</v>
          </cell>
          <cell r="B1275" t="str">
            <v>23UD+ IRON #6 A</v>
          </cell>
          <cell r="C1275">
            <v>46</v>
          </cell>
        </row>
        <row r="1276">
          <cell r="A1276" t="str">
            <v>YM123-IA-8A</v>
          </cell>
          <cell r="B1276" t="str">
            <v>23UD+ IRON #8 A</v>
          </cell>
          <cell r="C1276">
            <v>48</v>
          </cell>
        </row>
        <row r="1277">
          <cell r="A1277" t="str">
            <v>YM123-IA-9A</v>
          </cell>
          <cell r="B1277" t="str">
            <v>23UD+ IRON #9 A</v>
          </cell>
          <cell r="C1277">
            <v>48</v>
          </cell>
        </row>
        <row r="1278">
          <cell r="A1278" t="str">
            <v>YM123-IA-PA</v>
          </cell>
          <cell r="B1278" t="str">
            <v>23UD+ IRON #P A</v>
          </cell>
          <cell r="C1278">
            <v>49</v>
          </cell>
        </row>
        <row r="1279">
          <cell r="A1279" t="str">
            <v>YM123-IL-6A</v>
          </cell>
          <cell r="B1279" t="str">
            <v>23UD+ IRON #6 L</v>
          </cell>
          <cell r="C1279">
            <v>44.5</v>
          </cell>
        </row>
        <row r="1280">
          <cell r="A1280" t="str">
            <v>YM123-IL-8A</v>
          </cell>
          <cell r="B1280" t="str">
            <v>23UD+ IRON #8 L</v>
          </cell>
          <cell r="C1280">
            <v>45.5</v>
          </cell>
        </row>
        <row r="1281">
          <cell r="A1281" t="str">
            <v>YM123-IL-9A</v>
          </cell>
          <cell r="B1281" t="str">
            <v>23UD+ IRON #9 L</v>
          </cell>
          <cell r="C1281">
            <v>47</v>
          </cell>
        </row>
        <row r="1282">
          <cell r="A1282" t="str">
            <v>YM123-IL-PA</v>
          </cell>
          <cell r="B1282" t="str">
            <v>23UD+ IRON #P L</v>
          </cell>
          <cell r="C1282">
            <v>47.5</v>
          </cell>
        </row>
        <row r="1283">
          <cell r="A1283" t="str">
            <v>YM123-IR-6A</v>
          </cell>
          <cell r="B1283" t="str">
            <v>23UD+ IRON #6 R</v>
          </cell>
          <cell r="C1283">
            <v>47.5</v>
          </cell>
        </row>
        <row r="1284">
          <cell r="A1284" t="str">
            <v>YM123-IR-7A</v>
          </cell>
          <cell r="B1284" t="str">
            <v>23UD+ IRON #7 R</v>
          </cell>
          <cell r="C1284">
            <v>48</v>
          </cell>
        </row>
        <row r="1285">
          <cell r="A1285" t="str">
            <v>YM123-IR-8A</v>
          </cell>
          <cell r="B1285" t="str">
            <v>23UD+ IRON #8 R</v>
          </cell>
          <cell r="C1285">
            <v>49</v>
          </cell>
        </row>
        <row r="1286">
          <cell r="A1286" t="str">
            <v>YM123-IR-9A</v>
          </cell>
          <cell r="B1286" t="str">
            <v>23UD+ IRON #9 R</v>
          </cell>
          <cell r="C1286">
            <v>49</v>
          </cell>
        </row>
        <row r="1287">
          <cell r="A1287" t="str">
            <v>YM123-IR-PA</v>
          </cell>
          <cell r="B1287" t="str">
            <v>23UD+ IRON #P R</v>
          </cell>
          <cell r="C1287">
            <v>49.5</v>
          </cell>
        </row>
        <row r="1288">
          <cell r="A1288" t="str">
            <v>YM123-UA-2A</v>
          </cell>
          <cell r="B1288" t="str">
            <v>23UD+ UTILITY #2 A</v>
          </cell>
          <cell r="C1288">
            <v>44.5</v>
          </cell>
        </row>
        <row r="1289">
          <cell r="A1289" t="str">
            <v>YM123-UL-2A</v>
          </cell>
          <cell r="B1289" t="str">
            <v>23UD+ UTILITY #2 L</v>
          </cell>
          <cell r="C1289">
            <v>43.5</v>
          </cell>
        </row>
        <row r="1290">
          <cell r="A1290" t="str">
            <v>YM123-UR-2A</v>
          </cell>
          <cell r="B1290" t="str">
            <v>23UD+ UTILITY #2 R</v>
          </cell>
          <cell r="C1290">
            <v>46</v>
          </cell>
        </row>
        <row r="1291">
          <cell r="A1291" t="str">
            <v>YM123-WA-1A</v>
          </cell>
          <cell r="B1291" t="str">
            <v>23UD+ Wood #1 A</v>
          </cell>
          <cell r="C1291">
            <v>46</v>
          </cell>
        </row>
        <row r="1292">
          <cell r="A1292" t="str">
            <v>YM123-WA-3A</v>
          </cell>
          <cell r="B1292" t="str">
            <v>23UD+ FAIRWAY #3 A</v>
          </cell>
          <cell r="C1292">
            <v>43</v>
          </cell>
        </row>
        <row r="1293">
          <cell r="A1293" t="str">
            <v>YM123-WL-1A</v>
          </cell>
          <cell r="B1293" t="str">
            <v>23UD+ Wood #1 L</v>
          </cell>
          <cell r="C1293">
            <v>44.5</v>
          </cell>
        </row>
        <row r="1294">
          <cell r="A1294" t="str">
            <v>YM123-WL-3A</v>
          </cell>
          <cell r="B1294" t="str">
            <v>23UD+ FAIRWAY #3 L</v>
          </cell>
          <cell r="C1294">
            <v>41</v>
          </cell>
        </row>
        <row r="1295">
          <cell r="A1295" t="str">
            <v>YM123-WR-1A</v>
          </cell>
          <cell r="B1295" t="str">
            <v>23UD+ Wood #1 R</v>
          </cell>
          <cell r="C1295">
            <v>49</v>
          </cell>
        </row>
        <row r="1296">
          <cell r="A1296" t="str">
            <v>YM123-WR-3A</v>
          </cell>
          <cell r="B1296" t="str">
            <v>23UD+ FAIRWAY #3 R</v>
          </cell>
          <cell r="C1296">
            <v>44.5</v>
          </cell>
        </row>
        <row r="1297">
          <cell r="A1297" t="str">
            <v>SU024-IR-1B</v>
          </cell>
          <cell r="B1297" t="str">
            <v>10327867/X150 Hybrid R-flex</v>
          </cell>
          <cell r="C1297">
            <v>67</v>
          </cell>
        </row>
        <row r="1298">
          <cell r="A1298" t="str">
            <v>SU024-IS-1B</v>
          </cell>
          <cell r="B1298" t="str">
            <v>10327866/X150 Hybrid S-flex</v>
          </cell>
          <cell r="C1298">
            <v>71.5</v>
          </cell>
        </row>
        <row r="1299">
          <cell r="A1299" t="str">
            <v>SU024-WR-1B</v>
          </cell>
          <cell r="B1299" t="str">
            <v>10327864/X150 Wood R-flex</v>
          </cell>
          <cell r="C1299">
            <v>62.5</v>
          </cell>
        </row>
        <row r="1300">
          <cell r="A1300" t="str">
            <v>SU024-WS-1B</v>
          </cell>
          <cell r="B1300" t="str">
            <v>10327863/X150 Wood S-flex</v>
          </cell>
          <cell r="C1300">
            <v>65.5</v>
          </cell>
        </row>
        <row r="1301">
          <cell r="A1301" t="str">
            <v>MX759-WR-1B</v>
          </cell>
          <cell r="B1301" t="str">
            <v>KAI'LI™ Blue 60  R-Flex</v>
          </cell>
          <cell r="C1301">
            <v>65</v>
          </cell>
        </row>
        <row r="1302">
          <cell r="A1302" t="str">
            <v>MX759-WS-1B</v>
          </cell>
          <cell r="B1302" t="str">
            <v>KAI'LI™ Blue 60  S-Flex</v>
          </cell>
          <cell r="C1302">
            <v>67</v>
          </cell>
        </row>
        <row r="1303">
          <cell r="A1303" t="str">
            <v>MX759-WX-1B</v>
          </cell>
          <cell r="B1303" t="str">
            <v>KAI'LI™ Blue 60  X-Flex</v>
          </cell>
          <cell r="C1303">
            <v>69</v>
          </cell>
        </row>
        <row r="1304">
          <cell r="A1304" t="str">
            <v>MX760-WS-1B</v>
          </cell>
          <cell r="B1304" t="str">
            <v>KAI'LI™ Blue 70  S-Flex</v>
          </cell>
          <cell r="C1304">
            <v>72</v>
          </cell>
        </row>
        <row r="1305">
          <cell r="A1305" t="str">
            <v>MX760-WX-1B</v>
          </cell>
          <cell r="B1305" t="str">
            <v>KAI'LI™ Blue 70  X-Flex</v>
          </cell>
          <cell r="C1305">
            <v>74</v>
          </cell>
        </row>
        <row r="1306">
          <cell r="A1306" t="str">
            <v>MX824-WR-1B</v>
          </cell>
          <cell r="B1306" t="str">
            <v>KAI'LI™ Blue 50  R-FLEX</v>
          </cell>
          <cell r="C1306">
            <v>55.5</v>
          </cell>
        </row>
        <row r="1307">
          <cell r="A1307" t="str">
            <v>MX824-WS-1B</v>
          </cell>
          <cell r="B1307" t="str">
            <v>KAI'LI™ Blue 50  S-FLEX</v>
          </cell>
          <cell r="C1307">
            <v>57.5</v>
          </cell>
        </row>
        <row r="1308">
          <cell r="A1308" t="str">
            <v>YM123-WL-1B</v>
          </cell>
          <cell r="B1308" t="str">
            <v>YM123-WL-1B</v>
          </cell>
          <cell r="C1308">
            <v>50</v>
          </cell>
        </row>
        <row r="1309">
          <cell r="A1309" t="str">
            <v>MX889-WS-1A</v>
          </cell>
          <cell r="B1309" t="str">
            <v>TENSEI™ 1K Black 65 S-flex</v>
          </cell>
          <cell r="C1309">
            <v>68.5</v>
          </cell>
        </row>
        <row r="1310">
          <cell r="A1310" t="str">
            <v>MX889-WTX1A</v>
          </cell>
          <cell r="B1310" t="str">
            <v>TENSEI™ 1K Black 65 TX-flex</v>
          </cell>
          <cell r="C1310">
            <v>69</v>
          </cell>
        </row>
        <row r="1311">
          <cell r="A1311" t="str">
            <v>MX889-WX-1A</v>
          </cell>
          <cell r="B1311" t="str">
            <v>TENSEI™ 1K Black 65 X-flex</v>
          </cell>
          <cell r="C1311">
            <v>70.5</v>
          </cell>
        </row>
        <row r="1312">
          <cell r="A1312" t="str">
            <v>MX890-WS-1A</v>
          </cell>
          <cell r="B1312" t="str">
            <v>TENSEI™ 1K Black 75 S-flex</v>
          </cell>
          <cell r="C1312">
            <v>76.5</v>
          </cell>
        </row>
        <row r="1313">
          <cell r="A1313" t="str">
            <v>MX890-WTX1A</v>
          </cell>
          <cell r="B1313" t="str">
            <v>TENSEI™ 1K Black 75 TX-flex</v>
          </cell>
          <cell r="C1313">
            <v>79.5</v>
          </cell>
        </row>
        <row r="1314">
          <cell r="A1314" t="str">
            <v>MX890-WX-1A</v>
          </cell>
          <cell r="B1314" t="str">
            <v>TENSEI™ 1K Black 75 X-flex</v>
          </cell>
          <cell r="C1314">
            <v>80</v>
          </cell>
        </row>
        <row r="1315">
          <cell r="A1315" t="str">
            <v>MX891-WS-1A</v>
          </cell>
          <cell r="B1315" t="str">
            <v>TENSEI™ 1K Black 85 S-flex</v>
          </cell>
          <cell r="C1315">
            <v>91</v>
          </cell>
        </row>
        <row r="1316">
          <cell r="A1316" t="str">
            <v>MX891-WTX1A</v>
          </cell>
          <cell r="B1316" t="str">
            <v>TENSEI™ 1K Black 85 TX-flex</v>
          </cell>
          <cell r="C1316">
            <v>89</v>
          </cell>
        </row>
        <row r="1317">
          <cell r="A1317" t="str">
            <v>MX891-WX-1A</v>
          </cell>
          <cell r="B1317" t="str">
            <v>TENSEI™ 1K Black 85 X-flex</v>
          </cell>
          <cell r="C1317">
            <v>92</v>
          </cell>
        </row>
        <row r="1318">
          <cell r="A1318" t="str">
            <v>SF281-IS-5A</v>
          </cell>
          <cell r="B1318" t="str">
            <v>N9095601/SHI 2023 Diamana IR 95 #5 S</v>
          </cell>
          <cell r="C1318">
            <v>94</v>
          </cell>
        </row>
        <row r="1319">
          <cell r="A1319" t="str">
            <v>SF281-IS-6A</v>
          </cell>
          <cell r="B1319" t="str">
            <v>N9095701/SHI 2023 Diamana IR 95 #6 S</v>
          </cell>
          <cell r="C1319">
            <v>94</v>
          </cell>
        </row>
        <row r="1320">
          <cell r="A1320" t="str">
            <v>SF281-IS-7A</v>
          </cell>
          <cell r="B1320" t="str">
            <v>N9095801/SHI 2023 Diamana IR 95 #7 S</v>
          </cell>
          <cell r="C1320">
            <v>94</v>
          </cell>
        </row>
        <row r="1321">
          <cell r="A1321" t="str">
            <v>SF281-IS-8A</v>
          </cell>
          <cell r="B1321" t="str">
            <v>N9095901/SHI 2023 Diamana IR 95 #8 S</v>
          </cell>
          <cell r="C1321">
            <v>94</v>
          </cell>
        </row>
        <row r="1322">
          <cell r="A1322" t="str">
            <v>SF281-IS-9A</v>
          </cell>
          <cell r="B1322" t="str">
            <v>N9096001/SHI 2023 Diamana IR 95 #9 S</v>
          </cell>
          <cell r="C1322">
            <v>94</v>
          </cell>
        </row>
        <row r="1323">
          <cell r="A1323" t="str">
            <v>SF281-IS-PA</v>
          </cell>
          <cell r="B1323" t="str">
            <v>N9096101/SHI 2023 Diamana IR 95 PW S</v>
          </cell>
          <cell r="C1323">
            <v>94</v>
          </cell>
        </row>
        <row r="1324">
          <cell r="A1324" t="str">
            <v>XG020-IR-1B</v>
          </cell>
          <cell r="B1324" t="str">
            <v>S-DIAMANA-FY22 PXG-IRON-60R</v>
          </cell>
          <cell r="C1324">
            <v>64</v>
          </cell>
        </row>
        <row r="1325">
          <cell r="A1325" t="str">
            <v>SF280-IR-5A</v>
          </cell>
          <cell r="B1325" t="str">
            <v>N9096401/SHI 2023 Diamana IR 80 #5 R</v>
          </cell>
          <cell r="C1325">
            <v>83</v>
          </cell>
        </row>
        <row r="1326">
          <cell r="A1326" t="str">
            <v>SF280-IR-7A</v>
          </cell>
          <cell r="B1326" t="str">
            <v>N9096601/SHI 2023 Diamana IR 80 #7 R</v>
          </cell>
          <cell r="C1326">
            <v>53</v>
          </cell>
        </row>
        <row r="1327">
          <cell r="A1327" t="str">
            <v>SF281-IS-3A</v>
          </cell>
          <cell r="B1327" t="str">
            <v>N9095401/SHI 2023 Diamana IR 95 #3 S</v>
          </cell>
          <cell r="C1327">
            <v>94</v>
          </cell>
        </row>
        <row r="1328">
          <cell r="A1328" t="str">
            <v>XG019-IL-1B</v>
          </cell>
          <cell r="B1328" t="str">
            <v>S-DIAMANA-FY22 PXG-IRON-50L</v>
          </cell>
          <cell r="C1328">
            <v>57.5</v>
          </cell>
        </row>
        <row r="1329">
          <cell r="A1329" t="str">
            <v>XG020-IS-1B</v>
          </cell>
          <cell r="B1329" t="str">
            <v>S-DIAMANA-FY22 PXG-IRON-60S</v>
          </cell>
          <cell r="C1329">
            <v>65</v>
          </cell>
        </row>
        <row r="1330">
          <cell r="A1330" t="str">
            <v>XG021-IS-1B</v>
          </cell>
          <cell r="B1330" t="str">
            <v>S-DIAMANA-FY22 PXG-IRON-70S</v>
          </cell>
          <cell r="C1330">
            <v>73</v>
          </cell>
        </row>
        <row r="1331">
          <cell r="A1331" t="str">
            <v>XG022-IX-1B</v>
          </cell>
          <cell r="B1331" t="str">
            <v>S-DIAMANA-FY22 PXG-IRON-80X</v>
          </cell>
          <cell r="C1331">
            <v>86.5</v>
          </cell>
        </row>
        <row r="1332">
          <cell r="A1332" t="str">
            <v>SF281-IS-4A</v>
          </cell>
          <cell r="B1332" t="str">
            <v>N9095501/SHI 2023 Diamana IR 95 #4 S</v>
          </cell>
          <cell r="C1332">
            <v>94</v>
          </cell>
        </row>
        <row r="1333">
          <cell r="A1333" t="str">
            <v>CW149-WS-1A</v>
          </cell>
          <cell r="B1333" t="str">
            <v>3541O3/KAILI White DR 60G S-FLEX</v>
          </cell>
          <cell r="C1333">
            <v>68</v>
          </cell>
        </row>
        <row r="1334">
          <cell r="A1334" t="str">
            <v>CB041-WX-1A</v>
          </cell>
          <cell r="B1334" t="str">
            <v>SD22GX167460/KAILI Blue DR/FW 60 X</v>
          </cell>
          <cell r="C1334">
            <v>69</v>
          </cell>
        </row>
        <row r="1335">
          <cell r="A1335" t="str">
            <v>CB042-WS-1A</v>
          </cell>
          <cell r="B1335" t="str">
            <v>SD22GS172460/KAILI Blue DR/FW 70 S</v>
          </cell>
          <cell r="C1335">
            <v>72</v>
          </cell>
        </row>
        <row r="1336">
          <cell r="A1336" t="str">
            <v>CB042-WX-1A</v>
          </cell>
          <cell r="B1336" t="str">
            <v>SD22GX168460/KAILI Blue DR/FW 70 X</v>
          </cell>
          <cell r="C1336">
            <v>74</v>
          </cell>
        </row>
        <row r="1337">
          <cell r="A1337" t="str">
            <v>MX893-IS-1A</v>
          </cell>
          <cell r="B1337" t="str">
            <v>Kai'li WHITE HYBRID 90g S-Flex</v>
          </cell>
          <cell r="C1337">
            <v>91.5</v>
          </cell>
        </row>
        <row r="1338">
          <cell r="A1338" t="str">
            <v>MX893-IX-1A</v>
          </cell>
          <cell r="B1338" t="str">
            <v>Kai'li WHITE HYBRID 90g X-Flex</v>
          </cell>
          <cell r="C1338">
            <v>92.5</v>
          </cell>
        </row>
        <row r="1339">
          <cell r="A1339" t="str">
            <v>CW147-WS-1A</v>
          </cell>
          <cell r="B1339" t="str">
            <v>3541P3/KAILI White DR/FWY 70G S-FLEX</v>
          </cell>
          <cell r="C1339">
            <v>75.5</v>
          </cell>
        </row>
        <row r="1340">
          <cell r="A1340" t="str">
            <v>CW147-WX-1A</v>
          </cell>
          <cell r="B1340" t="str">
            <v>3541P4/KAILI White DR/FWY 70G X-FLEX</v>
          </cell>
          <cell r="C1340">
            <v>77.5</v>
          </cell>
        </row>
        <row r="1341">
          <cell r="A1341" t="str">
            <v>AX196-WA-1CA</v>
          </cell>
          <cell r="B1341" t="str">
            <v>3542Q1/NEW ASCENT PL DR 40G A-FLEX (LGT)</v>
          </cell>
          <cell r="C1341">
            <v>43.5</v>
          </cell>
        </row>
        <row r="1342">
          <cell r="A1342" t="str">
            <v>AX196-WR-1CA</v>
          </cell>
          <cell r="B1342" t="str">
            <v>3542Q2/NEW ASCENT PL DR 40G R-FLEX</v>
          </cell>
          <cell r="C1342">
            <v>44.5</v>
          </cell>
        </row>
        <row r="1343">
          <cell r="A1343" t="str">
            <v>AX196-WW-1CA</v>
          </cell>
          <cell r="B1343" t="str">
            <v>3542R1/NEW ASCENT PL DR 40G W-FLEX</v>
          </cell>
          <cell r="C1343">
            <v>42.5</v>
          </cell>
        </row>
        <row r="1344">
          <cell r="A1344" t="str">
            <v>AX197-WA-1CA</v>
          </cell>
          <cell r="B1344" t="str">
            <v>3542L1/NEW ASCENT PL DR/FWY 50G A-FLEX (LGT)</v>
          </cell>
          <cell r="C1344">
            <v>51.5</v>
          </cell>
        </row>
        <row r="1345">
          <cell r="A1345" t="str">
            <v>AX197-WR-1CA</v>
          </cell>
          <cell r="B1345" t="str">
            <v>3542L2/NEW ASCENT PL DR/FWY 50G R-FLEX</v>
          </cell>
          <cell r="C1345">
            <v>54.5</v>
          </cell>
        </row>
        <row r="1346">
          <cell r="A1346" t="str">
            <v>AX198-IL-1CA</v>
          </cell>
          <cell r="B1346" t="str">
            <v>3542I1/NEW ASCENT PL BLU HYB/IR 40G W-FLEX (LGT)</v>
          </cell>
          <cell r="C1346">
            <v>50.5</v>
          </cell>
        </row>
        <row r="1347">
          <cell r="A1347" t="str">
            <v>AX199-IA-1CA</v>
          </cell>
          <cell r="B1347" t="str">
            <v>3542H1/NEW ASCENT PL BLU HYB/IR 50G A-FLEX</v>
          </cell>
          <cell r="C1347">
            <v>62.5</v>
          </cell>
        </row>
        <row r="1348">
          <cell r="A1348" t="str">
            <v>CW149-WX-1A</v>
          </cell>
          <cell r="B1348" t="str">
            <v>3541O4/KAILI White DR 60G X-FLEX</v>
          </cell>
          <cell r="C1348">
            <v>69.5</v>
          </cell>
        </row>
        <row r="1349">
          <cell r="A1349" t="str">
            <v>SF280-IR-4A</v>
          </cell>
          <cell r="B1349" t="str">
            <v>N9096301/SHI 2023 Diamana IR 80 #4 R</v>
          </cell>
          <cell r="C1349">
            <v>83</v>
          </cell>
        </row>
        <row r="1350">
          <cell r="A1350" t="str">
            <v>SF280-IR-6A</v>
          </cell>
          <cell r="B1350" t="str">
            <v>N9096501/SHI 2023 Diamana IR 80 #6 R</v>
          </cell>
          <cell r="C1350">
            <v>83</v>
          </cell>
        </row>
        <row r="1351">
          <cell r="A1351" t="str">
            <v>SF280-IR-8A</v>
          </cell>
          <cell r="B1351" t="str">
            <v>N9096701/SHI 2023 Diamana IR 80 #8 R</v>
          </cell>
          <cell r="C1351">
            <v>83</v>
          </cell>
        </row>
        <row r="1352">
          <cell r="A1352" t="str">
            <v>SF280-IR-9A</v>
          </cell>
          <cell r="B1352" t="str">
            <v>N9096801/SHI 2023 Diamana IR 80 #9 R</v>
          </cell>
          <cell r="C1352">
            <v>83</v>
          </cell>
        </row>
        <row r="1353">
          <cell r="A1353" t="str">
            <v>SF280-IR-PA</v>
          </cell>
          <cell r="B1353" t="str">
            <v>N9096901/SHI 2023 Diamana IR 80 PW R</v>
          </cell>
          <cell r="C1353">
            <v>83</v>
          </cell>
        </row>
        <row r="1354">
          <cell r="A1354" t="str">
            <v>AX185-WS-1PA</v>
          </cell>
          <cell r="B1354" t="str">
            <v>35858-02/MW DRIVER ALTA J CB BLACK S (Maguro DR S-Flex)</v>
          </cell>
          <cell r="C1354">
            <v>57.7</v>
          </cell>
        </row>
        <row r="1355">
          <cell r="A1355" t="str">
            <v>AX185-WSR1PA</v>
          </cell>
          <cell r="B1355" t="str">
            <v>35858-03/MW DRIVER ALTA J CB BLACK SR (Maguro DR SR-Flex)</v>
          </cell>
          <cell r="C1355">
            <v>52.6</v>
          </cell>
        </row>
        <row r="1356">
          <cell r="A1356" t="str">
            <v>MR125-IR-5A</v>
          </cell>
          <cell r="B1356" t="str">
            <v>8469926/22 Maruman Shuttle R</v>
          </cell>
          <cell r="C1356">
            <v>55</v>
          </cell>
        </row>
        <row r="1357">
          <cell r="A1357" t="str">
            <v>MR125-WR-1A</v>
          </cell>
          <cell r="B1357" t="str">
            <v>8469835/22 Maruman Shuttle R</v>
          </cell>
          <cell r="C1357">
            <v>47.5</v>
          </cell>
        </row>
        <row r="1358">
          <cell r="A1358" t="str">
            <v>MR125-WR-1B</v>
          </cell>
          <cell r="B1358" t="str">
            <v>8469728/22 Maruman SG R</v>
          </cell>
          <cell r="C1358">
            <v>47.5</v>
          </cell>
        </row>
        <row r="1359">
          <cell r="A1359" t="str">
            <v>MR125-WS-1A</v>
          </cell>
          <cell r="B1359" t="str">
            <v>8469850/22 Maruman Shuttle S</v>
          </cell>
          <cell r="C1359">
            <v>53.5</v>
          </cell>
        </row>
        <row r="1360">
          <cell r="A1360" t="str">
            <v>MR125-WS-1B</v>
          </cell>
          <cell r="B1360" t="str">
            <v>8469744/22 Maruman SG S</v>
          </cell>
          <cell r="C1360">
            <v>53.5</v>
          </cell>
        </row>
        <row r="1361">
          <cell r="A1361" t="str">
            <v>MR125-WSR1A</v>
          </cell>
          <cell r="B1361" t="str">
            <v>8469843/22 Maruman Shuttle SR</v>
          </cell>
          <cell r="C1361">
            <v>49</v>
          </cell>
        </row>
        <row r="1362">
          <cell r="A1362" t="str">
            <v>MR125-WSR1B</v>
          </cell>
          <cell r="B1362" t="str">
            <v>8469736/22 Maruman SG SR</v>
          </cell>
          <cell r="C1362">
            <v>49</v>
          </cell>
        </row>
        <row r="1363">
          <cell r="A1363" t="str">
            <v>MR129-WA-1A</v>
          </cell>
          <cell r="B1363" t="str">
            <v>8469959/22 Maruman Shuttle/SG A</v>
          </cell>
          <cell r="C1363">
            <v>42.5</v>
          </cell>
        </row>
        <row r="1364">
          <cell r="A1364" t="str">
            <v>MR129-WL-1A</v>
          </cell>
          <cell r="B1364" t="str">
            <v>8469942/22 Maruman Shuttle/SG L</v>
          </cell>
          <cell r="C1364">
            <v>41.5</v>
          </cell>
        </row>
        <row r="1365">
          <cell r="A1365" t="str">
            <v>XG015-WSR1B</v>
          </cell>
          <cell r="B1365" t="str">
            <v>MCA Diamana PXG 50SR</v>
          </cell>
          <cell r="C1365">
            <v>57</v>
          </cell>
        </row>
        <row r="1366">
          <cell r="A1366" t="str">
            <v>XG018-IR-1B</v>
          </cell>
          <cell r="B1366" t="str">
            <v>MCA Diamana PXG Hybrid 60R</v>
          </cell>
          <cell r="C1366">
            <v>65</v>
          </cell>
        </row>
        <row r="1367">
          <cell r="A1367" t="str">
            <v>MR125-IR-5B</v>
          </cell>
          <cell r="B1367" t="str">
            <v>8469819/22 Maruman SG R</v>
          </cell>
          <cell r="C1367">
            <v>55</v>
          </cell>
        </row>
        <row r="1368">
          <cell r="A1368" t="str">
            <v>MR125-ISR5A</v>
          </cell>
          <cell r="B1368" t="str">
            <v>8469934/22 Maruman Shuttle SR</v>
          </cell>
          <cell r="C1368">
            <v>56.5</v>
          </cell>
        </row>
        <row r="1369">
          <cell r="A1369" t="str">
            <v>MR125-ISR5B</v>
          </cell>
          <cell r="B1369" t="str">
            <v>8469827/22 Maruman SG SR</v>
          </cell>
          <cell r="C1369">
            <v>56.5</v>
          </cell>
        </row>
        <row r="1370">
          <cell r="A1370" t="str">
            <v>MR129-IA-5A</v>
          </cell>
          <cell r="B1370" t="str">
            <v>8470031/22 Maruman Shuttle/SG A</v>
          </cell>
          <cell r="C1370">
            <v>46</v>
          </cell>
        </row>
        <row r="1371">
          <cell r="A1371" t="str">
            <v>MR129-IL-5A</v>
          </cell>
          <cell r="B1371" t="str">
            <v>8470023/22 Maruman Shuttle/SG L</v>
          </cell>
          <cell r="C1371">
            <v>44</v>
          </cell>
        </row>
        <row r="1372">
          <cell r="A1372" t="str">
            <v>MR125-WR-2A</v>
          </cell>
          <cell r="B1372" t="str">
            <v>8469868/22 Maruman Shuttle R</v>
          </cell>
          <cell r="C1372">
            <v>51</v>
          </cell>
        </row>
        <row r="1373">
          <cell r="A1373" t="str">
            <v>MR125-WSR2A</v>
          </cell>
          <cell r="B1373" t="str">
            <v>8469876/22 Maruman Shuttle SR</v>
          </cell>
          <cell r="C1373">
            <v>53</v>
          </cell>
        </row>
        <row r="1374">
          <cell r="A1374" t="str">
            <v>MR125-WS-2A</v>
          </cell>
          <cell r="B1374" t="str">
            <v>8469884/22 Maruman Shuttle S</v>
          </cell>
          <cell r="C1374">
            <v>57</v>
          </cell>
        </row>
        <row r="1375">
          <cell r="A1375" t="str">
            <v>MR125-WR-9A</v>
          </cell>
          <cell r="B1375" t="str">
            <v>8469892/22 Maruman Shuttle R</v>
          </cell>
          <cell r="C1375">
            <v>51.5</v>
          </cell>
        </row>
        <row r="1376">
          <cell r="A1376" t="str">
            <v>MR129-WA-3A</v>
          </cell>
          <cell r="B1376" t="str">
            <v>8469975/22 Maruman Shuttle/SG A</v>
          </cell>
          <cell r="C1376">
            <v>45.5</v>
          </cell>
        </row>
        <row r="1377">
          <cell r="A1377" t="str">
            <v>MR129-WL-3A</v>
          </cell>
          <cell r="B1377" t="str">
            <v>8469967/22 Maruman Shuttle/SG L</v>
          </cell>
          <cell r="C1377">
            <v>44.5</v>
          </cell>
        </row>
        <row r="1378">
          <cell r="A1378" t="str">
            <v>MR129-WL-9A</v>
          </cell>
          <cell r="B1378" t="str">
            <v>8469983/22 Maruman Shuttle/SG L</v>
          </cell>
          <cell r="C1378">
            <v>43</v>
          </cell>
        </row>
        <row r="1379">
          <cell r="A1379" t="str">
            <v>AX185-WR-1PA</v>
          </cell>
          <cell r="B1379" t="str">
            <v>35858-04/MW DRIVER ALTA J CB BLACK R (Maguro DR R-Flex)</v>
          </cell>
          <cell r="C1379">
            <v>47.5</v>
          </cell>
        </row>
        <row r="1380">
          <cell r="A1380" t="str">
            <v>AX124-IR-5PA</v>
          </cell>
          <cell r="B1380" t="str">
            <v>SHAFT, IRON/HYBRID, ALTA DISTANZA, SR FLEX #5</v>
          </cell>
          <cell r="C1380">
            <v>43.5</v>
          </cell>
        </row>
        <row r="1381">
          <cell r="A1381" t="str">
            <v>AX124-IR-6PA</v>
          </cell>
          <cell r="B1381" t="str">
            <v>SHAFT, IRON/HYBRID, ALTA DISTANZA, SR FLEX #6</v>
          </cell>
          <cell r="C1381">
            <v>43.6</v>
          </cell>
        </row>
        <row r="1382">
          <cell r="A1382" t="str">
            <v>AX124-IR-7PA</v>
          </cell>
          <cell r="B1382" t="str">
            <v>SHAFT, IRON/HYBRID, ALTA DISTANZA, SR FLEX #7</v>
          </cell>
          <cell r="C1382">
            <v>43</v>
          </cell>
        </row>
        <row r="1383">
          <cell r="A1383" t="str">
            <v>AX124-IR-8PA</v>
          </cell>
          <cell r="B1383" t="str">
            <v>SHAFT, IRON/HYBRID, ALTA DISTANZA, SR FLEX #8</v>
          </cell>
          <cell r="C1383">
            <v>42.5</v>
          </cell>
        </row>
        <row r="1384">
          <cell r="A1384" t="str">
            <v>AX124-IR-9PA</v>
          </cell>
          <cell r="B1384" t="str">
            <v>SHAFT, IRON/HYBRID, ALTA DISTANZA, SR FLEX #9</v>
          </cell>
          <cell r="C1384">
            <v>42.5</v>
          </cell>
        </row>
        <row r="1385">
          <cell r="A1385" t="str">
            <v>AX124-IR-PPA</v>
          </cell>
          <cell r="B1385" t="str">
            <v>SHAFT, IRON/HYBRID, ALTA DISTANZA, SR FLEX #P</v>
          </cell>
          <cell r="C1385">
            <v>42.5</v>
          </cell>
        </row>
        <row r="1386">
          <cell r="A1386" t="str">
            <v>AU216-IS-2A</v>
          </cell>
          <cell r="B1386" t="str">
            <v>2693223/HYB TENSEI 1K Black 85 S 42.0</v>
          </cell>
          <cell r="C1386">
            <v>88</v>
          </cell>
        </row>
        <row r="1387">
          <cell r="A1387" t="str">
            <v>AU216-IX-2A</v>
          </cell>
          <cell r="B1387" t="str">
            <v>2693225/HYB TENSEI 1K Black 85 X 42.0</v>
          </cell>
          <cell r="C1387">
            <v>91.5</v>
          </cell>
        </row>
        <row r="1388">
          <cell r="A1388" t="str">
            <v>AU217-IS-2A</v>
          </cell>
          <cell r="B1388" t="str">
            <v>2693227/HYB TENSEI 1K Black 95 S 42.0</v>
          </cell>
          <cell r="C1388">
            <v>100</v>
          </cell>
        </row>
        <row r="1389">
          <cell r="A1389" t="str">
            <v>AU217-IX-2A</v>
          </cell>
          <cell r="B1389" t="str">
            <v>2693229/HYB TENSEI 1K Black 95 X 42.0</v>
          </cell>
          <cell r="C1389">
            <v>103.5</v>
          </cell>
        </row>
        <row r="1390">
          <cell r="A1390" t="str">
            <v>MR125-UR-3B</v>
          </cell>
          <cell r="B1390" t="str">
            <v>8469785/22 Maruman SG R</v>
          </cell>
          <cell r="C1390">
            <v>52.5</v>
          </cell>
        </row>
        <row r="1391">
          <cell r="A1391" t="str">
            <v>MR125-US-3B</v>
          </cell>
          <cell r="B1391" t="str">
            <v>8469801/22 Maruman SG S</v>
          </cell>
          <cell r="C1391">
            <v>58</v>
          </cell>
        </row>
        <row r="1392">
          <cell r="A1392" t="str">
            <v>MR125-USR3B</v>
          </cell>
          <cell r="B1392" t="str">
            <v>8469793/22 Maruman SG SR</v>
          </cell>
          <cell r="C1392">
            <v>54</v>
          </cell>
        </row>
        <row r="1393">
          <cell r="A1393" t="str">
            <v>MR125-WR-2B</v>
          </cell>
          <cell r="B1393" t="str">
            <v>8469751/22 Maruman SG R</v>
          </cell>
          <cell r="C1393">
            <v>51</v>
          </cell>
        </row>
        <row r="1394">
          <cell r="A1394" t="str">
            <v>MR125-WS-2B</v>
          </cell>
          <cell r="B1394" t="str">
            <v>8469777/22 Maruman SG S</v>
          </cell>
          <cell r="C1394">
            <v>57</v>
          </cell>
        </row>
        <row r="1395">
          <cell r="A1395" t="str">
            <v>MR125-WSR2B</v>
          </cell>
          <cell r="B1395" t="str">
            <v>8469769/22 Maruman SG SR</v>
          </cell>
          <cell r="C1395">
            <v>53</v>
          </cell>
        </row>
        <row r="1396">
          <cell r="A1396" t="str">
            <v>MR129-UA-4A</v>
          </cell>
          <cell r="B1396" t="str">
            <v>8470015/22 Maruman Shuttle/SG A</v>
          </cell>
          <cell r="C1396">
            <v>44</v>
          </cell>
        </row>
        <row r="1397">
          <cell r="A1397" t="str">
            <v>MR129-UL-4A</v>
          </cell>
          <cell r="B1397" t="str">
            <v>8470007/22 Maruman Shuttle/SG L</v>
          </cell>
          <cell r="C1397">
            <v>42.5</v>
          </cell>
        </row>
        <row r="1398">
          <cell r="A1398" t="str">
            <v>SF271-WR-1A</v>
          </cell>
          <cell r="B1398" t="str">
            <v>N8865101/Kaili Red Ultron DR 60 R-FLEX</v>
          </cell>
          <cell r="C1398">
            <v>64.5</v>
          </cell>
        </row>
        <row r="1399">
          <cell r="A1399" t="str">
            <v>SF271-WS-1A</v>
          </cell>
          <cell r="B1399" t="str">
            <v>N8865001/Kaili Red Ultron DR 60 S-FLEX</v>
          </cell>
          <cell r="C1399">
            <v>66.5</v>
          </cell>
        </row>
        <row r="1400">
          <cell r="A1400" t="str">
            <v>SF271-WX-1A</v>
          </cell>
          <cell r="B1400" t="str">
            <v>N8864901/Kaili Red Ultron DR 60 X-FLEX</v>
          </cell>
          <cell r="C1400">
            <v>68.5</v>
          </cell>
        </row>
        <row r="1401">
          <cell r="A1401" t="str">
            <v>AU211-WA-1A</v>
          </cell>
          <cell r="B1401" t="str">
            <v>2693173/DRV/FWY MMT SpeedMesh 40 R2 (A) 46.0</v>
          </cell>
          <cell r="C1401">
            <v>45</v>
          </cell>
        </row>
        <row r="1402">
          <cell r="A1402" t="str">
            <v>AU211-WL-1A</v>
          </cell>
          <cell r="B1402" t="str">
            <v>2693171/DRV/FWY MMT SpeedMesh 35 R3 (L) 46.0</v>
          </cell>
          <cell r="C1402">
            <v>43</v>
          </cell>
        </row>
        <row r="1403">
          <cell r="A1403" t="str">
            <v>AU211-WR-1A</v>
          </cell>
          <cell r="B1403" t="str">
            <v>2693175/DRV/FWY MMT SpeedMesh 40 R 46.0</v>
          </cell>
          <cell r="C1403">
            <v>45.5</v>
          </cell>
        </row>
        <row r="1404">
          <cell r="A1404" t="str">
            <v>AU211-WS-1A</v>
          </cell>
          <cell r="B1404" t="str">
            <v>2693177/DRV/FWY MMT SpeedMesh 40 S 46.0</v>
          </cell>
          <cell r="C1404">
            <v>48.5</v>
          </cell>
        </row>
        <row r="1405">
          <cell r="A1405" t="str">
            <v>MZ041-WR-1A</v>
          </cell>
          <cell r="B1405" t="str">
            <v>2MZ824-WR-1A/KAI'LI Blue 50 R</v>
          </cell>
          <cell r="C1405">
            <v>55.5</v>
          </cell>
        </row>
        <row r="1406">
          <cell r="A1406" t="str">
            <v>MZ041-WS-1A</v>
          </cell>
          <cell r="B1406" t="str">
            <v>2MZ824-WS-1A/KAI'LI Blue 50 S</v>
          </cell>
          <cell r="C1406">
            <v>57.5</v>
          </cell>
        </row>
        <row r="1407">
          <cell r="A1407" t="str">
            <v>MZ042-WR-1A</v>
          </cell>
          <cell r="B1407" t="str">
            <v>2MZ759-WR-1A/KAI'LI Blue 60 R</v>
          </cell>
          <cell r="C1407">
            <v>65</v>
          </cell>
        </row>
        <row r="1408">
          <cell r="A1408" t="str">
            <v>MZ042-WS-1A</v>
          </cell>
          <cell r="B1408" t="str">
            <v>2MZ759-WS-1A/KAI'LI Blue 60 S</v>
          </cell>
          <cell r="C1408">
            <v>67</v>
          </cell>
        </row>
        <row r="1409">
          <cell r="A1409" t="str">
            <v>MZ043-WS-1A</v>
          </cell>
          <cell r="B1409" t="str">
            <v>2MZ760-WS-1A/KAI'LI Blue 70 S</v>
          </cell>
          <cell r="C1409">
            <v>72</v>
          </cell>
        </row>
        <row r="1410">
          <cell r="A1410" t="str">
            <v>SF245-WS-1H</v>
          </cell>
          <cell r="B1410" t="str">
            <v>N9097101/2023 Diamana TM50 SR (S-FLEX)</v>
          </cell>
          <cell r="C1410">
            <v>57.5</v>
          </cell>
        </row>
        <row r="1411">
          <cell r="A1411" t="str">
            <v>SF245-WSR1H</v>
          </cell>
          <cell r="B1411" t="str">
            <v>N9097201/2023 Diamana TM50 R (SR-FLEX)</v>
          </cell>
          <cell r="C1411">
            <v>55</v>
          </cell>
        </row>
        <row r="1412">
          <cell r="A1412" t="str">
            <v>SF245-WX-1H</v>
          </cell>
          <cell r="B1412" t="str">
            <v>N9097001/2023 Diamana TM50 S (X-FLEX)</v>
          </cell>
          <cell r="C1412">
            <v>60</v>
          </cell>
        </row>
        <row r="1413">
          <cell r="A1413" t="str">
            <v>CW148-WS-1A</v>
          </cell>
          <cell r="B1413" t="str">
            <v>3541Q3/KAILI White DR/FWY 80G S-FLEX</v>
          </cell>
          <cell r="C1413">
            <v>84</v>
          </cell>
        </row>
        <row r="1414">
          <cell r="A1414" t="str">
            <v>CW148-WX-1A</v>
          </cell>
          <cell r="B1414" t="str">
            <v>3541Q4/KAILI White DR/FWY 80G X-FLEX</v>
          </cell>
          <cell r="C1414">
            <v>86</v>
          </cell>
        </row>
        <row r="1415">
          <cell r="A1415" t="str">
            <v>CW148-WS-1AY</v>
          </cell>
          <cell r="B1415" t="str">
            <v>3545I3/KAILI White DR/FWY 80G S-FLEX (DEMO)</v>
          </cell>
          <cell r="C1415">
            <v>84</v>
          </cell>
        </row>
        <row r="1416">
          <cell r="A1416" t="str">
            <v>CW148-WX-1AY</v>
          </cell>
          <cell r="B1416" t="str">
            <v>3545I4/KAILI White DR/FWY 80G X-FLEX (DEMO)</v>
          </cell>
          <cell r="C1416">
            <v>86</v>
          </cell>
        </row>
        <row r="1417">
          <cell r="A1417" t="str">
            <v>MR125-WS-9A</v>
          </cell>
          <cell r="B1417" t="str">
            <v>8469918/22 Maruman Shuttle S</v>
          </cell>
          <cell r="C1417">
            <v>56</v>
          </cell>
        </row>
        <row r="1418">
          <cell r="A1418" t="str">
            <v>MR125-WSR9A</v>
          </cell>
          <cell r="B1418" t="str">
            <v>8469900/22 Maruman Shuttle SR</v>
          </cell>
          <cell r="C1418">
            <v>52.5</v>
          </cell>
        </row>
        <row r="1419">
          <cell r="A1419" t="str">
            <v>AU213-IR-2A</v>
          </cell>
          <cell r="B1419" t="str">
            <v>2693185/HYB MMT SpeedMesh 50 R 42.0</v>
          </cell>
          <cell r="C1419">
            <v>52.5</v>
          </cell>
        </row>
        <row r="1420">
          <cell r="A1420" t="str">
            <v>AU213-IS-2A</v>
          </cell>
          <cell r="B1420" t="str">
            <v>2693187/HYB MMT SpeedMesh 50 S 42.0</v>
          </cell>
          <cell r="C1420">
            <v>55.5</v>
          </cell>
        </row>
        <row r="1421">
          <cell r="A1421" t="str">
            <v>MX759-WR-1BO</v>
          </cell>
          <cell r="B1421" t="str">
            <v>KAI’LI BLUE 60 R-Flex</v>
          </cell>
          <cell r="C1421">
            <v>65</v>
          </cell>
        </row>
        <row r="1422">
          <cell r="A1422" t="str">
            <v>MX759-WS-1BO</v>
          </cell>
          <cell r="B1422" t="str">
            <v>KAI’LI BLUE 60 S-Flex</v>
          </cell>
          <cell r="C1422">
            <v>67</v>
          </cell>
        </row>
        <row r="1423">
          <cell r="A1423" t="str">
            <v>MX759-WX-1BO</v>
          </cell>
          <cell r="B1423" t="str">
            <v>KAI’LI BLUE 60 X-Flex</v>
          </cell>
          <cell r="C1423">
            <v>69</v>
          </cell>
        </row>
        <row r="1424">
          <cell r="A1424" t="str">
            <v>MX760-WS-1BO</v>
          </cell>
          <cell r="B1424" t="str">
            <v>KAI’LI BLUE 70 S-Flex</v>
          </cell>
          <cell r="C1424">
            <v>72</v>
          </cell>
        </row>
        <row r="1425">
          <cell r="A1425" t="str">
            <v>MX760-WX-1BO</v>
          </cell>
          <cell r="B1425" t="str">
            <v>KAI’LI BLUE 70 X-Flex</v>
          </cell>
          <cell r="C1425">
            <v>74</v>
          </cell>
        </row>
        <row r="1426">
          <cell r="A1426" t="str">
            <v>MX783-WR-1BO</v>
          </cell>
          <cell r="B1426" t="str">
            <v>KAILI White 60 R-FLEX</v>
          </cell>
          <cell r="C1426">
            <v>65.5</v>
          </cell>
        </row>
        <row r="1427">
          <cell r="A1427" t="str">
            <v>TE050-IA-1A</v>
          </cell>
          <cell r="B1427" t="str">
            <v>YCJHGA01/TENSEI AV BLUE HYBRID 65 R2-FLEX</v>
          </cell>
          <cell r="C1427">
            <v>62</v>
          </cell>
        </row>
        <row r="1428">
          <cell r="A1428" t="str">
            <v>TE050-IR-1A</v>
          </cell>
          <cell r="B1428" t="str">
            <v>YCJHGR01/TENSEI AV BLUE HYBRID 65 R-FLEX</v>
          </cell>
          <cell r="C1428">
            <v>64</v>
          </cell>
        </row>
        <row r="1429">
          <cell r="A1429" t="str">
            <v>TE050-IS-1A</v>
          </cell>
          <cell r="B1429" t="str">
            <v>YCJHGS01/TENSEI AV BLUE HYBRID 65 S-FLEX</v>
          </cell>
          <cell r="C1429">
            <v>65.5</v>
          </cell>
        </row>
        <row r="1430">
          <cell r="A1430" t="str">
            <v>AU213-IA-2A</v>
          </cell>
          <cell r="B1430" t="str">
            <v>2693183/HYB MMT SpeedMesh 50 R2 (A) 42.0</v>
          </cell>
          <cell r="C1430">
            <v>46</v>
          </cell>
        </row>
        <row r="1431">
          <cell r="A1431" t="str">
            <v>AU213-IL-2A</v>
          </cell>
          <cell r="B1431" t="str">
            <v>2693181/HYB MMT SpeedMesh 40 R3 (L) 42.0</v>
          </cell>
          <cell r="C1431">
            <v>44</v>
          </cell>
        </row>
        <row r="1432">
          <cell r="A1432" t="str">
            <v>CB039-WR-1A</v>
          </cell>
          <cell r="B1432" t="str">
            <v>SD22GR117460/KAILI White DR/FW 60 R</v>
          </cell>
          <cell r="C1432">
            <v>65.5</v>
          </cell>
        </row>
        <row r="1433">
          <cell r="A1433" t="str">
            <v>AX196-WA-1CY</v>
          </cell>
          <cell r="B1433" t="str">
            <v>3544V1/NEW ASCENT PL DR 40G A-FLEX (LGT) (DEMO)</v>
          </cell>
          <cell r="C1433">
            <v>43.5</v>
          </cell>
        </row>
        <row r="1434">
          <cell r="A1434" t="str">
            <v>AX196-WR-1CY</v>
          </cell>
          <cell r="B1434" t="str">
            <v>3544V2/NEW ASCENT PL DR 40G R-FLEX (DEMO)</v>
          </cell>
          <cell r="C1434">
            <v>44.5</v>
          </cell>
        </row>
        <row r="1435">
          <cell r="A1435" t="str">
            <v>AX196-WW-1CY</v>
          </cell>
          <cell r="B1435" t="str">
            <v>3544U1/NEW ASCENT PL DR 40G W-FLEX (DEMO)</v>
          </cell>
          <cell r="C1435">
            <v>42.5</v>
          </cell>
        </row>
        <row r="1436">
          <cell r="A1436" t="str">
            <v>AX197-WA-1CY</v>
          </cell>
          <cell r="B1436" t="str">
            <v>3545J1/NEW ASCENT PL DR/FWY 50G A-FLEX (LGT) (DEMO)</v>
          </cell>
          <cell r="C1436">
            <v>51.5</v>
          </cell>
        </row>
        <row r="1437">
          <cell r="A1437" t="str">
            <v>AX197-WR-1CY</v>
          </cell>
          <cell r="B1437" t="str">
            <v>3545J2/NEW ASCENT PL DR/FWY 50G R-FLEX (DEMO)</v>
          </cell>
          <cell r="C1437">
            <v>51.5</v>
          </cell>
        </row>
        <row r="1438">
          <cell r="A1438" t="str">
            <v>MX863-ITX1A</v>
          </cell>
          <cell r="B1438" t="str">
            <v>KAI'LI™ White Hybrid 100 TX-FLEX</v>
          </cell>
          <cell r="C1438">
            <v>106</v>
          </cell>
        </row>
        <row r="1439">
          <cell r="A1439" t="str">
            <v>MX892-ITX1A</v>
          </cell>
          <cell r="B1439" t="str">
            <v>KAI'LI™ White Hybrid 80 TX-FLEX</v>
          </cell>
          <cell r="C1439">
            <v>86</v>
          </cell>
        </row>
        <row r="1440">
          <cell r="A1440" t="str">
            <v>MX893-ITX1A</v>
          </cell>
          <cell r="B1440" t="str">
            <v>Kai'li WHITE HYBRID 90g TX-Flex</v>
          </cell>
          <cell r="C1440">
            <v>94</v>
          </cell>
        </row>
        <row r="1441">
          <cell r="A1441" t="str">
            <v>MZ042-WX-1A</v>
          </cell>
          <cell r="B1441" t="str">
            <v>2MZ759-WX-1A/KAI'LI Blue 60 X</v>
          </cell>
          <cell r="C1441">
            <v>69</v>
          </cell>
        </row>
        <row r="1442">
          <cell r="A1442" t="str">
            <v>MZ043-WX-1A</v>
          </cell>
          <cell r="B1442" t="str">
            <v>2MZ760-WX-1A/KAI'LI Blue 70 X</v>
          </cell>
          <cell r="C1442">
            <v>74</v>
          </cell>
        </row>
        <row r="1443">
          <cell r="A1443" t="str">
            <v>MX759-WS-1YO</v>
          </cell>
          <cell r="B1443" t="str">
            <v>KAI’LI BLUE 60 S-Flex (DEMO)</v>
          </cell>
          <cell r="C1443">
            <v>67</v>
          </cell>
        </row>
        <row r="1444">
          <cell r="A1444" t="str">
            <v>SF284-IS-PA</v>
          </cell>
          <cell r="B1444" t="str">
            <v>N9501401/Diamana Thump WG 95 W</v>
          </cell>
          <cell r="C1444">
            <v>96.5</v>
          </cell>
        </row>
        <row r="1445">
          <cell r="A1445" t="str">
            <v>AX198-IL-1CY</v>
          </cell>
          <cell r="B1445" t="str">
            <v>3545M1/NEW ASCENT PL BLU HYB/IR 40G L-FLEX (WMS) (DEMO)</v>
          </cell>
          <cell r="C1445">
            <v>50.5</v>
          </cell>
        </row>
        <row r="1446">
          <cell r="A1446" t="str">
            <v>AX199-IA-1CY</v>
          </cell>
          <cell r="B1446" t="str">
            <v>3545N1/NEW ASCENT PL BLU HYB/IR 50G A-FLEX (LGT)  (DEMO)</v>
          </cell>
          <cell r="C1446">
            <v>62.5</v>
          </cell>
        </row>
        <row r="1447">
          <cell r="A1447" t="str">
            <v>AX124-IR-3PA</v>
          </cell>
          <cell r="B1447" t="str">
            <v>SHAFT, IRON/HYBRID, ALTA DISTANZA, SR FLEX #3</v>
          </cell>
          <cell r="C1447">
            <v>43.5</v>
          </cell>
        </row>
        <row r="1448">
          <cell r="A1448" t="str">
            <v>MX760-WS-1YO</v>
          </cell>
          <cell r="B1448" t="str">
            <v>KAI’LI BLUE 70 S-Flex (DEMO)</v>
          </cell>
          <cell r="C1448">
            <v>72</v>
          </cell>
        </row>
        <row r="1449">
          <cell r="A1449" t="str">
            <v>MX760-WX-1YO</v>
          </cell>
          <cell r="B1449" t="str">
            <v>KAI’LI BLUE 70 X-Flex (DEMO)</v>
          </cell>
          <cell r="C1449">
            <v>74</v>
          </cell>
        </row>
        <row r="1450">
          <cell r="A1450" t="str">
            <v>MX893-IS-1YO</v>
          </cell>
          <cell r="B1450" t="str">
            <v>Kai'li White HYB 90g S flex (DEMO)</v>
          </cell>
          <cell r="C1450">
            <v>91.5</v>
          </cell>
        </row>
        <row r="1451">
          <cell r="A1451" t="str">
            <v>MX893-IX-1YO</v>
          </cell>
          <cell r="B1451" t="str">
            <v>Kai'li White HYB 90g X flex (DEMO)</v>
          </cell>
          <cell r="C1451">
            <v>92.5</v>
          </cell>
        </row>
        <row r="1452">
          <cell r="A1452" t="str">
            <v>MX759-WX-1YO</v>
          </cell>
          <cell r="B1452" t="str">
            <v>KAI’LI BLUE 60 X-Flex (DEMO)</v>
          </cell>
          <cell r="C1452">
            <v>69</v>
          </cell>
        </row>
        <row r="1453">
          <cell r="A1453" t="str">
            <v>MR126-IR-5A</v>
          </cell>
          <cell r="B1453" t="str">
            <v>8470726/23 MAJESTY Royale R</v>
          </cell>
          <cell r="C1453">
            <v>52.5</v>
          </cell>
        </row>
        <row r="1454">
          <cell r="A1454" t="str">
            <v>MR126-IR-9A</v>
          </cell>
          <cell r="B1454" t="str">
            <v>8470759/23 MAJESTY Royale R</v>
          </cell>
          <cell r="C1454">
            <v>50.5</v>
          </cell>
        </row>
        <row r="1455">
          <cell r="A1455" t="str">
            <v>MR126-IRA5A</v>
          </cell>
          <cell r="B1455" t="str">
            <v>8470718/23 MAJESTY Royale R2</v>
          </cell>
          <cell r="C1455">
            <v>50.5</v>
          </cell>
        </row>
        <row r="1456">
          <cell r="A1456" t="str">
            <v>MR126-IRA9A</v>
          </cell>
          <cell r="B1456" t="str">
            <v>8470742/23 MAJESTY Royale R2</v>
          </cell>
          <cell r="C1456">
            <v>49.5</v>
          </cell>
        </row>
        <row r="1457">
          <cell r="A1457" t="str">
            <v>MR126-ISR5A</v>
          </cell>
          <cell r="B1457" t="str">
            <v>8470734/23 MAJESTY Royale SR</v>
          </cell>
          <cell r="C1457">
            <v>54</v>
          </cell>
        </row>
        <row r="1458">
          <cell r="A1458" t="str">
            <v>MR126-ISR9A</v>
          </cell>
          <cell r="B1458" t="str">
            <v>8470767/23 MAJESTY Royale SR</v>
          </cell>
          <cell r="C1458">
            <v>52</v>
          </cell>
        </row>
        <row r="1459">
          <cell r="A1459" t="str">
            <v>MX893-IS-1AO</v>
          </cell>
          <cell r="B1459" t="str">
            <v>Kai'li White HYB 90g S flex</v>
          </cell>
          <cell r="C1459">
            <v>91.5</v>
          </cell>
        </row>
        <row r="1460">
          <cell r="A1460" t="str">
            <v>MX893-IX-1AO</v>
          </cell>
          <cell r="B1460" t="str">
            <v>Kai'li White HYB 90g X flex</v>
          </cell>
          <cell r="C1460">
            <v>92.5</v>
          </cell>
        </row>
        <row r="1461">
          <cell r="A1461" t="str">
            <v>MX892-IR-1A</v>
          </cell>
          <cell r="B1461" t="str">
            <v>Kai'li WHITE HYBRID 80g R-Flex</v>
          </cell>
          <cell r="C1461">
            <v>80.5</v>
          </cell>
        </row>
        <row r="1462">
          <cell r="A1462" t="str">
            <v>MX892-IS-1A</v>
          </cell>
          <cell r="B1462" t="str">
            <v>Kai'li WHITE HYBRID 80g S-Flex</v>
          </cell>
          <cell r="C1462">
            <v>82.5</v>
          </cell>
        </row>
        <row r="1463">
          <cell r="A1463" t="str">
            <v>MR126-UR-3A</v>
          </cell>
          <cell r="B1463" t="str">
            <v>8470684/23 MAJESTY Royale R</v>
          </cell>
          <cell r="C1463">
            <v>48</v>
          </cell>
        </row>
        <row r="1464">
          <cell r="A1464" t="str">
            <v>MR126-URA3A</v>
          </cell>
          <cell r="B1464" t="str">
            <v>8470676/23 MAJESTY Royale R2</v>
          </cell>
          <cell r="C1464">
            <v>46.5</v>
          </cell>
        </row>
        <row r="1465">
          <cell r="A1465" t="str">
            <v>MR126-US-3A</v>
          </cell>
          <cell r="B1465" t="str">
            <v>8470700/23 MAJESTY Royale R</v>
          </cell>
          <cell r="C1465">
            <v>56</v>
          </cell>
        </row>
        <row r="1466">
          <cell r="A1466" t="str">
            <v>MR126-USR3A</v>
          </cell>
          <cell r="B1466" t="str">
            <v>8470692/23 MAJESTY Royale SR</v>
          </cell>
          <cell r="C1466">
            <v>49.5</v>
          </cell>
        </row>
        <row r="1467">
          <cell r="A1467" t="str">
            <v>MR126-WR-3A</v>
          </cell>
          <cell r="B1467" t="str">
            <v>8470643/23 MAJESTY Royale R</v>
          </cell>
          <cell r="C1467">
            <v>46.5</v>
          </cell>
        </row>
        <row r="1468">
          <cell r="A1468" t="str">
            <v>MR126-WRA3A</v>
          </cell>
          <cell r="B1468" t="str">
            <v>8470635/23 MAJESTY Royale R2</v>
          </cell>
          <cell r="C1468">
            <v>45</v>
          </cell>
        </row>
        <row r="1469">
          <cell r="A1469" t="str">
            <v>MR126-WS-3A</v>
          </cell>
          <cell r="B1469" t="str">
            <v>8470668/23 MAJESTY Royale S</v>
          </cell>
          <cell r="C1469">
            <v>53.5</v>
          </cell>
        </row>
        <row r="1470">
          <cell r="A1470" t="str">
            <v>MR126-WSR3A</v>
          </cell>
          <cell r="B1470" t="str">
            <v>8470650/23 MAJESTY Royale SR</v>
          </cell>
          <cell r="C1470">
            <v>48</v>
          </cell>
        </row>
        <row r="1471">
          <cell r="A1471" t="str">
            <v>MX709-IR-TA</v>
          </cell>
          <cell r="B1471" t="str">
            <v>UPPER TUBE MMT eX PUTTER (0.370 PR)</v>
          </cell>
          <cell r="C1471">
            <v>77</v>
          </cell>
        </row>
        <row r="1472">
          <cell r="A1472" t="str">
            <v>YM117SL154X</v>
          </cell>
          <cell r="B1472" t="str">
            <v>YM117SL154X</v>
          </cell>
          <cell r="C1472">
            <v>24.4</v>
          </cell>
        </row>
        <row r="1473">
          <cell r="A1473" t="str">
            <v>MR126-WR-1A</v>
          </cell>
          <cell r="B1473" t="str">
            <v>8470601/23 MAJESTY Royale R</v>
          </cell>
          <cell r="C1473">
            <v>47</v>
          </cell>
        </row>
        <row r="1474">
          <cell r="A1474" t="str">
            <v>MR126-WRA1A</v>
          </cell>
          <cell r="B1474" t="str">
            <v>8470593/23 MAJESTY Royale R2</v>
          </cell>
          <cell r="C1474">
            <v>45.5</v>
          </cell>
        </row>
        <row r="1475">
          <cell r="A1475" t="str">
            <v>MR126-WS-1A</v>
          </cell>
          <cell r="B1475" t="str">
            <v>8470627/23 MAJESTY Royale S</v>
          </cell>
          <cell r="C1475">
            <v>53</v>
          </cell>
        </row>
        <row r="1476">
          <cell r="A1476" t="str">
            <v>MR126-WSR1A</v>
          </cell>
          <cell r="B1476" t="str">
            <v>8470619/23 MAJESTY Royale SR</v>
          </cell>
          <cell r="C1476">
            <v>49.5</v>
          </cell>
        </row>
        <row r="1477">
          <cell r="A1477" t="str">
            <v>MR129-WA-9A</v>
          </cell>
          <cell r="B1477" t="str">
            <v>8469991/22 Maruman Shuttle/SG FLEX A</v>
          </cell>
          <cell r="C1477">
            <v>45.5</v>
          </cell>
        </row>
        <row r="1478">
          <cell r="A1478" t="str">
            <v>MX876-WR-1A</v>
          </cell>
          <cell r="B1478" t="str">
            <v>KAI'LI™ Red 60 R-Flex</v>
          </cell>
          <cell r="C1478">
            <v>64.5</v>
          </cell>
        </row>
        <row r="1479">
          <cell r="A1479" t="str">
            <v>MX876-WS-1A</v>
          </cell>
          <cell r="B1479" t="str">
            <v>KAI'LI™ Red 60 S-Flex</v>
          </cell>
          <cell r="C1479">
            <v>66.5</v>
          </cell>
        </row>
        <row r="1480">
          <cell r="A1480" t="str">
            <v>MX876-WTX1A</v>
          </cell>
          <cell r="B1480" t="str">
            <v>KAI'LI™ Red 60 TX-Flex</v>
          </cell>
          <cell r="C1480">
            <v>68</v>
          </cell>
        </row>
        <row r="1481">
          <cell r="A1481" t="str">
            <v>MX876-WX-1A</v>
          </cell>
          <cell r="B1481" t="str">
            <v>KAI'LI™ Red 60 X-Flex</v>
          </cell>
          <cell r="C1481">
            <v>68.5</v>
          </cell>
        </row>
        <row r="1482">
          <cell r="A1482" t="str">
            <v>MX877-WS-1A</v>
          </cell>
          <cell r="B1482" t="str">
            <v>KAI'LI™ Red 70 S-Flex</v>
          </cell>
          <cell r="C1482">
            <v>69.5</v>
          </cell>
        </row>
        <row r="1483">
          <cell r="A1483" t="str">
            <v>MX877-WTX1A</v>
          </cell>
          <cell r="B1483" t="str">
            <v>KAI'LI™ Red 70 TX-Flex</v>
          </cell>
          <cell r="C1483">
            <v>74.5</v>
          </cell>
        </row>
        <row r="1484">
          <cell r="A1484" t="str">
            <v>MX877-WX-1A</v>
          </cell>
          <cell r="B1484" t="str">
            <v>KAI'LI™ Red 70 X-Flex</v>
          </cell>
          <cell r="C1484">
            <v>71.5</v>
          </cell>
        </row>
        <row r="1485">
          <cell r="A1485" t="str">
            <v>MX878-WTX1A</v>
          </cell>
          <cell r="B1485" t="str">
            <v>KAI'LI™ Red 80 TX-Flex</v>
          </cell>
          <cell r="C1485">
            <v>82</v>
          </cell>
        </row>
        <row r="1486">
          <cell r="A1486" t="str">
            <v>PG060-IS-TA</v>
          </cell>
          <cell r="B1486" t="str">
            <v>Trevally Graphite Putter Shaft</v>
          </cell>
          <cell r="C1486">
            <v>130</v>
          </cell>
        </row>
        <row r="1487">
          <cell r="A1487" t="str">
            <v>MX902-IR-2A</v>
          </cell>
          <cell r="B1487" t="str">
            <v>SHI 2023 Diamana IR 85 #2 R</v>
          </cell>
          <cell r="C1487">
            <v>83.5</v>
          </cell>
        </row>
        <row r="1488">
          <cell r="A1488" t="str">
            <v>MX902-IR-3A</v>
          </cell>
          <cell r="B1488" t="str">
            <v>SHI 2023 Diamana IR 85 #3 R</v>
          </cell>
          <cell r="C1488">
            <v>84</v>
          </cell>
        </row>
        <row r="1489">
          <cell r="A1489" t="str">
            <v>MX902-IR-4A</v>
          </cell>
          <cell r="B1489" t="str">
            <v>SHI 2023 Diamana IR 85 #4 R</v>
          </cell>
          <cell r="C1489">
            <v>83</v>
          </cell>
        </row>
        <row r="1490">
          <cell r="A1490" t="str">
            <v>MX902-IR-5A</v>
          </cell>
          <cell r="B1490" t="str">
            <v>SHI 2023 Diamana IR 85 #5 R</v>
          </cell>
          <cell r="C1490">
            <v>83</v>
          </cell>
        </row>
        <row r="1491">
          <cell r="A1491" t="str">
            <v>MX902-IR-6A</v>
          </cell>
          <cell r="B1491" t="str">
            <v>SHI 2023 Diamana IR 85 #6 R</v>
          </cell>
          <cell r="C1491">
            <v>83</v>
          </cell>
        </row>
        <row r="1492">
          <cell r="A1492" t="str">
            <v>MX902-IR-7A</v>
          </cell>
          <cell r="B1492" t="str">
            <v>SHI 2023 Diamana IR 85 #7 R</v>
          </cell>
          <cell r="C1492">
            <v>83</v>
          </cell>
        </row>
        <row r="1493">
          <cell r="A1493" t="str">
            <v>MX902-IR-8A</v>
          </cell>
          <cell r="B1493" t="str">
            <v>SHI 2023 Diamana IR 85 #8 R</v>
          </cell>
          <cell r="C1493">
            <v>83</v>
          </cell>
        </row>
        <row r="1494">
          <cell r="A1494" t="str">
            <v>MX902-IR-9A</v>
          </cell>
          <cell r="B1494" t="str">
            <v>SHI 2023 Diamana IR 85 #9 R</v>
          </cell>
          <cell r="C1494">
            <v>83</v>
          </cell>
        </row>
        <row r="1495">
          <cell r="A1495" t="str">
            <v>MX902-IR-PA</v>
          </cell>
          <cell r="B1495" t="str">
            <v>SHI 2023 Diamana IR 85 PW R</v>
          </cell>
          <cell r="C1495">
            <v>83</v>
          </cell>
        </row>
        <row r="1496">
          <cell r="A1496" t="str">
            <v>MX903-IS-3A</v>
          </cell>
          <cell r="B1496" t="str">
            <v>SHI 2023 Diamana IR 95 #3 S</v>
          </cell>
          <cell r="C1496">
            <v>94</v>
          </cell>
        </row>
        <row r="1497">
          <cell r="A1497" t="str">
            <v>MX903-IS-5A</v>
          </cell>
          <cell r="B1497" t="str">
            <v>SHI 2023 Diamana IR 95 #5 S</v>
          </cell>
          <cell r="C1497">
            <v>94</v>
          </cell>
        </row>
        <row r="1498">
          <cell r="A1498" t="str">
            <v>MX903-IS-6A</v>
          </cell>
          <cell r="B1498" t="str">
            <v>SHI 2023 Diamana IR 95 #6 S</v>
          </cell>
          <cell r="C1498">
            <v>94</v>
          </cell>
        </row>
        <row r="1499">
          <cell r="A1499" t="str">
            <v>MX903-IS-8A</v>
          </cell>
          <cell r="B1499" t="str">
            <v>SHI 2023 Diamana IR 95 #8 S</v>
          </cell>
          <cell r="C1499">
            <v>94</v>
          </cell>
        </row>
        <row r="1500">
          <cell r="A1500" t="str">
            <v>MX903-IS-9A</v>
          </cell>
          <cell r="B1500" t="str">
            <v>SHI 2023 Diamana IR 95 #9 S</v>
          </cell>
          <cell r="C1500">
            <v>94</v>
          </cell>
        </row>
        <row r="1501">
          <cell r="A1501" t="str">
            <v>MX903-IS-PA</v>
          </cell>
          <cell r="B1501" t="str">
            <v>SHI 2023 Diamana IR 95 PW S</v>
          </cell>
          <cell r="C1501">
            <v>94</v>
          </cell>
        </row>
        <row r="1502">
          <cell r="A1502" t="str">
            <v>MX903-IX-2A</v>
          </cell>
          <cell r="B1502" t="str">
            <v>Diamana Thump ‘23 IR 95X #2</v>
          </cell>
          <cell r="C1502">
            <v>99</v>
          </cell>
        </row>
        <row r="1503">
          <cell r="A1503" t="str">
            <v>MX903-IX-3A</v>
          </cell>
          <cell r="B1503" t="str">
            <v>Diamana Thump ‘23 IR 95X #3</v>
          </cell>
          <cell r="C1503">
            <v>98</v>
          </cell>
        </row>
        <row r="1504">
          <cell r="A1504" t="str">
            <v>MX903-IX-4A</v>
          </cell>
          <cell r="B1504" t="str">
            <v>Diamana Thump ‘23 IR 95X #4</v>
          </cell>
          <cell r="C1504">
            <v>98.5</v>
          </cell>
        </row>
        <row r="1505">
          <cell r="A1505" t="str">
            <v>MX903-IX-8A</v>
          </cell>
          <cell r="B1505" t="str">
            <v>Diamana Thump ‘23 IR 95X #8</v>
          </cell>
          <cell r="C1505">
            <v>98</v>
          </cell>
        </row>
        <row r="1506">
          <cell r="A1506" t="str">
            <v>MX903-IX-9A</v>
          </cell>
          <cell r="B1506" t="str">
            <v>Diamana Thump ‘23 IR 95X #9</v>
          </cell>
          <cell r="C1506">
            <v>98.5</v>
          </cell>
        </row>
        <row r="1507">
          <cell r="A1507" t="str">
            <v>MX903-IX-PA</v>
          </cell>
          <cell r="B1507" t="str">
            <v>Diamana Thump ‘23 IR 95X #P</v>
          </cell>
          <cell r="C1507">
            <v>97.5</v>
          </cell>
        </row>
        <row r="1508">
          <cell r="A1508" t="str">
            <v>MX904-IS-3A</v>
          </cell>
          <cell r="B1508" t="str">
            <v>Diamana Thump ‘23 IR 105S #3</v>
          </cell>
          <cell r="C1508">
            <v>106</v>
          </cell>
        </row>
        <row r="1509">
          <cell r="A1509" t="str">
            <v>MX904-IS-4A</v>
          </cell>
          <cell r="B1509" t="str">
            <v>Diamana Thump ‘23 IR 105S #4</v>
          </cell>
          <cell r="C1509">
            <v>106</v>
          </cell>
        </row>
        <row r="1510">
          <cell r="A1510" t="str">
            <v>MX904-IS-5A</v>
          </cell>
          <cell r="B1510" t="str">
            <v>Diamana Thump ‘23 IR 105S #5</v>
          </cell>
          <cell r="C1510">
            <v>106</v>
          </cell>
        </row>
        <row r="1511">
          <cell r="A1511" t="str">
            <v>MX904-IS-6A</v>
          </cell>
          <cell r="B1511" t="str">
            <v>Diamana Thump ‘23 IR 105S #6</v>
          </cell>
          <cell r="C1511">
            <v>106</v>
          </cell>
        </row>
        <row r="1512">
          <cell r="A1512" t="str">
            <v>MX904-IS-7A</v>
          </cell>
          <cell r="B1512" t="str">
            <v>Diamana Thump ‘23 IR 105S #7</v>
          </cell>
          <cell r="C1512">
            <v>106</v>
          </cell>
        </row>
        <row r="1513">
          <cell r="A1513" t="str">
            <v>MX904-IS-8A</v>
          </cell>
          <cell r="B1513" t="str">
            <v>Diamana Thump ‘23 IR 105S #8</v>
          </cell>
          <cell r="C1513">
            <v>106</v>
          </cell>
        </row>
        <row r="1514">
          <cell r="A1514" t="str">
            <v>MX904-IS-9A</v>
          </cell>
          <cell r="B1514" t="str">
            <v>Diamana Thump ‘23 IR 105S #9</v>
          </cell>
          <cell r="C1514">
            <v>106</v>
          </cell>
        </row>
        <row r="1515">
          <cell r="A1515" t="str">
            <v>MX904-IS-PA</v>
          </cell>
          <cell r="B1515" t="str">
            <v>Diamana Thump ‘23 IR 105S #P</v>
          </cell>
          <cell r="C1515">
            <v>106</v>
          </cell>
        </row>
        <row r="1516">
          <cell r="A1516" t="str">
            <v>MX904-IX-3A</v>
          </cell>
          <cell r="B1516" t="str">
            <v>Diamana Thump ‘23 IR 105X #3</v>
          </cell>
          <cell r="C1516">
            <v>107.5</v>
          </cell>
        </row>
        <row r="1517">
          <cell r="A1517" t="str">
            <v>MX904-IX-4A</v>
          </cell>
          <cell r="B1517" t="str">
            <v>Diamana Thump ‘23 IR 105X #4</v>
          </cell>
          <cell r="C1517">
            <v>107.5</v>
          </cell>
        </row>
        <row r="1518">
          <cell r="A1518" t="str">
            <v>MX904-IX-5A</v>
          </cell>
          <cell r="B1518" t="str">
            <v>Diamana Thump ‘23 IR 105X #5</v>
          </cell>
          <cell r="C1518">
            <v>107.5</v>
          </cell>
        </row>
        <row r="1519">
          <cell r="A1519" t="str">
            <v>MX904-IX-6A</v>
          </cell>
          <cell r="B1519" t="str">
            <v>Diamana Thump ‘23 IR 105X #6</v>
          </cell>
          <cell r="C1519">
            <v>107.5</v>
          </cell>
        </row>
        <row r="1520">
          <cell r="A1520" t="str">
            <v>MX904-IX-7A</v>
          </cell>
          <cell r="B1520" t="str">
            <v>Diamana Thump ‘23 IR 105X #7</v>
          </cell>
          <cell r="C1520">
            <v>106.5</v>
          </cell>
        </row>
        <row r="1521">
          <cell r="A1521" t="str">
            <v>MX904-IX-8A</v>
          </cell>
          <cell r="B1521" t="str">
            <v>Diamana Thump ‘23 IR 105X #8</v>
          </cell>
          <cell r="C1521">
            <v>106.5</v>
          </cell>
        </row>
        <row r="1522">
          <cell r="A1522" t="str">
            <v>MX904-IX-9A</v>
          </cell>
          <cell r="B1522" t="str">
            <v>Diamana Thump ‘23 IR 105X #9</v>
          </cell>
          <cell r="C1522">
            <v>106.5</v>
          </cell>
        </row>
        <row r="1523">
          <cell r="A1523" t="str">
            <v>MX904-IX-PA</v>
          </cell>
          <cell r="B1523" t="str">
            <v>Diamana Thump ‘23 IR 105X #P</v>
          </cell>
          <cell r="C1523">
            <v>106.5</v>
          </cell>
        </row>
        <row r="1524">
          <cell r="A1524" t="str">
            <v>MX905-IX-3A</v>
          </cell>
          <cell r="B1524" t="str">
            <v>Diamana Thump ‘23 IR 115X #3</v>
          </cell>
          <cell r="C1524">
            <v>115</v>
          </cell>
        </row>
        <row r="1525">
          <cell r="A1525" t="str">
            <v>MX905-IX-6A</v>
          </cell>
          <cell r="B1525" t="str">
            <v>Diamana Thump ‘23 IR 115X #6</v>
          </cell>
          <cell r="C1525">
            <v>115</v>
          </cell>
        </row>
        <row r="1526">
          <cell r="A1526" t="str">
            <v>MX905-IX-7A</v>
          </cell>
          <cell r="B1526" t="str">
            <v>Diamana Thump ‘23 IR 115X #7</v>
          </cell>
          <cell r="C1526">
            <v>115</v>
          </cell>
        </row>
        <row r="1527">
          <cell r="A1527" t="str">
            <v>MX905-IX-8A</v>
          </cell>
          <cell r="B1527" t="str">
            <v>Diamana Thump ‘23 IR 115X #8</v>
          </cell>
          <cell r="C1527">
            <v>115</v>
          </cell>
        </row>
        <row r="1528">
          <cell r="A1528" t="str">
            <v>MX905-IX-9A</v>
          </cell>
          <cell r="B1528" t="str">
            <v>Diamana Thump ‘23 IR 115X #9</v>
          </cell>
          <cell r="C1528">
            <v>115</v>
          </cell>
        </row>
        <row r="1529">
          <cell r="A1529" t="str">
            <v>MX905-IX-PA</v>
          </cell>
          <cell r="B1529" t="str">
            <v>Diamana Thump ‘23 IR 115X #P</v>
          </cell>
          <cell r="C1529">
            <v>115</v>
          </cell>
        </row>
        <row r="1530">
          <cell r="A1530" t="str">
            <v>MX914-IS-PA</v>
          </cell>
          <cell r="B1530" t="str">
            <v>Diamana Thump WEDGE 85</v>
          </cell>
          <cell r="C1530">
            <v>89</v>
          </cell>
        </row>
        <row r="1531">
          <cell r="A1531" t="str">
            <v>MX915-IS-PA</v>
          </cell>
          <cell r="B1531" t="str">
            <v>SHI 2023 Diamana Wedge 95</v>
          </cell>
          <cell r="C1531">
            <v>96.5</v>
          </cell>
        </row>
        <row r="1532">
          <cell r="A1532" t="str">
            <v>MX824-WR-1BC</v>
          </cell>
          <cell r="B1532" t="str">
            <v>KAI’LI BLUE 50 R-Flex (DEMO)</v>
          </cell>
          <cell r="C1532">
            <v>55.5</v>
          </cell>
        </row>
        <row r="1533">
          <cell r="A1533" t="str">
            <v>MX903-IX-7A</v>
          </cell>
          <cell r="B1533" t="str">
            <v>Diamana Thump ‘23 IR 95X #7</v>
          </cell>
          <cell r="C1533">
            <v>97.5</v>
          </cell>
        </row>
        <row r="1534">
          <cell r="A1534" t="str">
            <v>MX902-IS-2A</v>
          </cell>
          <cell r="B1534" t="str">
            <v>Diamana Thump ‘23 IR 85S #2</v>
          </cell>
          <cell r="C1534">
            <v>86.5</v>
          </cell>
        </row>
        <row r="1535">
          <cell r="A1535" t="str">
            <v>MX902-IS-3A</v>
          </cell>
          <cell r="B1535" t="str">
            <v>Diamana Thump ‘23 IR 85S #3</v>
          </cell>
          <cell r="C1535">
            <v>86</v>
          </cell>
        </row>
        <row r="1536">
          <cell r="A1536" t="str">
            <v>MX902-IS-4A</v>
          </cell>
          <cell r="B1536" t="str">
            <v>Diamana Thump ‘23 IR 85S #4</v>
          </cell>
          <cell r="C1536">
            <v>86</v>
          </cell>
        </row>
        <row r="1537">
          <cell r="A1537" t="str">
            <v>MX902-IS-5A</v>
          </cell>
          <cell r="B1537" t="str">
            <v>Diamana Thump ‘23 IR 85S #5</v>
          </cell>
          <cell r="C1537">
            <v>87</v>
          </cell>
        </row>
        <row r="1538">
          <cell r="A1538" t="str">
            <v>MX902-IS-6A</v>
          </cell>
          <cell r="B1538" t="str">
            <v>Diamana Thump ‘23 IR 85S #6</v>
          </cell>
          <cell r="C1538">
            <v>86</v>
          </cell>
        </row>
        <row r="1539">
          <cell r="A1539" t="str">
            <v>MX902-IS-7A</v>
          </cell>
          <cell r="B1539" t="str">
            <v>Diamana Thump ‘23 IR 85S #7</v>
          </cell>
          <cell r="C1539">
            <v>87</v>
          </cell>
        </row>
        <row r="1540">
          <cell r="A1540" t="str">
            <v>MX902-IS-8A</v>
          </cell>
          <cell r="B1540" t="str">
            <v>Diamana Thump ‘23 IR 85S #8</v>
          </cell>
          <cell r="C1540">
            <v>87</v>
          </cell>
        </row>
        <row r="1541">
          <cell r="A1541" t="str">
            <v>MX902-IS-9A</v>
          </cell>
          <cell r="B1541" t="str">
            <v>Diamana Thump ‘23 IR 85S #9</v>
          </cell>
          <cell r="C1541">
            <v>87</v>
          </cell>
        </row>
        <row r="1542">
          <cell r="A1542" t="str">
            <v>MX902-IS-PA</v>
          </cell>
          <cell r="B1542" t="str">
            <v>Diamana Thump ‘23 IR 85S #P</v>
          </cell>
          <cell r="C1542">
            <v>87</v>
          </cell>
        </row>
        <row r="1543">
          <cell r="A1543" t="str">
            <v>MX903-IS-2A</v>
          </cell>
          <cell r="B1543" t="str">
            <v>SHI 2023 Diamana IR 95 #2 S</v>
          </cell>
          <cell r="C1543">
            <v>94</v>
          </cell>
        </row>
        <row r="1544">
          <cell r="A1544" t="str">
            <v>MX903-IS-4A</v>
          </cell>
          <cell r="B1544" t="str">
            <v>SHI 2023 Diamana IR 95 #4 S</v>
          </cell>
          <cell r="C1544">
            <v>94</v>
          </cell>
        </row>
        <row r="1545">
          <cell r="A1545" t="str">
            <v>MX903-IS-7A</v>
          </cell>
          <cell r="B1545" t="str">
            <v>SHI 2023 Diamana IR 95 #7 S</v>
          </cell>
          <cell r="C1545">
            <v>94</v>
          </cell>
        </row>
        <row r="1546">
          <cell r="A1546" t="str">
            <v>MX903-IX-5A</v>
          </cell>
          <cell r="B1546" t="str">
            <v>Diamana Thump ‘23 IR 95X #5</v>
          </cell>
          <cell r="C1546">
            <v>98.5</v>
          </cell>
        </row>
        <row r="1547">
          <cell r="A1547" t="str">
            <v>MX903-IX-6A</v>
          </cell>
          <cell r="B1547" t="str">
            <v>Diamana Thump ‘23 IR 95X #6</v>
          </cell>
          <cell r="C1547">
            <v>97.5</v>
          </cell>
        </row>
        <row r="1548">
          <cell r="A1548" t="str">
            <v>MX904-IX-2A</v>
          </cell>
          <cell r="B1548" t="str">
            <v>Diamana Thump ‘23 IR 105X #2</v>
          </cell>
          <cell r="C1548">
            <v>107.5</v>
          </cell>
        </row>
        <row r="1549">
          <cell r="A1549" t="str">
            <v>MX905-IX-4A</v>
          </cell>
          <cell r="B1549" t="str">
            <v>Diamana Thump ‘23 IR 115X #4</v>
          </cell>
          <cell r="C1549">
            <v>115</v>
          </cell>
        </row>
        <row r="1550">
          <cell r="A1550" t="str">
            <v>MX905-IX-5A</v>
          </cell>
          <cell r="B1550" t="str">
            <v>Diamana Thump ‘23 IR 115X #5</v>
          </cell>
          <cell r="C1550">
            <v>115</v>
          </cell>
        </row>
        <row r="1551">
          <cell r="A1551" t="str">
            <v>AX139-IA-3AB</v>
          </cell>
          <cell r="B1551" t="str">
            <v>NV® Iron 45 A-flex</v>
          </cell>
          <cell r="C1551">
            <v>47</v>
          </cell>
        </row>
        <row r="1552">
          <cell r="A1552" t="str">
            <v>AX139-IL-3AB</v>
          </cell>
          <cell r="B1552" t="str">
            <v>NV® Iron 55 A-flex</v>
          </cell>
          <cell r="C1552">
            <v>58.5</v>
          </cell>
        </row>
        <row r="1553">
          <cell r="A1553" t="str">
            <v>AX139-IR-3AB</v>
          </cell>
          <cell r="B1553" t="str">
            <v>NV® Iron 55 R-flex</v>
          </cell>
          <cell r="C1553">
            <v>62.5</v>
          </cell>
        </row>
        <row r="1554">
          <cell r="A1554" t="str">
            <v>AX140-IA-3AB</v>
          </cell>
          <cell r="B1554" t="str">
            <v>NV® Iron 65 A-flex</v>
          </cell>
          <cell r="C1554">
            <v>62.5</v>
          </cell>
        </row>
        <row r="1555">
          <cell r="A1555" t="str">
            <v>AX140-IR-3AB</v>
          </cell>
          <cell r="B1555" t="str">
            <v>NV® Iron 65 R-flex</v>
          </cell>
          <cell r="C1555">
            <v>64.5</v>
          </cell>
        </row>
        <row r="1556">
          <cell r="A1556" t="str">
            <v>AX141-IS-3AB</v>
          </cell>
          <cell r="B1556" t="str">
            <v>NV® Iron 75 S-flex</v>
          </cell>
          <cell r="C1556">
            <v>73</v>
          </cell>
        </row>
        <row r="1557">
          <cell r="A1557" t="str">
            <v>AX142-IS-3AB</v>
          </cell>
          <cell r="B1557" t="str">
            <v>NV® Iron 85 S-flex</v>
          </cell>
          <cell r="C1557">
            <v>88</v>
          </cell>
        </row>
        <row r="1558">
          <cell r="A1558" t="str">
            <v>AX143-IS-3AB</v>
          </cell>
          <cell r="B1558" t="str">
            <v>NV® Iron 95 S-flex</v>
          </cell>
          <cell r="C1558">
            <v>97</v>
          </cell>
        </row>
        <row r="1559">
          <cell r="A1559" t="str">
            <v>MX904-IS-2A</v>
          </cell>
          <cell r="B1559" t="str">
            <v>Diamana Thump ‘23 IR 105S #2</v>
          </cell>
          <cell r="C1559">
            <v>107</v>
          </cell>
        </row>
        <row r="1560">
          <cell r="A1560" t="str">
            <v>MX905-IX-2A</v>
          </cell>
          <cell r="B1560" t="str">
            <v>Diamana Thump ‘23 IR 115X #2</v>
          </cell>
          <cell r="C1560">
            <v>115</v>
          </cell>
        </row>
        <row r="1561">
          <cell r="A1561" t="str">
            <v>MX913-IX-1A</v>
          </cell>
          <cell r="B1561" t="str">
            <v>Diamana Thump ‘23 HYB 100X</v>
          </cell>
          <cell r="C1561">
            <v>102.5</v>
          </cell>
        </row>
        <row r="1562">
          <cell r="A1562" t="str">
            <v>AX186-WA-1AA</v>
          </cell>
          <cell r="B1562" t="str">
            <v>NVS 45 A-FLEX</v>
          </cell>
          <cell r="C1562">
            <v>50</v>
          </cell>
        </row>
        <row r="1563">
          <cell r="A1563" t="str">
            <v>AX186-WL-1AA</v>
          </cell>
          <cell r="B1563" t="str">
            <v>NVS 45 L-FLEX</v>
          </cell>
          <cell r="C1563">
            <v>48.5</v>
          </cell>
        </row>
        <row r="1564">
          <cell r="A1564" t="str">
            <v>AX186-WR-1AA</v>
          </cell>
          <cell r="B1564" t="str">
            <v>NVS 45 R-FLEX</v>
          </cell>
          <cell r="C1564">
            <v>53</v>
          </cell>
        </row>
        <row r="1565">
          <cell r="A1565" t="str">
            <v>AX189-WA-1AA</v>
          </cell>
          <cell r="B1565" t="str">
            <v>NV® 55 A-FLEX</v>
          </cell>
          <cell r="C1565">
            <v>57</v>
          </cell>
        </row>
        <row r="1566">
          <cell r="A1566" t="str">
            <v>AX189-WL-1AA</v>
          </cell>
          <cell r="B1566" t="str">
            <v>NV® 55 L-FLEX</v>
          </cell>
          <cell r="C1566">
            <v>57</v>
          </cell>
        </row>
        <row r="1567">
          <cell r="A1567" t="str">
            <v>AX189-WR-1AA</v>
          </cell>
          <cell r="B1567" t="str">
            <v>NV® 55 R-FLEX</v>
          </cell>
          <cell r="C1567">
            <v>58</v>
          </cell>
        </row>
        <row r="1568">
          <cell r="A1568" t="str">
            <v>AX189-WS-1AA</v>
          </cell>
          <cell r="B1568" t="str">
            <v>NV® 55 S-FLEX</v>
          </cell>
          <cell r="C1568">
            <v>61.5</v>
          </cell>
        </row>
        <row r="1569">
          <cell r="A1569" t="str">
            <v>AX189-WX-1AA</v>
          </cell>
          <cell r="B1569" t="str">
            <v>NV® 55 X-FLEX</v>
          </cell>
          <cell r="C1569">
            <v>64.5</v>
          </cell>
        </row>
        <row r="1570">
          <cell r="A1570" t="str">
            <v>AX193-IL-1AA</v>
          </cell>
          <cell r="B1570" t="str">
            <v>NV® HYB R-FLEXID 55 L-FLEX</v>
          </cell>
          <cell r="C1570">
            <v>58</v>
          </cell>
        </row>
        <row r="1571">
          <cell r="A1571" t="str">
            <v>MX931-IS-PA</v>
          </cell>
          <cell r="B1571" t="str">
            <v>Diamana Thump WEDGE 105</v>
          </cell>
          <cell r="C1571">
            <v>107.5</v>
          </cell>
        </row>
        <row r="1572">
          <cell r="A1572" t="str">
            <v>MX906-IS-1A</v>
          </cell>
          <cell r="B1572" t="str">
            <v>Diamana Thump ‘23 HYB 370 90S</v>
          </cell>
          <cell r="C1572">
            <v>95</v>
          </cell>
        </row>
        <row r="1573">
          <cell r="A1573" t="str">
            <v>MX906-IX-1A</v>
          </cell>
          <cell r="B1573" t="str">
            <v>Diamana Thump ‘23 HYB 370 90X</v>
          </cell>
          <cell r="C1573">
            <v>96.5</v>
          </cell>
        </row>
        <row r="1574">
          <cell r="A1574" t="str">
            <v>MX907-IX-1A</v>
          </cell>
          <cell r="B1574" t="str">
            <v>Diamana Thump ‘23 HYB 370 100X</v>
          </cell>
          <cell r="C1574">
            <v>105</v>
          </cell>
        </row>
        <row r="1575">
          <cell r="A1575" t="str">
            <v>MX912-IS-1A</v>
          </cell>
          <cell r="B1575" t="str">
            <v>Diamana Thump ‘23 HYB 90S</v>
          </cell>
          <cell r="C1575">
            <v>92.5</v>
          </cell>
        </row>
        <row r="1576">
          <cell r="A1576" t="str">
            <v>MX912-IX-1A</v>
          </cell>
          <cell r="B1576" t="str">
            <v>Diamana Thump ‘23 HYB 90X</v>
          </cell>
          <cell r="C1576">
            <v>95.5</v>
          </cell>
        </row>
        <row r="1577">
          <cell r="A1577" t="str">
            <v>MX932-IS-PA</v>
          </cell>
          <cell r="B1577" t="str">
            <v>Diamana Thump WEDGE 115</v>
          </cell>
          <cell r="C1577">
            <v>117.5</v>
          </cell>
        </row>
        <row r="1578">
          <cell r="A1578" t="str">
            <v>SP404-US-2A</v>
          </cell>
          <cell r="B1578" t="str">
            <v>OTBBUSM/CB Hybrid Flex-S</v>
          </cell>
          <cell r="C1578">
            <v>74</v>
          </cell>
        </row>
        <row r="1579">
          <cell r="A1579" t="str">
            <v>AX187-WA-1AA</v>
          </cell>
          <cell r="B1579" t="str">
            <v>NVS 55 A-FLEX</v>
          </cell>
          <cell r="C1579">
            <v>56.5</v>
          </cell>
        </row>
        <row r="1580">
          <cell r="A1580" t="str">
            <v>AX187-WR-1AA</v>
          </cell>
          <cell r="B1580" t="str">
            <v>NVS 55 R-FLEX</v>
          </cell>
          <cell r="C1580">
            <v>57.5</v>
          </cell>
        </row>
        <row r="1581">
          <cell r="A1581" t="str">
            <v>AX187-WS-1AA</v>
          </cell>
          <cell r="B1581" t="str">
            <v>NVS 55 S-FLEX</v>
          </cell>
          <cell r="C1581">
            <v>61</v>
          </cell>
        </row>
        <row r="1582">
          <cell r="A1582" t="str">
            <v>AX188-WR-1AA</v>
          </cell>
          <cell r="B1582" t="str">
            <v>NVS 65 R-FLEX</v>
          </cell>
          <cell r="C1582">
            <v>66</v>
          </cell>
        </row>
        <row r="1583">
          <cell r="A1583" t="str">
            <v>AX188-WS-1AA</v>
          </cell>
          <cell r="B1583" t="str">
            <v>NVS 65 S-FLEX</v>
          </cell>
          <cell r="C1583">
            <v>67.5</v>
          </cell>
        </row>
        <row r="1584">
          <cell r="A1584" t="str">
            <v>AX190-WR-1AA</v>
          </cell>
          <cell r="B1584" t="str">
            <v>NV® 65 R-FLEX</v>
          </cell>
          <cell r="C1584">
            <v>67.5</v>
          </cell>
        </row>
        <row r="1585">
          <cell r="A1585" t="str">
            <v>AX190-WS-1AA</v>
          </cell>
          <cell r="B1585" t="str">
            <v>NV® 65 S-FLEX</v>
          </cell>
          <cell r="C1585">
            <v>70</v>
          </cell>
        </row>
        <row r="1586">
          <cell r="A1586" t="str">
            <v>AX190-WX-1AA</v>
          </cell>
          <cell r="B1586" t="str">
            <v>NV® 65 X-FLEX</v>
          </cell>
          <cell r="C1586">
            <v>72</v>
          </cell>
        </row>
        <row r="1587">
          <cell r="A1587" t="str">
            <v>AX191-WR-1AA</v>
          </cell>
          <cell r="B1587" t="str">
            <v>NV® 75 R-FLEX</v>
          </cell>
          <cell r="C1587">
            <v>75.5</v>
          </cell>
        </row>
        <row r="1588">
          <cell r="A1588" t="str">
            <v>AX191-WS-1AA</v>
          </cell>
          <cell r="B1588" t="str">
            <v>NV® 75 S-FLEX</v>
          </cell>
          <cell r="C1588">
            <v>80</v>
          </cell>
        </row>
        <row r="1589">
          <cell r="A1589" t="str">
            <v>AX191-WX-1AA</v>
          </cell>
          <cell r="B1589" t="str">
            <v>NV® 75 X-FLEX</v>
          </cell>
          <cell r="C1589">
            <v>83.5</v>
          </cell>
        </row>
        <row r="1590">
          <cell r="A1590" t="str">
            <v>AX192-WS-1AA</v>
          </cell>
          <cell r="B1590" t="str">
            <v>NV® 85 S-FLEX</v>
          </cell>
          <cell r="C1590">
            <v>86.5</v>
          </cell>
        </row>
        <row r="1591">
          <cell r="A1591" t="str">
            <v>AX192-WX-1AA</v>
          </cell>
          <cell r="B1591" t="str">
            <v>NV® 85 X-FLEX</v>
          </cell>
          <cell r="C1591">
            <v>89.5</v>
          </cell>
        </row>
        <row r="1592">
          <cell r="A1592" t="str">
            <v>AX194-IR-1AA</v>
          </cell>
          <cell r="B1592" t="str">
            <v>NV® HYB R-FLEXID 85 R-FLEX</v>
          </cell>
          <cell r="C1592">
            <v>81.5</v>
          </cell>
        </row>
        <row r="1593">
          <cell r="A1593" t="str">
            <v>AX194-IS-1AA</v>
          </cell>
          <cell r="B1593" t="str">
            <v>NV® HYB R-FLEXID 85 S-FLEX</v>
          </cell>
          <cell r="C1593">
            <v>83</v>
          </cell>
        </row>
        <row r="1594">
          <cell r="A1594" t="str">
            <v>AX194-IX-1AA</v>
          </cell>
          <cell r="B1594" t="str">
            <v>NV® HYB R-FLEXID 85 X-FLEX</v>
          </cell>
          <cell r="C1594">
            <v>85.5</v>
          </cell>
        </row>
        <row r="1595">
          <cell r="A1595" t="str">
            <v>AX195-IR-1AA</v>
          </cell>
          <cell r="B1595" t="str">
            <v>NVS HYB R-FLEXID 85 R-FLEX</v>
          </cell>
          <cell r="C1595">
            <v>80</v>
          </cell>
        </row>
        <row r="1596">
          <cell r="A1596" t="str">
            <v>AX195-IS-1AA</v>
          </cell>
          <cell r="B1596" t="str">
            <v>NVS HYB R-FLEXID 85 S-FLEX</v>
          </cell>
          <cell r="C1596">
            <v>82.5</v>
          </cell>
        </row>
        <row r="1597">
          <cell r="A1597" t="str">
            <v>MX936-WR-1A</v>
          </cell>
          <cell r="B1597" t="str">
            <v>Kai'li Red 50g R-flex</v>
          </cell>
          <cell r="C1597">
            <v>53.5</v>
          </cell>
        </row>
        <row r="1598">
          <cell r="A1598" t="str">
            <v>MX936-WS-1A</v>
          </cell>
          <cell r="B1598" t="str">
            <v>Kai'li Red 50g S-flex</v>
          </cell>
          <cell r="C1598">
            <v>55.5</v>
          </cell>
        </row>
        <row r="1599">
          <cell r="A1599" t="str">
            <v>MX889-WS-1Z</v>
          </cell>
          <cell r="B1599" t="str">
            <v>31859-55/Ping Wood Durability Shaft</v>
          </cell>
          <cell r="C1599">
            <v>68.5</v>
          </cell>
        </row>
        <row r="1600">
          <cell r="A1600" t="str">
            <v>MX669-IS-2B</v>
          </cell>
          <cell r="B1600" t="str">
            <v>MMT™ Taper 95 S-flex</v>
          </cell>
          <cell r="C1600">
            <v>93</v>
          </cell>
        </row>
        <row r="1601">
          <cell r="A1601" t="str">
            <v>MX824-WR-1BO</v>
          </cell>
          <cell r="B1601" t="str">
            <v>KAI’LI BLUE 50 R-Flex</v>
          </cell>
          <cell r="C1601">
            <v>55.5</v>
          </cell>
        </row>
        <row r="1602">
          <cell r="A1602" t="str">
            <v>MX824-WS-1BO</v>
          </cell>
          <cell r="B1602" t="str">
            <v>KAI’LI BLUE 50 S-Flex</v>
          </cell>
          <cell r="C1602">
            <v>57.5</v>
          </cell>
        </row>
        <row r="1603">
          <cell r="A1603" t="str">
            <v>MR126-IR-5B</v>
          </cell>
          <cell r="B1603" t="str">
            <v>8470908/23 MAJESTY Royale R</v>
          </cell>
          <cell r="C1603">
            <v>52.2</v>
          </cell>
        </row>
        <row r="1604">
          <cell r="A1604" t="str">
            <v>MR126-IR-9B</v>
          </cell>
          <cell r="B1604" t="str">
            <v>8470932/23 MAJESTY Royale R</v>
          </cell>
          <cell r="C1604">
            <v>50.5</v>
          </cell>
        </row>
        <row r="1605">
          <cell r="A1605" t="str">
            <v>MR126-IRA5B</v>
          </cell>
          <cell r="B1605" t="str">
            <v>8470890/23 MAJESTY Royale R2</v>
          </cell>
          <cell r="C1605">
            <v>50.5</v>
          </cell>
        </row>
        <row r="1606">
          <cell r="A1606" t="str">
            <v>MR126-IRA9B</v>
          </cell>
          <cell r="B1606" t="str">
            <v>8470924/23 MAJESTY Royale R2</v>
          </cell>
          <cell r="C1606">
            <v>49.5</v>
          </cell>
        </row>
        <row r="1607">
          <cell r="A1607" t="str">
            <v>MR126-ISR5B</v>
          </cell>
          <cell r="B1607" t="str">
            <v>8470916/23 MAJESTY Royale SR</v>
          </cell>
          <cell r="C1607">
            <v>54</v>
          </cell>
        </row>
        <row r="1608">
          <cell r="A1608" t="str">
            <v>MR126-ISR9B</v>
          </cell>
          <cell r="B1608" t="str">
            <v>8470940/23 MAJESTY Royale SR</v>
          </cell>
          <cell r="C1608">
            <v>52</v>
          </cell>
        </row>
        <row r="1609">
          <cell r="A1609" t="str">
            <v>MR126-UR-3B</v>
          </cell>
          <cell r="B1609" t="str">
            <v>8470866/23 MAJESTY Royale R</v>
          </cell>
          <cell r="C1609">
            <v>48</v>
          </cell>
        </row>
        <row r="1610">
          <cell r="A1610" t="str">
            <v>MR126-URA3B</v>
          </cell>
          <cell r="B1610" t="str">
            <v>8470858/23 MAJESTY Royale R2</v>
          </cell>
          <cell r="C1610">
            <v>46.5</v>
          </cell>
        </row>
        <row r="1611">
          <cell r="A1611" t="str">
            <v>MR126-US-3B</v>
          </cell>
          <cell r="B1611" t="str">
            <v>8470882/23 MAJESTY Royale S</v>
          </cell>
          <cell r="C1611">
            <v>56</v>
          </cell>
        </row>
        <row r="1612">
          <cell r="A1612" t="str">
            <v>MR126-USR3B</v>
          </cell>
          <cell r="B1612" t="str">
            <v>8470874/23 MAJESTY Royale SR</v>
          </cell>
          <cell r="C1612">
            <v>49.5</v>
          </cell>
        </row>
        <row r="1613">
          <cell r="A1613" t="str">
            <v>MR126-WR-1B</v>
          </cell>
          <cell r="B1613" t="str">
            <v>8470783/23 MAJESTY Royale R</v>
          </cell>
          <cell r="C1613">
            <v>47</v>
          </cell>
        </row>
        <row r="1614">
          <cell r="A1614" t="str">
            <v>MR126-WR-3B</v>
          </cell>
          <cell r="B1614" t="str">
            <v>8470825/23 MAJESTY Royale R</v>
          </cell>
          <cell r="C1614">
            <v>46.5</v>
          </cell>
        </row>
        <row r="1615">
          <cell r="A1615" t="str">
            <v>MR126-WRA1B</v>
          </cell>
          <cell r="B1615" t="str">
            <v>8470775/23 MAJESTY Royale R2</v>
          </cell>
          <cell r="C1615">
            <v>45.5</v>
          </cell>
        </row>
        <row r="1616">
          <cell r="A1616" t="str">
            <v>MR126-WRA3B</v>
          </cell>
          <cell r="B1616" t="str">
            <v>8470817/23 MAJESTY Royale R2</v>
          </cell>
          <cell r="C1616">
            <v>45</v>
          </cell>
        </row>
        <row r="1617">
          <cell r="A1617" t="str">
            <v>MR126-WS-1B</v>
          </cell>
          <cell r="B1617" t="str">
            <v>8470809/23 MAJESTY Royale S</v>
          </cell>
          <cell r="C1617">
            <v>45</v>
          </cell>
        </row>
        <row r="1618">
          <cell r="A1618" t="str">
            <v>MR126-WS-3B</v>
          </cell>
          <cell r="B1618" t="str">
            <v>8470841/23 MAJESTY Royale S</v>
          </cell>
          <cell r="C1618">
            <v>53.5</v>
          </cell>
        </row>
        <row r="1619">
          <cell r="A1619" t="str">
            <v>MR126-WSR1B</v>
          </cell>
          <cell r="B1619" t="str">
            <v>8470791/23 MAJESTY Royale SR</v>
          </cell>
          <cell r="C1619">
            <v>49.5</v>
          </cell>
        </row>
        <row r="1620">
          <cell r="A1620" t="str">
            <v>MR126-WSR3B</v>
          </cell>
          <cell r="B1620" t="str">
            <v>8470833/23 MAJESTY Royale SR</v>
          </cell>
          <cell r="C1620">
            <v>48</v>
          </cell>
        </row>
        <row r="1621">
          <cell r="A1621" t="str">
            <v>CW147-WS-1AY</v>
          </cell>
          <cell r="B1621" t="str">
            <v>3545H3/KAILI White DR/FWY 70G S-FLEX (DEMO)</v>
          </cell>
          <cell r="C1621">
            <v>75.5</v>
          </cell>
        </row>
        <row r="1622">
          <cell r="A1622" t="str">
            <v>CW147-WX-1AY</v>
          </cell>
          <cell r="B1622" t="str">
            <v>3545H4/KAILI White DR/FWY 70G X-FLEX (DEMO)</v>
          </cell>
          <cell r="C1622">
            <v>77.5</v>
          </cell>
        </row>
        <row r="1623">
          <cell r="A1623" t="str">
            <v>MX892-IX-1A</v>
          </cell>
          <cell r="B1623" t="str">
            <v>Kai'li WHITE HYBRID 80g X-Flex</v>
          </cell>
          <cell r="C1623">
            <v>84</v>
          </cell>
        </row>
        <row r="1624">
          <cell r="A1624" t="str">
            <v>MX876-WR-1AO</v>
          </cell>
          <cell r="B1624" t="str">
            <v>KAILI RED 60 R-FLEX</v>
          </cell>
          <cell r="C1624">
            <v>64.5</v>
          </cell>
        </row>
        <row r="1625">
          <cell r="A1625" t="str">
            <v>MX876-WS-1AO</v>
          </cell>
          <cell r="B1625" t="str">
            <v>KAILI RED 60 S-FLEX</v>
          </cell>
          <cell r="C1625">
            <v>66.5</v>
          </cell>
        </row>
        <row r="1626">
          <cell r="A1626" t="str">
            <v>MX876-WX-1AO</v>
          </cell>
          <cell r="B1626" t="str">
            <v>KAILI RED 60 X-FLEX</v>
          </cell>
          <cell r="C1626">
            <v>68.5</v>
          </cell>
        </row>
        <row r="1627">
          <cell r="A1627" t="str">
            <v>MX877-WS-1AO</v>
          </cell>
          <cell r="B1627" t="str">
            <v>KAILI RED 70 S-FLEX</v>
          </cell>
          <cell r="C1627">
            <v>69.5</v>
          </cell>
        </row>
        <row r="1628">
          <cell r="A1628" t="str">
            <v>MX877-WX-1AO</v>
          </cell>
          <cell r="B1628" t="str">
            <v>KAILI RED 70 X-FLEX</v>
          </cell>
          <cell r="C1628">
            <v>71.5</v>
          </cell>
        </row>
        <row r="1629">
          <cell r="A1629" t="str">
            <v>MX936-WA-1AO</v>
          </cell>
          <cell r="B1629" t="str">
            <v>KAILI RED 50 A-FLEX</v>
          </cell>
          <cell r="C1629">
            <v>51.5</v>
          </cell>
        </row>
        <row r="1630">
          <cell r="A1630" t="str">
            <v>MX936-WR-1AO</v>
          </cell>
          <cell r="B1630" t="str">
            <v>KAILI RED 50 R-FLEX</v>
          </cell>
          <cell r="C1630">
            <v>53.5</v>
          </cell>
        </row>
        <row r="1631">
          <cell r="A1631" t="str">
            <v>MX936-WS-1AO</v>
          </cell>
          <cell r="B1631" t="str">
            <v>KAILI RED 50 S-FLEX</v>
          </cell>
          <cell r="C1631">
            <v>55.5</v>
          </cell>
        </row>
        <row r="1632">
          <cell r="A1632" t="str">
            <v>MX892-IS-1AO</v>
          </cell>
          <cell r="B1632" t="str">
            <v>KAI’LI WHITE HYB 80G S-FLEX</v>
          </cell>
          <cell r="C1632">
            <v>82.5</v>
          </cell>
        </row>
        <row r="1633">
          <cell r="A1633" t="str">
            <v>MX893-ITX1AO</v>
          </cell>
          <cell r="B1633" t="str">
            <v>KAI’LI WHITE HYB 90G TX-FLEX</v>
          </cell>
          <cell r="C1633">
            <v>94</v>
          </cell>
        </row>
        <row r="1634">
          <cell r="A1634" t="str">
            <v>PG056-WR-1A</v>
          </cell>
          <cell r="B1634" t="str">
            <v>36534-01/MW MTSB KAILI WHITE 60 R-FLEX</v>
          </cell>
          <cell r="C1634">
            <v>65.5</v>
          </cell>
        </row>
        <row r="1635">
          <cell r="A1635" t="str">
            <v>SP388-IA-5A</v>
          </cell>
          <cell r="C1635">
            <v>58</v>
          </cell>
        </row>
        <row r="1636">
          <cell r="A1636" t="str">
            <v>SP405-IR-3A</v>
          </cell>
          <cell r="B1636" t="str">
            <v>MBQBIRM/23 JAPANET IRON FLEX-R</v>
          </cell>
          <cell r="C1636">
            <v>55</v>
          </cell>
        </row>
        <row r="1637">
          <cell r="A1637" t="str">
            <v>SP405-IS-3A</v>
          </cell>
          <cell r="B1637" t="str">
            <v>MBQBISM/23 JAPANET IRON FLEX-S</v>
          </cell>
          <cell r="C1637">
            <v>57</v>
          </cell>
        </row>
        <row r="1638">
          <cell r="A1638" t="str">
            <v>SP405-ISR3A</v>
          </cell>
          <cell r="B1638" t="str">
            <v>MBQBIMM/23 JAPANET IRON FLEX-SR</v>
          </cell>
          <cell r="C1638">
            <v>56</v>
          </cell>
        </row>
        <row r="1639">
          <cell r="A1639" t="str">
            <v>SP405-UR-2A</v>
          </cell>
          <cell r="B1639" t="str">
            <v>MBQBURM/23 JAPANET HYBRID FLEX-R</v>
          </cell>
          <cell r="C1639">
            <v>54</v>
          </cell>
        </row>
        <row r="1640">
          <cell r="A1640" t="str">
            <v>SP405-US-2A</v>
          </cell>
          <cell r="B1640" t="str">
            <v>MBQBUSM/23 JAPANET HYBRID FLEX-S</v>
          </cell>
          <cell r="C1640">
            <v>56</v>
          </cell>
        </row>
        <row r="1641">
          <cell r="A1641" t="str">
            <v>SP405-USR2A</v>
          </cell>
          <cell r="B1641" t="str">
            <v>MBQBUMM/23 JAPANET HYBRID FLEX-SR</v>
          </cell>
          <cell r="C1641">
            <v>55</v>
          </cell>
        </row>
        <row r="1642">
          <cell r="A1642" t="str">
            <v>SP405-WR-1A</v>
          </cell>
          <cell r="B1642" t="str">
            <v>MBQBWRM/23 JAPANET WOOD FLEX-R</v>
          </cell>
          <cell r="C1642">
            <v>51.5</v>
          </cell>
        </row>
        <row r="1643">
          <cell r="A1643" t="str">
            <v>SP405-WS-1A</v>
          </cell>
          <cell r="B1643" t="str">
            <v>MBQBWSM/23 JAPANET WOOD FLEX-S</v>
          </cell>
          <cell r="C1643">
            <v>54.5</v>
          </cell>
        </row>
        <row r="1644">
          <cell r="A1644" t="str">
            <v>SP405-WSR1A</v>
          </cell>
          <cell r="B1644" t="str">
            <v>MBQBWMM/23 JAPANET WOOD FLEX-SR</v>
          </cell>
          <cell r="C1644">
            <v>53</v>
          </cell>
        </row>
        <row r="1645">
          <cell r="A1645" t="str">
            <v>MX936-WA-1A</v>
          </cell>
          <cell r="B1645" t="str">
            <v>Kai'li Red 50g A-flex</v>
          </cell>
          <cell r="C1645">
            <v>51.5</v>
          </cell>
        </row>
        <row r="1646">
          <cell r="A1646" t="str">
            <v>XG041-IS-1A</v>
          </cell>
          <cell r="B1646" t="str">
            <v>S-TENSEIAV-HYB-WHT-85-S/Tensei AV Xlink White HYB 85-S-FLEX</v>
          </cell>
          <cell r="C1646">
            <v>82</v>
          </cell>
        </row>
        <row r="1647">
          <cell r="A1647" t="str">
            <v>MX761-WX-1BO</v>
          </cell>
          <cell r="B1647" t="str">
            <v>KAI’LI BLUE 80 X-Flex (ACP)</v>
          </cell>
          <cell r="C1647">
            <v>82.5</v>
          </cell>
        </row>
        <row r="1648">
          <cell r="A1648" t="str">
            <v>XG011-WR-1B</v>
          </cell>
          <cell r="B1648" t="str">
            <v>S-DIAM-2023-SPLUS-60R/Diamana 2023 S+  60 R-FLEX</v>
          </cell>
          <cell r="C1648">
            <v>62</v>
          </cell>
        </row>
        <row r="1649">
          <cell r="A1649" t="str">
            <v>XG011-WS-1B</v>
          </cell>
          <cell r="B1649" t="str">
            <v>S-DIAM-2023-SPLUS-60S/Diamana 2023 S+  60 S-FLEX</v>
          </cell>
          <cell r="C1649">
            <v>65</v>
          </cell>
        </row>
        <row r="1650">
          <cell r="A1650" t="str">
            <v>XG012-WS-1B</v>
          </cell>
          <cell r="B1650" t="str">
            <v>S-DIAM-2023-SPLUS-70S/Diamana 2023 S+  70 S-FLEX</v>
          </cell>
          <cell r="C1650">
            <v>75.5</v>
          </cell>
        </row>
        <row r="1651">
          <cell r="A1651" t="str">
            <v>SF244-IS-3C</v>
          </cell>
          <cell r="B1651" t="str">
            <v>N8869701/Kaili Red Ultron HYB 85 S-FLEX</v>
          </cell>
          <cell r="C1651">
            <v>79.5</v>
          </cell>
        </row>
        <row r="1652">
          <cell r="A1652" t="str">
            <v>SF245-WR-1G</v>
          </cell>
          <cell r="B1652" t="str">
            <v>N9084301/Tensei Red DR/FWY TM50 R</v>
          </cell>
          <cell r="C1652">
            <v>52.5</v>
          </cell>
        </row>
        <row r="1653">
          <cell r="A1653" t="str">
            <v>SF250-IS-3C</v>
          </cell>
          <cell r="B1653" t="str">
            <v>N8869601/Kaili Red Ultron HYB 95 X-FLEX</v>
          </cell>
          <cell r="C1653">
            <v>96</v>
          </cell>
        </row>
        <row r="1654">
          <cell r="A1654" t="str">
            <v>MR134-IL-5A</v>
          </cell>
          <cell r="B1654" t="str">
            <v>8471617/17 Shuttle Reproduction Iron L</v>
          </cell>
          <cell r="C1654">
            <v>46.5</v>
          </cell>
        </row>
        <row r="1655">
          <cell r="A1655" t="str">
            <v>MR134-UL-3A</v>
          </cell>
          <cell r="B1655" t="str">
            <v>8471609/17 Shuttle Reproduction Utility L</v>
          </cell>
          <cell r="C1655">
            <v>43.5</v>
          </cell>
        </row>
        <row r="1656">
          <cell r="A1656" t="str">
            <v>MR134-WL-1A</v>
          </cell>
          <cell r="B1656" t="str">
            <v>8471583/17 Shuttle Reproduction Driver L</v>
          </cell>
          <cell r="C1656">
            <v>44</v>
          </cell>
        </row>
        <row r="1657">
          <cell r="A1657" t="str">
            <v>MR134-WL-3A</v>
          </cell>
          <cell r="B1657" t="str">
            <v>8471591/17 Shuttle Reproduction Fairway L</v>
          </cell>
          <cell r="C1657">
            <v>45.5</v>
          </cell>
        </row>
        <row r="1658">
          <cell r="A1658" t="str">
            <v>MR137-IL-5A</v>
          </cell>
          <cell r="B1658" t="str">
            <v>8472359/23 Maruman Gold? L</v>
          </cell>
          <cell r="C1658">
            <v>46.5</v>
          </cell>
        </row>
        <row r="1659">
          <cell r="A1659" t="str">
            <v>MR137-UL-1A</v>
          </cell>
          <cell r="B1659" t="str">
            <v>8472342/23 Maruman Gold? L</v>
          </cell>
          <cell r="C1659">
            <v>47</v>
          </cell>
        </row>
        <row r="1660">
          <cell r="A1660" t="str">
            <v>MR137-WL-1A</v>
          </cell>
          <cell r="B1660" t="str">
            <v>8472326/23 Maruman Gold? L</v>
          </cell>
          <cell r="C1660">
            <v>48.5</v>
          </cell>
        </row>
        <row r="1661">
          <cell r="A1661" t="str">
            <v>MR137-WL-3A</v>
          </cell>
          <cell r="B1661" t="str">
            <v>8472334/23 Maruman Gold? L</v>
          </cell>
          <cell r="C1661">
            <v>48.5</v>
          </cell>
        </row>
        <row r="1662">
          <cell r="A1662" t="str">
            <v>MX919-WR-1A</v>
          </cell>
          <cell r="B1662" t="str">
            <v>TENSEI™ AV Series Red 55 R-flex</v>
          </cell>
          <cell r="C1662">
            <v>58.5</v>
          </cell>
        </row>
        <row r="1663">
          <cell r="A1663" t="str">
            <v>SF283-WX-1A</v>
          </cell>
          <cell r="B1663" t="str">
            <v>N8895101/Diamana S+ Fury 60 X-FLEX</v>
          </cell>
          <cell r="C1663">
            <v>70.5</v>
          </cell>
        </row>
        <row r="1664">
          <cell r="A1664" t="str">
            <v>MR135-IL-5A</v>
          </cell>
          <cell r="B1664" t="str">
            <v>8471575/19 SHUTTLE Reproduction Iron L</v>
          </cell>
          <cell r="C1664">
            <v>47</v>
          </cell>
        </row>
        <row r="1665">
          <cell r="A1665" t="str">
            <v>MR135-UL-3A</v>
          </cell>
          <cell r="B1665" t="str">
            <v>8471567/19 Shuttle Reproduction Utility L</v>
          </cell>
          <cell r="C1665">
            <v>44</v>
          </cell>
        </row>
        <row r="1666">
          <cell r="A1666" t="str">
            <v>MR135-WL-1A</v>
          </cell>
          <cell r="B1666" t="str">
            <v>8471542/19 SHUTTLE Reproduction Driver L</v>
          </cell>
          <cell r="C1666">
            <v>45</v>
          </cell>
        </row>
        <row r="1667">
          <cell r="A1667" t="str">
            <v>MR135-WL-3A</v>
          </cell>
          <cell r="B1667" t="str">
            <v>8471559/19 SHUTTLE Reproduction Fairway L</v>
          </cell>
          <cell r="C1667">
            <v>45</v>
          </cell>
        </row>
        <row r="1668">
          <cell r="A1668" t="str">
            <v>AX204-WA-1SA</v>
          </cell>
          <cell r="B1668" t="str">
            <v>11238396/ASCENT PL 40 A-flex</v>
          </cell>
          <cell r="C1668">
            <v>43.5</v>
          </cell>
        </row>
        <row r="1669">
          <cell r="A1669" t="str">
            <v>AX204-WL-1SA</v>
          </cell>
          <cell r="B1669" t="str">
            <v>11238397/ASCENT PL 40 L-flex</v>
          </cell>
          <cell r="C1669">
            <v>42.5</v>
          </cell>
        </row>
        <row r="1670">
          <cell r="A1670" t="str">
            <v>AX205-IL-1SA</v>
          </cell>
          <cell r="B1670" t="str">
            <v>11238397/ASCENT PL 40 L-flex</v>
          </cell>
          <cell r="C1670">
            <v>50.5</v>
          </cell>
        </row>
        <row r="1671">
          <cell r="A1671" t="str">
            <v>AX207-IA-1SA</v>
          </cell>
          <cell r="B1671" t="str">
            <v>11238400/ASCENT PL Hybrid 50 A-flex</v>
          </cell>
          <cell r="C1671">
            <v>59</v>
          </cell>
        </row>
        <row r="1672">
          <cell r="A1672" t="str">
            <v>AX204-WR-1SA</v>
          </cell>
          <cell r="B1672" t="str">
            <v>11238395/ASCENT PL 40 R-flex</v>
          </cell>
          <cell r="C1672">
            <v>44.5</v>
          </cell>
        </row>
        <row r="1673">
          <cell r="A1673" t="str">
            <v>AX204-WS-1SA</v>
          </cell>
          <cell r="B1673" t="str">
            <v>11238394/ASCENT PL 50 S-flex</v>
          </cell>
          <cell r="C1673">
            <v>47</v>
          </cell>
        </row>
        <row r="1674">
          <cell r="A1674" t="str">
            <v>MX784-WX-1B</v>
          </cell>
          <cell r="B1674" t="str">
            <v>KAI'LI™ White 70 X-Flex</v>
          </cell>
          <cell r="C1674">
            <v>77.5</v>
          </cell>
        </row>
        <row r="1675">
          <cell r="A1675" t="str">
            <v>MX933-IS-1A</v>
          </cell>
          <cell r="B1675" t="str">
            <v>Tensei 1K Black Hybrid 85g S-Flex</v>
          </cell>
          <cell r="C1675">
            <v>88</v>
          </cell>
        </row>
        <row r="1676">
          <cell r="A1676" t="str">
            <v>MX933-IX-1A</v>
          </cell>
          <cell r="B1676" t="str">
            <v>Tensei 1K Black Hybrid 85g X-Flex</v>
          </cell>
          <cell r="C1676">
            <v>91.5</v>
          </cell>
        </row>
        <row r="1677">
          <cell r="A1677" t="str">
            <v>MX934-IS-1A</v>
          </cell>
          <cell r="B1677" t="str">
            <v>Tensei 1K Black Hybrid 95g S-Flex</v>
          </cell>
          <cell r="C1677">
            <v>100</v>
          </cell>
        </row>
        <row r="1678">
          <cell r="A1678" t="str">
            <v>MX934-IX-1A</v>
          </cell>
          <cell r="B1678" t="str">
            <v>Tensei 1K Black Hybrid 95g X-Flex</v>
          </cell>
          <cell r="C1678">
            <v>103.5</v>
          </cell>
        </row>
        <row r="1679">
          <cell r="A1679" t="str">
            <v>YR088-WR-1Z</v>
          </cell>
          <cell r="B1679" t="str">
            <v>YR088-WR-1Z</v>
          </cell>
          <cell r="C1679">
            <v>72.5</v>
          </cell>
        </row>
        <row r="1680">
          <cell r="A1680" t="str">
            <v>YR181-WR-1Z</v>
          </cell>
          <cell r="B1680" t="str">
            <v>PRGR Durable shaft Tip OD 9.2mm</v>
          </cell>
          <cell r="C1680">
            <v>74.5</v>
          </cell>
        </row>
        <row r="1681">
          <cell r="A1681" t="str">
            <v>AX202-WR-1EA</v>
          </cell>
          <cell r="B1681" t="str">
            <v>YA4WGR01/ALDILA ASCENT PL 50R GRAPH WOOD SHAFT R-FLEX</v>
          </cell>
          <cell r="C1681">
            <v>60.5</v>
          </cell>
        </row>
        <row r="1682">
          <cell r="A1682" t="str">
            <v>AX202-WS-1EA</v>
          </cell>
          <cell r="B1682" t="str">
            <v>YA4WGS01/ALDILA ASCENT PL 55S GRAPH WOOD SHAFT S-FLEX</v>
          </cell>
          <cell r="C1682">
            <v>62.5</v>
          </cell>
        </row>
        <row r="1683">
          <cell r="A1683" t="str">
            <v>AX203-IR-1EA</v>
          </cell>
          <cell r="B1683" t="str">
            <v>YA4IGR01/ALDILA ASCENT PL 55R GRAPH IRON SHAFT R-FLEX</v>
          </cell>
          <cell r="C1683">
            <v>59</v>
          </cell>
        </row>
        <row r="1684">
          <cell r="A1684" t="str">
            <v>AX203-IS-1EA</v>
          </cell>
          <cell r="B1684" t="str">
            <v>YA4IGS01/ALDILA ASCENT PL 60S GRAPH IRON SHAFT S-FLEX</v>
          </cell>
          <cell r="C1684">
            <v>60</v>
          </cell>
        </row>
        <row r="1685">
          <cell r="A1685" t="str">
            <v>CW158-IS-2A</v>
          </cell>
          <cell r="B1685" t="str">
            <v>3553S3/SF WD MCA TENSEI 70 GR STF JV (S-FLEX)</v>
          </cell>
          <cell r="C1685">
            <v>69.5</v>
          </cell>
        </row>
        <row r="1686">
          <cell r="A1686" t="str">
            <v>YM127-WS-3A</v>
          </cell>
          <cell r="B1686" t="str">
            <v>24RMX ATHLETE Wood #3 S</v>
          </cell>
          <cell r="C1686">
            <v>68.5</v>
          </cell>
        </row>
        <row r="1687">
          <cell r="A1687" t="str">
            <v>YM128-IR-7A</v>
          </cell>
          <cell r="B1687" t="str">
            <v>24RMX IRON #7 R</v>
          </cell>
          <cell r="C1687">
            <v>71</v>
          </cell>
        </row>
        <row r="1688">
          <cell r="A1688" t="str">
            <v>YM128-ISR7A</v>
          </cell>
          <cell r="B1688" t="str">
            <v>24RMX IRON #7 SR</v>
          </cell>
          <cell r="C1688">
            <v>73.5</v>
          </cell>
        </row>
        <row r="1689">
          <cell r="A1689" t="str">
            <v>YM128-UR-2A</v>
          </cell>
          <cell r="B1689" t="str">
            <v>24RMX UTILITY #2 R</v>
          </cell>
          <cell r="C1689">
            <v>58.5</v>
          </cell>
        </row>
        <row r="1690">
          <cell r="A1690" t="str">
            <v>YM128-US-2A</v>
          </cell>
          <cell r="B1690" t="str">
            <v>24RMX UTILITY #2 S</v>
          </cell>
          <cell r="C1690">
            <v>62</v>
          </cell>
        </row>
        <row r="1691">
          <cell r="A1691" t="str">
            <v>YM128-USR2A</v>
          </cell>
          <cell r="B1691" t="str">
            <v>24RMX UTILITY #2 SR</v>
          </cell>
          <cell r="C1691">
            <v>60.5</v>
          </cell>
        </row>
        <row r="1692">
          <cell r="A1692" t="str">
            <v>YM128-WR-1A</v>
          </cell>
          <cell r="B1692" t="str">
            <v>24RMX Wood #1 R</v>
          </cell>
          <cell r="C1692">
            <v>49.5</v>
          </cell>
        </row>
        <row r="1693">
          <cell r="A1693" t="str">
            <v>YM128-WR-3A</v>
          </cell>
          <cell r="B1693" t="str">
            <v>24RMX Wood #3 R</v>
          </cell>
          <cell r="C1693">
            <v>54</v>
          </cell>
        </row>
        <row r="1694">
          <cell r="A1694" t="str">
            <v>YM128-WS-1A</v>
          </cell>
          <cell r="B1694" t="str">
            <v>24RMX Wood #1 S</v>
          </cell>
          <cell r="C1694">
            <v>53.5</v>
          </cell>
        </row>
        <row r="1695">
          <cell r="A1695" t="str">
            <v>YM128-WS-3A</v>
          </cell>
          <cell r="B1695" t="str">
            <v>24RMX Wood #3 S</v>
          </cell>
          <cell r="C1695">
            <v>56.5</v>
          </cell>
        </row>
        <row r="1696">
          <cell r="A1696" t="str">
            <v>YM128-WSR1A</v>
          </cell>
          <cell r="B1696" t="str">
            <v>24RMX Wood #1 SR</v>
          </cell>
          <cell r="C1696">
            <v>52</v>
          </cell>
        </row>
        <row r="1697">
          <cell r="A1697" t="str">
            <v>YM128-WSR3A</v>
          </cell>
          <cell r="B1697" t="str">
            <v>24RMX Wood #3 SR</v>
          </cell>
          <cell r="C1697">
            <v>55.5</v>
          </cell>
        </row>
        <row r="1698">
          <cell r="A1698" t="str">
            <v>YM127-US-2A</v>
          </cell>
          <cell r="C1698">
            <v>78.5</v>
          </cell>
        </row>
        <row r="1699">
          <cell r="A1699" t="str">
            <v>YM128-IR-5A</v>
          </cell>
          <cell r="C1699">
            <v>71.5</v>
          </cell>
        </row>
        <row r="1700">
          <cell r="A1700" t="str">
            <v>YM128-IR-6A</v>
          </cell>
          <cell r="C1700">
            <v>71.5</v>
          </cell>
        </row>
        <row r="1701">
          <cell r="A1701" t="str">
            <v>YM128-IR-8A</v>
          </cell>
          <cell r="C1701">
            <v>73.5</v>
          </cell>
        </row>
        <row r="1702">
          <cell r="A1702" t="str">
            <v>YM128-IR-9A</v>
          </cell>
          <cell r="C1702">
            <v>73.5</v>
          </cell>
        </row>
        <row r="1703">
          <cell r="A1703" t="str">
            <v>YM128-IR-PA</v>
          </cell>
          <cell r="C1703">
            <v>76</v>
          </cell>
        </row>
        <row r="1704">
          <cell r="A1704" t="str">
            <v>YM128-ISR5A</v>
          </cell>
          <cell r="C1704">
            <v>72.5</v>
          </cell>
        </row>
        <row r="1705">
          <cell r="A1705" t="str">
            <v>YM128-ISR6A</v>
          </cell>
          <cell r="C1705">
            <v>73</v>
          </cell>
        </row>
        <row r="1706">
          <cell r="A1706" t="str">
            <v>YM128-ISR8A</v>
          </cell>
          <cell r="C1706">
            <v>75.5</v>
          </cell>
        </row>
        <row r="1707">
          <cell r="A1707" t="str">
            <v>YM128-ISR9A</v>
          </cell>
          <cell r="C1707">
            <v>75.5</v>
          </cell>
        </row>
        <row r="1708">
          <cell r="A1708" t="str">
            <v>YM128-ISRPA</v>
          </cell>
          <cell r="C1708">
            <v>77</v>
          </cell>
        </row>
        <row r="1709">
          <cell r="A1709" t="str">
            <v>CW158-ISR2A</v>
          </cell>
          <cell r="B1709" t="str">
            <v>3553S5/SF WD MCA TENSEI 70 GR SR JV (SR-FLEX)</v>
          </cell>
          <cell r="C1709">
            <v>68</v>
          </cell>
        </row>
        <row r="1710">
          <cell r="A1710" t="str">
            <v>CW158-IR-2A</v>
          </cell>
          <cell r="B1710" t="str">
            <v>3553S2/SF WD MCA TENSEI 70 GR REG JV (R-FLEX)</v>
          </cell>
          <cell r="C1710">
            <v>66.5</v>
          </cell>
        </row>
        <row r="1711">
          <cell r="A1711" t="str">
            <v>SF283-WR-1A</v>
          </cell>
          <cell r="B1711" t="str">
            <v>N8895301/Diamana S+ Fury 60 R-FLEX</v>
          </cell>
          <cell r="C1711">
            <v>64.5</v>
          </cell>
        </row>
        <row r="1712">
          <cell r="A1712" t="str">
            <v>R-MX903-IS-2A</v>
          </cell>
          <cell r="B1712" t="str">
            <v>Diamana Thump ‘23 IR 95S #2</v>
          </cell>
          <cell r="C1712">
            <v>94</v>
          </cell>
        </row>
        <row r="1713">
          <cell r="A1713" t="str">
            <v>R-MX903-IS-3A</v>
          </cell>
          <cell r="B1713" t="str">
            <v>Diamana Thump ‘23 IR 95S #3</v>
          </cell>
          <cell r="C1713">
            <v>94</v>
          </cell>
        </row>
        <row r="1714">
          <cell r="A1714" t="str">
            <v>R-MX903-IS-4A</v>
          </cell>
          <cell r="B1714" t="str">
            <v>Diamana Thump ‘23 IR 95S #4</v>
          </cell>
          <cell r="C1714">
            <v>94</v>
          </cell>
        </row>
        <row r="1715">
          <cell r="A1715" t="str">
            <v>R-MX903-IS-5A</v>
          </cell>
          <cell r="B1715" t="str">
            <v>Diamana Thump ‘23 IR 95S #5</v>
          </cell>
          <cell r="C1715">
            <v>94</v>
          </cell>
        </row>
        <row r="1716">
          <cell r="A1716" t="str">
            <v>R-MX903-IS-6A</v>
          </cell>
          <cell r="B1716" t="str">
            <v>Diamana Thump ‘23 IR 95S #6</v>
          </cell>
          <cell r="C1716">
            <v>94</v>
          </cell>
        </row>
        <row r="1717">
          <cell r="A1717" t="str">
            <v>R-MX903-IS-7A</v>
          </cell>
          <cell r="B1717" t="str">
            <v>Diamana Thump ‘23 IR 95S #7</v>
          </cell>
          <cell r="C1717">
            <v>94</v>
          </cell>
        </row>
        <row r="1718">
          <cell r="A1718" t="str">
            <v>R-MX903-IS-8A</v>
          </cell>
          <cell r="B1718" t="str">
            <v>Diamana Thump ‘23 IR 95S #8</v>
          </cell>
          <cell r="C1718">
            <v>94</v>
          </cell>
        </row>
        <row r="1719">
          <cell r="A1719" t="str">
            <v>R-MX903-IS-9A</v>
          </cell>
          <cell r="B1719" t="str">
            <v>Diamana Thump ‘23 IR 95S #9</v>
          </cell>
          <cell r="C1719">
            <v>94</v>
          </cell>
        </row>
        <row r="1720">
          <cell r="A1720" t="str">
            <v>R-MX903-IS-PA</v>
          </cell>
          <cell r="B1720" t="str">
            <v>Diamana Thump ‘23 IR 95S #P</v>
          </cell>
          <cell r="C1720">
            <v>94</v>
          </cell>
        </row>
        <row r="1721">
          <cell r="A1721" t="str">
            <v>R-MX904-IS-2A</v>
          </cell>
          <cell r="B1721" t="str">
            <v>Diamana Thump ‘23 IR 105S #2</v>
          </cell>
          <cell r="C1721">
            <v>107</v>
          </cell>
        </row>
        <row r="1722">
          <cell r="A1722" t="str">
            <v>R-MX904-IS-3A</v>
          </cell>
          <cell r="B1722" t="str">
            <v>Diamana Thump ‘23 IR 105S #3</v>
          </cell>
          <cell r="C1722">
            <v>106</v>
          </cell>
        </row>
        <row r="1723">
          <cell r="A1723" t="str">
            <v>R-MX904-IS-4A</v>
          </cell>
          <cell r="B1723" t="str">
            <v>Diamana Thump ‘23 IR 105S #4</v>
          </cell>
          <cell r="C1723">
            <v>106</v>
          </cell>
        </row>
        <row r="1724">
          <cell r="A1724" t="str">
            <v>R-MX904-IS-5A</v>
          </cell>
          <cell r="B1724" t="str">
            <v>Diamana Thump ‘23 IR 105S #5</v>
          </cell>
          <cell r="C1724">
            <v>106</v>
          </cell>
        </row>
        <row r="1725">
          <cell r="A1725" t="str">
            <v>R-MX904-IS-6A</v>
          </cell>
          <cell r="B1725" t="str">
            <v>Diamana Thump ‘23 IR 105S #6</v>
          </cell>
          <cell r="C1725">
            <v>106</v>
          </cell>
        </row>
        <row r="1726">
          <cell r="A1726" t="str">
            <v>R-MX904-IS-7A</v>
          </cell>
          <cell r="B1726" t="str">
            <v>Diamana Thump ‘23 IR 105S #7</v>
          </cell>
          <cell r="C1726">
            <v>106</v>
          </cell>
        </row>
        <row r="1727">
          <cell r="A1727" t="str">
            <v>R-MX904-IS-8A</v>
          </cell>
          <cell r="B1727" t="str">
            <v>Diamana Thump ‘23 IR 105S #8</v>
          </cell>
          <cell r="C1727">
            <v>106</v>
          </cell>
        </row>
        <row r="1728">
          <cell r="A1728" t="str">
            <v>R-MX904-IS-9A</v>
          </cell>
          <cell r="B1728" t="str">
            <v>Diamana Thump ‘23 IR 105S #9</v>
          </cell>
          <cell r="C1728">
            <v>106</v>
          </cell>
        </row>
        <row r="1729">
          <cell r="A1729" t="str">
            <v>R-MX904-IS-PA</v>
          </cell>
          <cell r="B1729" t="str">
            <v>Diamana Thump ‘23 IR 105S #P</v>
          </cell>
          <cell r="C1729">
            <v>106</v>
          </cell>
        </row>
        <row r="1730">
          <cell r="A1730" t="str">
            <v>R-MX904-IX-2A</v>
          </cell>
          <cell r="B1730" t="str">
            <v>Diamana Thump ‘23 IR 105X #2</v>
          </cell>
          <cell r="C1730">
            <v>107.5</v>
          </cell>
        </row>
        <row r="1731">
          <cell r="A1731" t="str">
            <v>R-MX904-IX-3A</v>
          </cell>
          <cell r="B1731" t="str">
            <v>Diamana Thump ‘23 IR 105X #3</v>
          </cell>
          <cell r="C1731">
            <v>107.5</v>
          </cell>
        </row>
        <row r="1732">
          <cell r="A1732" t="str">
            <v>R-MX904-IX-4A</v>
          </cell>
          <cell r="B1732" t="str">
            <v>Diamana Thump ‘23 IR 105X #4</v>
          </cell>
          <cell r="C1732">
            <v>107.5</v>
          </cell>
        </row>
        <row r="1733">
          <cell r="A1733" t="str">
            <v>R-MX904-IX-5A</v>
          </cell>
          <cell r="B1733" t="str">
            <v>Diamana Thump ‘23 IR 105X #5</v>
          </cell>
          <cell r="C1733">
            <v>107.5</v>
          </cell>
        </row>
        <row r="1734">
          <cell r="A1734" t="str">
            <v>R-MX904-IX-6A</v>
          </cell>
          <cell r="B1734" t="str">
            <v>Diamana Thump ‘23 IR 105X #6</v>
          </cell>
          <cell r="C1734">
            <v>107.5</v>
          </cell>
        </row>
        <row r="1735">
          <cell r="A1735" t="str">
            <v>R-MX904-IX-7A</v>
          </cell>
          <cell r="B1735" t="str">
            <v>Diamana Thump ‘23 IR 105X #7</v>
          </cell>
          <cell r="C1735">
            <v>106.5</v>
          </cell>
        </row>
        <row r="1736">
          <cell r="A1736" t="str">
            <v>R-MX904-IX-8A</v>
          </cell>
          <cell r="B1736" t="str">
            <v>Diamana Thump ‘23 IR 105X #8</v>
          </cell>
          <cell r="C1736">
            <v>106.5</v>
          </cell>
        </row>
        <row r="1737">
          <cell r="A1737" t="str">
            <v>R-MX904-IX-9A</v>
          </cell>
          <cell r="B1737" t="str">
            <v>Diamana Thump ‘23 IR 105X #9</v>
          </cell>
          <cell r="C1737">
            <v>106.5</v>
          </cell>
        </row>
        <row r="1738">
          <cell r="A1738" t="str">
            <v>R-MX904-IX-PA</v>
          </cell>
          <cell r="B1738" t="str">
            <v>Diamana Thump ‘23 IR 105X #P</v>
          </cell>
          <cell r="C1738">
            <v>106.5</v>
          </cell>
        </row>
        <row r="1739">
          <cell r="A1739" t="str">
            <v>R-MX905-IX-2A</v>
          </cell>
          <cell r="B1739" t="str">
            <v>Diamana Thump ‘23 IR 115X #2</v>
          </cell>
          <cell r="C1739">
            <v>115</v>
          </cell>
        </row>
        <row r="1740">
          <cell r="A1740" t="str">
            <v>R-MX905-IX-4A</v>
          </cell>
          <cell r="B1740" t="str">
            <v>Diamana Thump ‘23 IR 115X #4</v>
          </cell>
          <cell r="C1740">
            <v>115</v>
          </cell>
        </row>
        <row r="1741">
          <cell r="A1741" t="str">
            <v>R-MX905-IX-5A</v>
          </cell>
          <cell r="B1741" t="str">
            <v>Diamana Thump ‘23 IR 115X #5</v>
          </cell>
          <cell r="C1741">
            <v>115</v>
          </cell>
        </row>
        <row r="1742">
          <cell r="A1742" t="str">
            <v>R-MX905-IX-6A</v>
          </cell>
          <cell r="B1742" t="str">
            <v>Diamana Thump ‘23 IR 115X #6</v>
          </cell>
          <cell r="C1742">
            <v>115</v>
          </cell>
        </row>
        <row r="1743">
          <cell r="A1743" t="str">
            <v>R-MX905-IX-7A</v>
          </cell>
          <cell r="B1743" t="str">
            <v>Diamana Thump ‘23 IR 115X #7</v>
          </cell>
          <cell r="C1743">
            <v>115</v>
          </cell>
        </row>
        <row r="1744">
          <cell r="A1744" t="str">
            <v>R-MX905-IX-8A</v>
          </cell>
          <cell r="B1744" t="str">
            <v>Diamana Thump ‘23 IR 115X #8</v>
          </cell>
          <cell r="C1744">
            <v>115</v>
          </cell>
        </row>
        <row r="1745">
          <cell r="A1745" t="str">
            <v>R-MX905-IX-9A</v>
          </cell>
          <cell r="B1745" t="str">
            <v>Diamana Thump ‘23 IR 115X #9</v>
          </cell>
          <cell r="C1745">
            <v>115</v>
          </cell>
        </row>
        <row r="1746">
          <cell r="A1746" t="str">
            <v>R-MX905-IX-PA</v>
          </cell>
          <cell r="B1746" t="str">
            <v>Diamana Thump ‘23 IR 115X #P</v>
          </cell>
          <cell r="C1746">
            <v>115</v>
          </cell>
        </row>
        <row r="1747">
          <cell r="A1747" t="str">
            <v>R-MX912-IS-1A</v>
          </cell>
          <cell r="B1747" t="str">
            <v>Diamana Thump ‘23 HYB 90S</v>
          </cell>
          <cell r="C1747">
            <v>92.5</v>
          </cell>
        </row>
        <row r="1748">
          <cell r="A1748" t="str">
            <v>R-MX912-IX-1A</v>
          </cell>
          <cell r="B1748" t="str">
            <v>Diamana Thump ‘23 HYB 90X</v>
          </cell>
          <cell r="C1748">
            <v>92.5</v>
          </cell>
        </row>
        <row r="1749">
          <cell r="A1749" t="str">
            <v>R-MX913-IX-1A</v>
          </cell>
          <cell r="B1749" t="str">
            <v>Diamana Thump ‘23 HYB 100X</v>
          </cell>
          <cell r="C1749">
            <v>92.5</v>
          </cell>
        </row>
        <row r="1750">
          <cell r="A1750" t="str">
            <v>CW163-IS-1A</v>
          </cell>
          <cell r="B1750" t="str">
            <v>Diamana Thump ‘23 HYB 100X</v>
          </cell>
          <cell r="C1750">
            <v>86</v>
          </cell>
        </row>
        <row r="1751">
          <cell r="A1751" t="str">
            <v>YM117SL254CF</v>
          </cell>
          <cell r="B1751" t="str">
            <v>SL254CF/Trombone pipe OD14.75mm</v>
          </cell>
          <cell r="C1751">
            <v>24.6</v>
          </cell>
        </row>
        <row r="1752">
          <cell r="A1752" t="str">
            <v>YM117SL254CF-B</v>
          </cell>
          <cell r="B1752" t="str">
            <v>BLANK</v>
          </cell>
          <cell r="C1752">
            <v>24</v>
          </cell>
        </row>
        <row r="1753">
          <cell r="A1753" t="str">
            <v>SP408-IR-4A</v>
          </cell>
          <cell r="B1753" t="str">
            <v>MV9BIRM/BASSARA B50 V300Ⅸ Iron Flex-R</v>
          </cell>
          <cell r="C1753">
            <v>58.5</v>
          </cell>
        </row>
        <row r="1754">
          <cell r="A1754" t="str">
            <v>SF248-IL-1D</v>
          </cell>
          <cell r="B1754" t="str">
            <v>N9510401/SHI Eldio 2024 TM40 L</v>
          </cell>
          <cell r="C1754">
            <v>57</v>
          </cell>
        </row>
        <row r="1755">
          <cell r="A1755" t="str">
            <v>SF254-IS-1C</v>
          </cell>
          <cell r="B1755" t="str">
            <v>N9510101/SHI Diamana™ Blue 2024 TM60 S</v>
          </cell>
          <cell r="C1755">
            <v>67</v>
          </cell>
        </row>
        <row r="1756">
          <cell r="A1756" t="str">
            <v>SF245-WS-1I</v>
          </cell>
          <cell r="B1756" t="str">
            <v>N9512401/SHD Diamana™ BL 2024 TM50 S</v>
          </cell>
          <cell r="C1756">
            <v>57</v>
          </cell>
        </row>
        <row r="1757">
          <cell r="A1757" t="str">
            <v>SF245-WX-1J</v>
          </cell>
          <cell r="B1757" t="str">
            <v>N9511301/SHD Diamana™ SV 2024 TM50 S</v>
          </cell>
          <cell r="C1757">
            <v>59.5</v>
          </cell>
        </row>
        <row r="1758">
          <cell r="A1758" t="str">
            <v>CW163-IR-1A</v>
          </cell>
          <cell r="B1758" t="str">
            <v>3553Y2/MMT UT 80 R-FLEX</v>
          </cell>
          <cell r="C1758">
            <v>83.5</v>
          </cell>
        </row>
        <row r="1759">
          <cell r="A1759" t="str">
            <v>CW165-IS-1A</v>
          </cell>
          <cell r="B1759" t="str">
            <v>3554T4/MMT UT 90 X-FLEX</v>
          </cell>
          <cell r="C1759">
            <v>99.5</v>
          </cell>
        </row>
        <row r="1760">
          <cell r="A1760" t="str">
            <v>XG041-IX-1A</v>
          </cell>
          <cell r="B1760" t="str">
            <v>S-TENSEIAV-HYB-WHT-85-X/Tensei AV Xlink White HYB 85 X-FLEX</v>
          </cell>
          <cell r="C1760">
            <v>82.5</v>
          </cell>
        </row>
        <row r="1761">
          <cell r="A1761" t="str">
            <v>SF292-WR-1A</v>
          </cell>
          <cell r="B1761" t="str">
            <v>M1269801/Tensei AV Limited Blue X-Link 65gram R</v>
          </cell>
          <cell r="C1761">
            <v>66</v>
          </cell>
        </row>
        <row r="1762">
          <cell r="A1762" t="str">
            <v>SF292-WS-1A</v>
          </cell>
          <cell r="B1762" t="str">
            <v>M1269701/Tensei AV Limited Blue X-Link 65gram S</v>
          </cell>
          <cell r="C1762">
            <v>67.5</v>
          </cell>
        </row>
        <row r="1763">
          <cell r="A1763" t="str">
            <v>SF292-WX-1A</v>
          </cell>
          <cell r="B1763" t="str">
            <v>M1269601/Tensei AV Limited Blue X-Link 65gram X</v>
          </cell>
          <cell r="C1763">
            <v>68.5</v>
          </cell>
        </row>
        <row r="1764">
          <cell r="A1764" t="str">
            <v>MX944-IR-3A</v>
          </cell>
          <cell r="B1764" t="str">
            <v>VANQUISH Iron 50 R #3</v>
          </cell>
          <cell r="C1764">
            <v>50.4</v>
          </cell>
        </row>
        <row r="1765">
          <cell r="A1765" t="str">
            <v>MX944-IR-4A</v>
          </cell>
          <cell r="B1765" t="str">
            <v>VANQUISH Iron 50 R #4</v>
          </cell>
          <cell r="C1765">
            <v>50.9</v>
          </cell>
        </row>
        <row r="1766">
          <cell r="A1766" t="str">
            <v>MX944-IR-5A</v>
          </cell>
          <cell r="B1766" t="str">
            <v>VANQUISH Iron 50 R #5</v>
          </cell>
          <cell r="C1766">
            <v>52.3</v>
          </cell>
        </row>
        <row r="1767">
          <cell r="A1767" t="str">
            <v>MX944-IR-6A</v>
          </cell>
          <cell r="B1767" t="str">
            <v>VANQUISH Iron 50 R #6</v>
          </cell>
          <cell r="C1767">
            <v>52.4</v>
          </cell>
        </row>
        <row r="1768">
          <cell r="A1768" t="str">
            <v>MX944-IR-7A</v>
          </cell>
          <cell r="B1768" t="str">
            <v>VANQUISH Iron 50 R #7</v>
          </cell>
          <cell r="C1768">
            <v>54</v>
          </cell>
        </row>
        <row r="1769">
          <cell r="A1769" t="str">
            <v>MX944-IR-8A</v>
          </cell>
          <cell r="B1769" t="str">
            <v>VANQUISH Iron 50 R #8</v>
          </cell>
          <cell r="C1769">
            <v>54.7</v>
          </cell>
        </row>
        <row r="1770">
          <cell r="A1770" t="str">
            <v>MX944-IR-9A</v>
          </cell>
          <cell r="B1770" t="str">
            <v>VANQUISH Iron 50 R #9</v>
          </cell>
          <cell r="C1770">
            <v>54.3</v>
          </cell>
        </row>
        <row r="1771">
          <cell r="A1771" t="str">
            <v>MX944-IR-PA</v>
          </cell>
          <cell r="B1771" t="str">
            <v>VANQUISH Iron 50 R #P</v>
          </cell>
          <cell r="C1771">
            <v>55.1</v>
          </cell>
        </row>
        <row r="1772">
          <cell r="A1772" t="str">
            <v>MX944-IS-4A</v>
          </cell>
          <cell r="B1772" t="str">
            <v>VANQUISH Iron 50 S #4</v>
          </cell>
          <cell r="C1772">
            <v>53</v>
          </cell>
        </row>
        <row r="1773">
          <cell r="A1773" t="str">
            <v>MX944-IS-5A</v>
          </cell>
          <cell r="B1773" t="str">
            <v>VANQUISH Iron 50 S #5</v>
          </cell>
          <cell r="C1773">
            <v>53</v>
          </cell>
        </row>
        <row r="1774">
          <cell r="A1774" t="str">
            <v>MX944-IS-6A</v>
          </cell>
          <cell r="B1774" t="str">
            <v>VANQUISH Iron 50 S #6</v>
          </cell>
          <cell r="C1774">
            <v>53.8</v>
          </cell>
        </row>
        <row r="1775">
          <cell r="A1775" t="str">
            <v>MX944-IS-7A</v>
          </cell>
          <cell r="B1775" t="str">
            <v>VANQUISH Iron 50 S #7</v>
          </cell>
          <cell r="C1775">
            <v>54.8</v>
          </cell>
        </row>
        <row r="1776">
          <cell r="A1776" t="str">
            <v>MX944-IS-8A</v>
          </cell>
          <cell r="B1776" t="str">
            <v>VANQUISH Iron 50 S #8</v>
          </cell>
          <cell r="C1776">
            <v>55.2</v>
          </cell>
        </row>
        <row r="1777">
          <cell r="A1777" t="str">
            <v>MX944-IS-9A</v>
          </cell>
          <cell r="B1777" t="str">
            <v>VANQUISH Iron 50 S #9</v>
          </cell>
          <cell r="C1777">
            <v>57.4</v>
          </cell>
        </row>
        <row r="1778">
          <cell r="A1778" t="str">
            <v>MX944-IS-PA</v>
          </cell>
          <cell r="B1778" t="str">
            <v>VANQUISH Iron 50 S #P</v>
          </cell>
          <cell r="C1778">
            <v>58</v>
          </cell>
        </row>
        <row r="1779">
          <cell r="A1779" t="str">
            <v>MX944-IX-3A</v>
          </cell>
          <cell r="B1779" t="str">
            <v>VANQUISH Iron 50 X #3</v>
          </cell>
          <cell r="C1779">
            <v>53.6</v>
          </cell>
        </row>
        <row r="1780">
          <cell r="A1780" t="str">
            <v>MX944-IX-4A</v>
          </cell>
          <cell r="B1780" t="str">
            <v>VANQUISH Iron 50 X #4</v>
          </cell>
          <cell r="C1780">
            <v>54.3</v>
          </cell>
        </row>
        <row r="1781">
          <cell r="A1781" t="str">
            <v>MX944-IX-5A</v>
          </cell>
          <cell r="B1781" t="str">
            <v>VANQUISH Iron 50 X #5</v>
          </cell>
          <cell r="C1781">
            <v>54.6</v>
          </cell>
        </row>
        <row r="1782">
          <cell r="A1782" t="str">
            <v>MX944-IX-6A</v>
          </cell>
          <cell r="B1782" t="str">
            <v>VANQUISH Iron 50 X #6</v>
          </cell>
          <cell r="C1782">
            <v>55.4</v>
          </cell>
        </row>
        <row r="1783">
          <cell r="A1783" t="str">
            <v>MX944-IX-7A</v>
          </cell>
          <cell r="B1783" t="str">
            <v>VANQUISH Iron 50 X #7</v>
          </cell>
          <cell r="C1783">
            <v>56.6</v>
          </cell>
        </row>
        <row r="1784">
          <cell r="A1784" t="str">
            <v>MX944-IX-8A</v>
          </cell>
          <cell r="B1784" t="str">
            <v>VANQUISH Iron 50 X #8</v>
          </cell>
          <cell r="C1784">
            <v>57.5</v>
          </cell>
        </row>
        <row r="1785">
          <cell r="A1785" t="str">
            <v>MX944-IX-9A</v>
          </cell>
          <cell r="B1785" t="str">
            <v>VANQUISH Iron 50 X #9</v>
          </cell>
          <cell r="C1785">
            <v>58.1</v>
          </cell>
        </row>
        <row r="1786">
          <cell r="A1786" t="str">
            <v>MX944-IX-PA</v>
          </cell>
          <cell r="B1786" t="str">
            <v>VANQUISH Iron 50 X #P</v>
          </cell>
          <cell r="C1786">
            <v>58.4</v>
          </cell>
        </row>
        <row r="1787">
          <cell r="A1787" t="str">
            <v>MX945-IR-3A</v>
          </cell>
          <cell r="B1787" t="str">
            <v>VANQUISH Iron 60 R #3</v>
          </cell>
          <cell r="C1787">
            <v>61.7</v>
          </cell>
        </row>
        <row r="1788">
          <cell r="A1788" t="str">
            <v>MX945-IR-4A</v>
          </cell>
          <cell r="B1788" t="str">
            <v>VANQUISH Iron 60 R #4</v>
          </cell>
          <cell r="C1788">
            <v>63</v>
          </cell>
        </row>
        <row r="1789">
          <cell r="A1789" t="str">
            <v>MX945-IR-5A</v>
          </cell>
          <cell r="B1789" t="str">
            <v>VANQUISH Iron 60 R #5</v>
          </cell>
          <cell r="C1789">
            <v>63.7</v>
          </cell>
        </row>
        <row r="1790">
          <cell r="A1790" t="str">
            <v>MX945-IR-6A</v>
          </cell>
          <cell r="B1790" t="str">
            <v>VANQUISH Iron 60 R #6</v>
          </cell>
          <cell r="C1790">
            <v>64.7</v>
          </cell>
        </row>
        <row r="1791">
          <cell r="A1791" t="str">
            <v>MX945-IR-7A</v>
          </cell>
          <cell r="B1791" t="str">
            <v>VANQUISH Iron 60 R #7</v>
          </cell>
          <cell r="C1791">
            <v>65.5</v>
          </cell>
        </row>
        <row r="1792">
          <cell r="A1792" t="str">
            <v>MX945-IR-8A</v>
          </cell>
          <cell r="B1792" t="str">
            <v>VANQUISH Iron 60 R #8</v>
          </cell>
          <cell r="C1792">
            <v>66.5</v>
          </cell>
        </row>
        <row r="1793">
          <cell r="A1793" t="str">
            <v>MX945-IR-9A</v>
          </cell>
          <cell r="B1793" t="str">
            <v>VANQUISH Iron 60 R #9</v>
          </cell>
          <cell r="C1793">
            <v>67.7</v>
          </cell>
        </row>
        <row r="1794">
          <cell r="A1794" t="str">
            <v>MX945-IR-PA</v>
          </cell>
          <cell r="B1794" t="str">
            <v>VANQUISH Iron 60 R #P</v>
          </cell>
          <cell r="C1794">
            <v>70</v>
          </cell>
        </row>
        <row r="1795">
          <cell r="A1795" t="str">
            <v>MX945-IS-3A</v>
          </cell>
          <cell r="B1795" t="str">
            <v>VANQUISH Iron 60 S #3</v>
          </cell>
          <cell r="C1795">
            <v>63.6</v>
          </cell>
        </row>
        <row r="1796">
          <cell r="A1796" t="str">
            <v>MX945-IS-4A</v>
          </cell>
          <cell r="B1796" t="str">
            <v>VANQUISH Iron 60 S #4</v>
          </cell>
          <cell r="C1796">
            <v>64.599999999999994</v>
          </cell>
        </row>
        <row r="1797">
          <cell r="A1797" t="str">
            <v>MX945-IS-5A</v>
          </cell>
          <cell r="B1797" t="str">
            <v>VANQUISH Iron 60 S #5</v>
          </cell>
          <cell r="C1797">
            <v>65.099999999999994</v>
          </cell>
        </row>
        <row r="1798">
          <cell r="A1798" t="str">
            <v>MX945-IS-6A</v>
          </cell>
          <cell r="B1798" t="str">
            <v>VANQUISH Iron 60 S #6</v>
          </cell>
          <cell r="C1798">
            <v>66.400000000000006</v>
          </cell>
        </row>
        <row r="1799">
          <cell r="A1799" t="str">
            <v>MX945-IS-7A</v>
          </cell>
          <cell r="B1799" t="str">
            <v>VANQUISH Iron 60 S #7</v>
          </cell>
          <cell r="C1799">
            <v>67.8</v>
          </cell>
        </row>
        <row r="1800">
          <cell r="A1800" t="str">
            <v>MX945-IS-8A</v>
          </cell>
          <cell r="B1800" t="str">
            <v>VANQUISH Iron 60 S #8</v>
          </cell>
          <cell r="C1800">
            <v>68.400000000000006</v>
          </cell>
        </row>
        <row r="1801">
          <cell r="A1801" t="str">
            <v>MX945-IS-9A</v>
          </cell>
          <cell r="B1801" t="str">
            <v>VANQUISH Iron 60 S #9</v>
          </cell>
          <cell r="C1801">
            <v>69.8</v>
          </cell>
        </row>
        <row r="1802">
          <cell r="A1802" t="str">
            <v>MX945-IS-PA</v>
          </cell>
          <cell r="B1802" t="str">
            <v>VANQUISH Iron 60 S #P</v>
          </cell>
          <cell r="C1802">
            <v>70.900000000000006</v>
          </cell>
        </row>
        <row r="1803">
          <cell r="A1803" t="str">
            <v>CW152-IR-2A</v>
          </cell>
          <cell r="B1803" t="str">
            <v>3554Y2/SF IR/HY MCA NEW TENSEI 50 GR REG JV</v>
          </cell>
          <cell r="C1803">
            <v>54.5</v>
          </cell>
        </row>
        <row r="1804">
          <cell r="A1804" t="str">
            <v>CW152-IS-2A</v>
          </cell>
          <cell r="B1804" t="str">
            <v>3554Y3/SF IR/HY MCA NEW TENSEI 50 GR STF JV</v>
          </cell>
          <cell r="C1804">
            <v>58.5</v>
          </cell>
        </row>
        <row r="1805">
          <cell r="A1805" t="str">
            <v>CW152-ISR2A</v>
          </cell>
          <cell r="B1805" t="str">
            <v>3554Y5/SF IR/HY MCA NEW TENSEI 50 GR SR JV</v>
          </cell>
          <cell r="C1805">
            <v>56.5</v>
          </cell>
        </row>
        <row r="1806">
          <cell r="A1806" t="str">
            <v>CW155-IR-2A</v>
          </cell>
          <cell r="B1806" t="str">
            <v>3556X2/SF IR/HY MCA NEW TENSEI 40 GR REG JV</v>
          </cell>
          <cell r="C1806">
            <v>47</v>
          </cell>
        </row>
        <row r="1807">
          <cell r="A1807" t="str">
            <v>CW155-IS-2A</v>
          </cell>
          <cell r="B1807" t="str">
            <v>3556X3/SF IR/HY MCA NEW TENSEI 40 GR STF JV</v>
          </cell>
          <cell r="C1807">
            <v>50</v>
          </cell>
        </row>
        <row r="1808">
          <cell r="A1808" t="str">
            <v>CW155-ISR2A</v>
          </cell>
          <cell r="B1808" t="str">
            <v>3556X5/SF IR/HY MCA NEW TENSEI 40 GR SR JV</v>
          </cell>
          <cell r="C1808">
            <v>48.5</v>
          </cell>
        </row>
        <row r="1809">
          <cell r="A1809" t="str">
            <v>SF288-WA-1B</v>
          </cell>
          <cell r="B1809" t="str">
            <v>N9512801/SHF ELDIO™ 2024 TM40 A</v>
          </cell>
          <cell r="C1809">
            <v>50</v>
          </cell>
        </row>
        <row r="1810">
          <cell r="A1810" t="str">
            <v>SF288-WL-1B</v>
          </cell>
          <cell r="B1810" t="str">
            <v>N9512701/SHF ELDIO™ 2024 TM40 L</v>
          </cell>
          <cell r="C1810">
            <v>44.5</v>
          </cell>
        </row>
        <row r="1811">
          <cell r="A1811" t="str">
            <v>SF283-WS-1B</v>
          </cell>
          <cell r="B1811" t="str">
            <v>N2987801/MITSUBISHI DIAMANA T+ 60S</v>
          </cell>
          <cell r="C1811">
            <v>68</v>
          </cell>
        </row>
        <row r="1812">
          <cell r="A1812" t="str">
            <v>SF283-WX-1B</v>
          </cell>
          <cell r="B1812" t="str">
            <v>N2987701/MITSUBISHI DIAMANA T+ 60X</v>
          </cell>
          <cell r="C1812">
            <v>70.5</v>
          </cell>
        </row>
        <row r="1813">
          <cell r="A1813" t="str">
            <v>CW155-WR-1A</v>
          </cell>
          <cell r="B1813" t="str">
            <v>3555T2/Tahoe JV DR-MAX FAST 40 R</v>
          </cell>
          <cell r="C1813">
            <v>45.5</v>
          </cell>
        </row>
        <row r="1814">
          <cell r="A1814" t="str">
            <v>CW155-WS-1A</v>
          </cell>
          <cell r="B1814" t="str">
            <v>555T3/Tahoe JV DR-MAX FAST 40 S</v>
          </cell>
          <cell r="C1814">
            <v>49.5</v>
          </cell>
        </row>
        <row r="1815">
          <cell r="A1815" t="str">
            <v>CW155-WSR1A</v>
          </cell>
          <cell r="B1815" t="str">
            <v>3555T5/Tahoe JV DR-MAX FAST 40 SR</v>
          </cell>
          <cell r="C1815">
            <v>47.5</v>
          </cell>
        </row>
        <row r="1816">
          <cell r="A1816" t="str">
            <v>CW128-WR-1B</v>
          </cell>
          <cell r="B1816" t="str">
            <v>3556O2/SF WD MCA TENSEI BLUE 65 GR REG</v>
          </cell>
          <cell r="C1816">
            <v>66.5</v>
          </cell>
        </row>
        <row r="1817">
          <cell r="A1817" t="str">
            <v>CW128-WS-1B</v>
          </cell>
          <cell r="B1817" t="str">
            <v>3556O3/SF WD MCA TENSEI BLUE 65 GR STF</v>
          </cell>
          <cell r="C1817">
            <v>68</v>
          </cell>
        </row>
        <row r="1818">
          <cell r="A1818" t="str">
            <v>CW128-WX-1B</v>
          </cell>
          <cell r="B1818" t="str">
            <v>3556O4/SF WD MCA TENSEI BLUE 65 GR XST</v>
          </cell>
          <cell r="C1818">
            <v>69</v>
          </cell>
        </row>
        <row r="1819">
          <cell r="A1819" t="str">
            <v>CW129-WS-1B</v>
          </cell>
          <cell r="B1819" t="str">
            <v>3556Q3/SF WD MCA TENSEI BLUE 75 GR STF</v>
          </cell>
          <cell r="C1819">
            <v>78</v>
          </cell>
        </row>
        <row r="1820">
          <cell r="A1820" t="str">
            <v>MX944-IR-3</v>
          </cell>
          <cell r="B1820" t="str">
            <v>BLANK</v>
          </cell>
          <cell r="C1820">
            <v>47</v>
          </cell>
        </row>
        <row r="1821">
          <cell r="A1821" t="str">
            <v>MX944-IR-4</v>
          </cell>
          <cell r="B1821" t="str">
            <v>BLANK</v>
          </cell>
          <cell r="C1821">
            <v>47.5</v>
          </cell>
        </row>
        <row r="1822">
          <cell r="A1822" t="str">
            <v>MX944-IR-5</v>
          </cell>
          <cell r="B1822" t="str">
            <v>BLANK</v>
          </cell>
          <cell r="C1822">
            <v>49</v>
          </cell>
        </row>
        <row r="1823">
          <cell r="A1823" t="str">
            <v>MX944-IR-6</v>
          </cell>
          <cell r="B1823" t="str">
            <v>BLANK</v>
          </cell>
          <cell r="C1823">
            <v>49.2</v>
          </cell>
        </row>
        <row r="1824">
          <cell r="A1824" t="str">
            <v>MX944-IR-7</v>
          </cell>
          <cell r="B1824" t="str">
            <v>BLANK</v>
          </cell>
          <cell r="C1824">
            <v>50.8</v>
          </cell>
        </row>
        <row r="1825">
          <cell r="A1825" t="str">
            <v>MX944-IR-8</v>
          </cell>
          <cell r="B1825" t="str">
            <v>BLANK</v>
          </cell>
          <cell r="C1825">
            <v>51.6</v>
          </cell>
        </row>
        <row r="1826">
          <cell r="A1826" t="str">
            <v>MX944-IR-9</v>
          </cell>
          <cell r="B1826" t="str">
            <v>BLANK</v>
          </cell>
          <cell r="C1826">
            <v>51.2</v>
          </cell>
        </row>
        <row r="1827">
          <cell r="A1827" t="str">
            <v>MX944-IR-P</v>
          </cell>
          <cell r="B1827" t="str">
            <v>BLANK</v>
          </cell>
          <cell r="C1827">
            <v>52.1</v>
          </cell>
        </row>
        <row r="1828">
          <cell r="A1828" t="str">
            <v>MX944-IS-3</v>
          </cell>
          <cell r="B1828" t="str">
            <v>BLANK</v>
          </cell>
          <cell r="C1828">
            <v>48.7</v>
          </cell>
        </row>
        <row r="1829">
          <cell r="A1829" t="str">
            <v>MX944-IS-4</v>
          </cell>
          <cell r="B1829" t="str">
            <v>BLANK</v>
          </cell>
          <cell r="C1829">
            <v>49.6</v>
          </cell>
        </row>
        <row r="1830">
          <cell r="A1830" t="str">
            <v>MX944-IS-5</v>
          </cell>
          <cell r="B1830" t="str">
            <v>BLANK</v>
          </cell>
          <cell r="C1830">
            <v>49.7</v>
          </cell>
        </row>
        <row r="1831">
          <cell r="A1831" t="str">
            <v>MX944-IS-6</v>
          </cell>
          <cell r="B1831" t="str">
            <v>BLANK</v>
          </cell>
          <cell r="C1831">
            <v>50.6</v>
          </cell>
        </row>
        <row r="1832">
          <cell r="A1832" t="str">
            <v>MX944-IS-7</v>
          </cell>
          <cell r="B1832" t="str">
            <v>BLANK</v>
          </cell>
          <cell r="C1832">
            <v>51.6</v>
          </cell>
        </row>
        <row r="1833">
          <cell r="A1833" t="str">
            <v>MX944-IS-8</v>
          </cell>
          <cell r="B1833" t="str">
            <v>BLANK</v>
          </cell>
          <cell r="C1833">
            <v>52.1</v>
          </cell>
        </row>
        <row r="1834">
          <cell r="A1834" t="str">
            <v>MX944-IS-9</v>
          </cell>
          <cell r="B1834" t="str">
            <v>BLANK</v>
          </cell>
          <cell r="C1834">
            <v>54.3</v>
          </cell>
        </row>
        <row r="1835">
          <cell r="A1835" t="str">
            <v>MX944-IS-P</v>
          </cell>
          <cell r="B1835" t="str">
            <v>BLANK</v>
          </cell>
          <cell r="C1835">
            <v>55</v>
          </cell>
        </row>
        <row r="1836">
          <cell r="A1836" t="str">
            <v>MX944-IX-3</v>
          </cell>
          <cell r="B1836" t="str">
            <v>BLANK</v>
          </cell>
          <cell r="C1836">
            <v>50.2</v>
          </cell>
        </row>
        <row r="1837">
          <cell r="A1837" t="str">
            <v>MX944-IX-4</v>
          </cell>
          <cell r="B1837" t="str">
            <v>BLANK</v>
          </cell>
          <cell r="C1837">
            <v>50.9</v>
          </cell>
        </row>
        <row r="1838">
          <cell r="A1838" t="str">
            <v>MX944-IX-5</v>
          </cell>
          <cell r="B1838" t="str">
            <v>BLANK</v>
          </cell>
          <cell r="C1838">
            <v>51.3</v>
          </cell>
        </row>
        <row r="1839">
          <cell r="A1839" t="str">
            <v>MX944-IX-6</v>
          </cell>
          <cell r="B1839" t="str">
            <v>BLANK</v>
          </cell>
          <cell r="C1839">
            <v>52.2</v>
          </cell>
        </row>
        <row r="1840">
          <cell r="A1840" t="str">
            <v>MX944-IX-7</v>
          </cell>
          <cell r="B1840" t="str">
            <v>BLANK</v>
          </cell>
          <cell r="C1840">
            <v>53.4</v>
          </cell>
        </row>
        <row r="1841">
          <cell r="A1841" t="str">
            <v>MX944-IX-8</v>
          </cell>
          <cell r="B1841" t="str">
            <v>BLANK</v>
          </cell>
          <cell r="C1841">
            <v>54.4</v>
          </cell>
        </row>
        <row r="1842">
          <cell r="A1842" t="str">
            <v>MX944-IX-9</v>
          </cell>
          <cell r="B1842" t="str">
            <v>BLANK</v>
          </cell>
          <cell r="C1842">
            <v>55</v>
          </cell>
        </row>
        <row r="1843">
          <cell r="A1843" t="str">
            <v>MX944-IX-P</v>
          </cell>
          <cell r="B1843" t="str">
            <v>BLANK</v>
          </cell>
          <cell r="C1843">
            <v>55.4</v>
          </cell>
        </row>
        <row r="1844">
          <cell r="A1844" t="str">
            <v>MX945-IR-3</v>
          </cell>
          <cell r="B1844" t="str">
            <v>BLANK</v>
          </cell>
          <cell r="C1844">
            <v>58.3</v>
          </cell>
        </row>
        <row r="1845">
          <cell r="A1845" t="str">
            <v>MX945-IR-4</v>
          </cell>
          <cell r="B1845" t="str">
            <v>BLANK</v>
          </cell>
          <cell r="C1845">
            <v>60</v>
          </cell>
        </row>
        <row r="1846">
          <cell r="A1846" t="str">
            <v>MX945-IR-5</v>
          </cell>
          <cell r="B1846" t="str">
            <v>BLANK</v>
          </cell>
          <cell r="C1846">
            <v>60.4</v>
          </cell>
        </row>
        <row r="1847">
          <cell r="A1847" t="str">
            <v>MX945-IR-6</v>
          </cell>
          <cell r="B1847" t="str">
            <v>BLANK</v>
          </cell>
          <cell r="C1847">
            <v>61.5</v>
          </cell>
        </row>
        <row r="1848">
          <cell r="A1848" t="str">
            <v>MX945-IR-7</v>
          </cell>
          <cell r="B1848" t="str">
            <v>BLANK</v>
          </cell>
          <cell r="C1848">
            <v>62.3</v>
          </cell>
        </row>
        <row r="1849">
          <cell r="A1849" t="str">
            <v>MX945-IR-8</v>
          </cell>
          <cell r="B1849" t="str">
            <v>BLANK</v>
          </cell>
          <cell r="C1849">
            <v>63.4</v>
          </cell>
        </row>
        <row r="1850">
          <cell r="A1850" t="str">
            <v>MX945-IR-9</v>
          </cell>
          <cell r="B1850" t="str">
            <v>BLANK</v>
          </cell>
          <cell r="C1850">
            <v>64.7</v>
          </cell>
        </row>
        <row r="1851">
          <cell r="A1851" t="str">
            <v>MX945-IR-P</v>
          </cell>
          <cell r="B1851" t="str">
            <v>BLANK</v>
          </cell>
          <cell r="C1851">
            <v>67</v>
          </cell>
        </row>
        <row r="1852">
          <cell r="A1852" t="str">
            <v>MX945-IS-3</v>
          </cell>
          <cell r="B1852" t="str">
            <v>BLANK</v>
          </cell>
          <cell r="C1852">
            <v>60.2</v>
          </cell>
        </row>
        <row r="1853">
          <cell r="A1853" t="str">
            <v>MX945-IS-4</v>
          </cell>
          <cell r="B1853" t="str">
            <v>BLANK</v>
          </cell>
          <cell r="C1853">
            <v>61.2</v>
          </cell>
        </row>
        <row r="1854">
          <cell r="A1854" t="str">
            <v>MX945-IS-5</v>
          </cell>
          <cell r="B1854" t="str">
            <v>BLANK</v>
          </cell>
          <cell r="C1854">
            <v>61.8</v>
          </cell>
        </row>
        <row r="1855">
          <cell r="A1855" t="str">
            <v>MX945-IS-6</v>
          </cell>
          <cell r="B1855" t="str">
            <v>BLANK</v>
          </cell>
          <cell r="C1855">
            <v>63.2</v>
          </cell>
        </row>
        <row r="1856">
          <cell r="A1856" t="str">
            <v>MX945-IS-7</v>
          </cell>
          <cell r="B1856" t="str">
            <v>BLANK</v>
          </cell>
          <cell r="C1856">
            <v>64.599999999999994</v>
          </cell>
        </row>
        <row r="1857">
          <cell r="A1857" t="str">
            <v>MX945-IS-8</v>
          </cell>
          <cell r="B1857" t="str">
            <v>BLANK</v>
          </cell>
          <cell r="C1857">
            <v>65.3</v>
          </cell>
        </row>
        <row r="1858">
          <cell r="A1858" t="str">
            <v>MX945-IS-9</v>
          </cell>
          <cell r="B1858" t="str">
            <v>BLANK</v>
          </cell>
          <cell r="C1858">
            <v>66.7</v>
          </cell>
        </row>
        <row r="1859">
          <cell r="A1859" t="str">
            <v>MX945-IS-P</v>
          </cell>
          <cell r="B1859" t="str">
            <v>BLANK</v>
          </cell>
          <cell r="C1859">
            <v>67.900000000000006</v>
          </cell>
        </row>
        <row r="1860">
          <cell r="A1860" t="str">
            <v>SF256-IS-1E</v>
          </cell>
          <cell r="B1860" t="str">
            <v>N9511101/SHI Diamana™ SV 2024 TM70 S</v>
          </cell>
          <cell r="C1860">
            <v>77</v>
          </cell>
        </row>
        <row r="1861">
          <cell r="A1861" t="str">
            <v>CW156-IL-2A</v>
          </cell>
          <cell r="B1861" t="str">
            <v>3556Y1/SF IR/HY MCA NEW ELDIO 40 GR LDY JV</v>
          </cell>
          <cell r="C1861">
            <v>43</v>
          </cell>
        </row>
        <row r="1862">
          <cell r="A1862" t="str">
            <v>MX945-IX-3</v>
          </cell>
          <cell r="B1862" t="str">
            <v>BLANK</v>
          </cell>
          <cell r="C1862">
            <v>62.2</v>
          </cell>
        </row>
        <row r="1863">
          <cell r="A1863" t="str">
            <v>MX945-IX-4</v>
          </cell>
          <cell r="B1863" t="str">
            <v>BLANK</v>
          </cell>
          <cell r="C1863">
            <v>63.5</v>
          </cell>
        </row>
        <row r="1864">
          <cell r="A1864" t="str">
            <v>MX945-IX-5</v>
          </cell>
          <cell r="B1864" t="str">
            <v>BLANK</v>
          </cell>
          <cell r="C1864">
            <v>63.5</v>
          </cell>
        </row>
        <row r="1865">
          <cell r="A1865" t="str">
            <v>MX945-IX-6</v>
          </cell>
          <cell r="B1865" t="str">
            <v>BLANK</v>
          </cell>
          <cell r="C1865">
            <v>64.7</v>
          </cell>
        </row>
        <row r="1866">
          <cell r="A1866" t="str">
            <v>MX945-IX-7</v>
          </cell>
          <cell r="B1866" t="str">
            <v>BLANK</v>
          </cell>
          <cell r="C1866">
            <v>64.7</v>
          </cell>
        </row>
        <row r="1867">
          <cell r="A1867" t="str">
            <v>MX945-IX-8</v>
          </cell>
          <cell r="B1867" t="str">
            <v>BLANK</v>
          </cell>
          <cell r="C1867">
            <v>65.7</v>
          </cell>
        </row>
        <row r="1868">
          <cell r="A1868" t="str">
            <v>MX945-IX-9</v>
          </cell>
          <cell r="B1868" t="str">
            <v>BLANK</v>
          </cell>
          <cell r="C1868">
            <v>67.099999999999994</v>
          </cell>
        </row>
        <row r="1869">
          <cell r="A1869" t="str">
            <v>MX945-IX-P</v>
          </cell>
          <cell r="B1869" t="str">
            <v>BLANK</v>
          </cell>
          <cell r="C1869">
            <v>68.099999999999994</v>
          </cell>
        </row>
        <row r="1870">
          <cell r="A1870" t="str">
            <v>MX944-UR-1</v>
          </cell>
          <cell r="B1870" t="str">
            <v>BLANK</v>
          </cell>
          <cell r="C1870">
            <v>47.8</v>
          </cell>
        </row>
        <row r="1871">
          <cell r="A1871" t="str">
            <v>MX944-US-1</v>
          </cell>
          <cell r="B1871" t="str">
            <v>BLANK</v>
          </cell>
          <cell r="C1871">
            <v>51.6</v>
          </cell>
        </row>
        <row r="1872">
          <cell r="A1872" t="str">
            <v>MX944-UX-1</v>
          </cell>
          <cell r="B1872" t="str">
            <v>BLANK</v>
          </cell>
          <cell r="C1872">
            <v>55.6</v>
          </cell>
        </row>
        <row r="1873">
          <cell r="A1873" t="str">
            <v>MX944-WR-3</v>
          </cell>
          <cell r="B1873" t="str">
            <v>BLANK</v>
          </cell>
          <cell r="C1873">
            <v>51.2</v>
          </cell>
        </row>
        <row r="1874">
          <cell r="A1874" t="str">
            <v>MX944-WS-3</v>
          </cell>
          <cell r="B1874" t="str">
            <v>BLANK</v>
          </cell>
          <cell r="C1874">
            <v>55.4</v>
          </cell>
        </row>
        <row r="1875">
          <cell r="A1875" t="str">
            <v>MX944-WX-3</v>
          </cell>
          <cell r="B1875" t="str">
            <v>BLANK</v>
          </cell>
          <cell r="C1875">
            <v>56</v>
          </cell>
        </row>
        <row r="1876">
          <cell r="A1876" t="str">
            <v>MX945-UR-1</v>
          </cell>
          <cell r="B1876" t="str">
            <v>BLANK</v>
          </cell>
          <cell r="C1876">
            <v>58</v>
          </cell>
        </row>
        <row r="1877">
          <cell r="A1877" t="str">
            <v>MX945-US-1</v>
          </cell>
          <cell r="B1877" t="str">
            <v>BLANK</v>
          </cell>
          <cell r="C1877">
            <v>61.5</v>
          </cell>
        </row>
        <row r="1878">
          <cell r="A1878" t="str">
            <v>MX945-UX-1</v>
          </cell>
          <cell r="B1878" t="str">
            <v>BLANK</v>
          </cell>
          <cell r="C1878">
            <v>65.400000000000006</v>
          </cell>
        </row>
        <row r="1879">
          <cell r="A1879" t="str">
            <v>MX945-WX-3</v>
          </cell>
          <cell r="B1879" t="str">
            <v>BLANK</v>
          </cell>
          <cell r="C1879">
            <v>64.900000000000006</v>
          </cell>
        </row>
        <row r="1880">
          <cell r="A1880" t="str">
            <v>SF288-WL-1A</v>
          </cell>
          <cell r="B1880" t="str">
            <v>N9512801/SHD ELDIO™ 2024 TM40 L</v>
          </cell>
          <cell r="C1880">
            <v>44.5</v>
          </cell>
        </row>
        <row r="1881">
          <cell r="A1881" t="str">
            <v>SF288-WA-1A</v>
          </cell>
          <cell r="B1881" t="str">
            <v>N9512701/SHD ELDIO™ 2024 TM40 A</v>
          </cell>
          <cell r="C1881">
            <v>50</v>
          </cell>
        </row>
        <row r="1882">
          <cell r="A1882" t="str">
            <v>CW152-WR-1A</v>
          </cell>
          <cell r="B1882" t="str">
            <v>3556L2/Tahoe JV DR-STD / Tensei / R-flex</v>
          </cell>
          <cell r="C1882">
            <v>52.5</v>
          </cell>
        </row>
        <row r="1883">
          <cell r="A1883" t="str">
            <v>CW152-WS-1A</v>
          </cell>
          <cell r="B1883" t="str">
            <v>3556L3/Tahoe JV DR-STD / Tensei / S-flex</v>
          </cell>
          <cell r="C1883">
            <v>57.5</v>
          </cell>
        </row>
        <row r="1884">
          <cell r="A1884" t="str">
            <v>CW152-WSR1A</v>
          </cell>
          <cell r="B1884" t="str">
            <v>3556L5/Tahoe JV DR-STD / Tensei / SR-flex</v>
          </cell>
          <cell r="C1884">
            <v>54.5</v>
          </cell>
        </row>
        <row r="1885">
          <cell r="A1885" t="str">
            <v>CW153-WS-1A</v>
          </cell>
          <cell r="B1885" t="str">
            <v>3555W3/Tahoe JV DR-LS / Tensei / S-flex</v>
          </cell>
          <cell r="C1885">
            <v>64</v>
          </cell>
        </row>
        <row r="1886">
          <cell r="A1886" t="str">
            <v>CW153-WSR1A</v>
          </cell>
          <cell r="B1886" t="str">
            <v>3555W5/Tahoe JV DR-LS / Tensei / SR-flex</v>
          </cell>
          <cell r="C1886">
            <v>61</v>
          </cell>
        </row>
        <row r="1887">
          <cell r="A1887" t="str">
            <v>CW156-WA-1A</v>
          </cell>
          <cell r="B1887" t="str">
            <v>3555S7/SF WD MCA NEW ELDIO 40 GR LDY A JV</v>
          </cell>
          <cell r="C1887">
            <v>43.5</v>
          </cell>
        </row>
        <row r="1888">
          <cell r="A1888" t="str">
            <v>CW156-WL-1A</v>
          </cell>
          <cell r="B1888" t="str">
            <v>3555S1/SF WD MCA NEW ELDIO 40 GR LDY JV</v>
          </cell>
          <cell r="C1888">
            <v>40.5</v>
          </cell>
        </row>
        <row r="1889">
          <cell r="A1889" t="str">
            <v>CB043-WS-1A</v>
          </cell>
          <cell r="B1889" t="str">
            <v>SD22GR120460/TENSEI 1K BLACK 65G R-FLEX</v>
          </cell>
          <cell r="C1889">
            <v>68.5</v>
          </cell>
        </row>
        <row r="1890">
          <cell r="A1890" t="str">
            <v>CB043-WR-1A</v>
          </cell>
          <cell r="B1890" t="str">
            <v>SD22GS190460/TENSEI 1K BLACK 65G S-FLEX</v>
          </cell>
          <cell r="C1890">
            <v>66.5</v>
          </cell>
        </row>
        <row r="1891">
          <cell r="A1891" t="str">
            <v>CW154-WRA1A</v>
          </cell>
          <cell r="B1891" t="str">
            <v>3556P1/Tahoe JV DR-MAX / Tensei / RA-flex</v>
          </cell>
          <cell r="C1891">
            <v>46.5</v>
          </cell>
        </row>
        <row r="1892">
          <cell r="A1892" t="str">
            <v>CW156-IA-2A</v>
          </cell>
          <cell r="B1892" t="str">
            <v>3556Y7/SF IR/HY MCA NEW ELDIO 40 GR LDY A JV</v>
          </cell>
          <cell r="C1892">
            <v>45.5</v>
          </cell>
        </row>
        <row r="1893">
          <cell r="A1893" t="str">
            <v>SF245-WR-1I</v>
          </cell>
          <cell r="B1893" t="str">
            <v>N9512601/SHD Diamana™ BL 2024 TM50 R</v>
          </cell>
          <cell r="C1893">
            <v>52</v>
          </cell>
        </row>
        <row r="1894">
          <cell r="A1894" t="str">
            <v>SF245-WSR1I</v>
          </cell>
          <cell r="B1894" t="str">
            <v>N9512501/SHD Diamana™ BL 2024 TM50 SR</v>
          </cell>
          <cell r="C1894">
            <v>54.5</v>
          </cell>
        </row>
        <row r="1895">
          <cell r="A1895" t="str">
            <v>MX945-IX-3A</v>
          </cell>
          <cell r="B1895" t="str">
            <v>VANQUISH Iron 60 X #3</v>
          </cell>
          <cell r="C1895">
            <v>65.2</v>
          </cell>
        </row>
        <row r="1896">
          <cell r="A1896" t="str">
            <v>MX945-IX-4A</v>
          </cell>
          <cell r="B1896" t="str">
            <v>VANQUISH Iron 60 X #4</v>
          </cell>
          <cell r="C1896">
            <v>66.5</v>
          </cell>
        </row>
        <row r="1897">
          <cell r="A1897" t="str">
            <v>MX945-IX-5A</v>
          </cell>
          <cell r="B1897" t="str">
            <v>VANQUISH Iron 60 X #5</v>
          </cell>
          <cell r="C1897">
            <v>66.5</v>
          </cell>
        </row>
        <row r="1898">
          <cell r="A1898" t="str">
            <v>MX945-IX-6A</v>
          </cell>
          <cell r="B1898" t="str">
            <v>VANQUISH Iron 60 X #6</v>
          </cell>
          <cell r="C1898">
            <v>67.7</v>
          </cell>
        </row>
        <row r="1899">
          <cell r="A1899" t="str">
            <v>MX945-IX-7A</v>
          </cell>
          <cell r="B1899" t="str">
            <v>VANQUISH Iron 60 X #7</v>
          </cell>
          <cell r="C1899">
            <v>67.7</v>
          </cell>
        </row>
        <row r="1900">
          <cell r="A1900" t="str">
            <v>MX945-IX-8A</v>
          </cell>
          <cell r="B1900" t="str">
            <v>VANQUISH Iron 60 X #8</v>
          </cell>
          <cell r="C1900">
            <v>68.7</v>
          </cell>
        </row>
        <row r="1901">
          <cell r="A1901" t="str">
            <v>MX945-IX-9A</v>
          </cell>
          <cell r="B1901" t="str">
            <v>VANQUISH Iron 60 X #9</v>
          </cell>
          <cell r="C1901">
            <v>70.099999999999994</v>
          </cell>
        </row>
        <row r="1902">
          <cell r="A1902" t="str">
            <v>MX945-IX-PA</v>
          </cell>
          <cell r="B1902" t="str">
            <v>VANQUISH Iron 60 X #P</v>
          </cell>
          <cell r="C1902">
            <v>71.099999999999994</v>
          </cell>
        </row>
        <row r="1903">
          <cell r="A1903" t="str">
            <v>MX944-IS-3A</v>
          </cell>
          <cell r="B1903" t="str">
            <v>VANQUISH Iron 50 S #3</v>
          </cell>
          <cell r="C1903">
            <v>51.7</v>
          </cell>
        </row>
        <row r="1904">
          <cell r="A1904" t="str">
            <v>SF254-IA-1C</v>
          </cell>
          <cell r="B1904" t="str">
            <v>N9510301/SHI Diamana™ Blue 2024 TM60 R</v>
          </cell>
          <cell r="C1904">
            <v>56.5</v>
          </cell>
        </row>
        <row r="1905">
          <cell r="A1905" t="str">
            <v>SF254-IR-1C</v>
          </cell>
          <cell r="B1905" t="str">
            <v>N9510201/SHI Diamana™ Blue 2024 TM60 SR</v>
          </cell>
          <cell r="C1905">
            <v>61</v>
          </cell>
        </row>
        <row r="1906">
          <cell r="A1906" t="str">
            <v>CB043-WX-1A</v>
          </cell>
          <cell r="B1906" t="str">
            <v>SD22GX190460/TENSEI 1K BLACK 65G X-FLEX</v>
          </cell>
          <cell r="C1906">
            <v>70.5</v>
          </cell>
        </row>
        <row r="1907">
          <cell r="A1907" t="str">
            <v>SF245-WS-1J</v>
          </cell>
          <cell r="B1907" t="str">
            <v>N9511401/SHD Diamana™ SV 2024 TM50 SR</v>
          </cell>
          <cell r="C1907">
            <v>57</v>
          </cell>
        </row>
        <row r="1908">
          <cell r="A1908" t="str">
            <v>SF245-WSR1J</v>
          </cell>
          <cell r="B1908" t="str">
            <v>N9511501/SHD Diamana™ SV 2024 TM50 R</v>
          </cell>
          <cell r="C1908">
            <v>54.5</v>
          </cell>
        </row>
        <row r="1909">
          <cell r="A1909" t="str">
            <v>MX944-WR-3A</v>
          </cell>
          <cell r="B1909" t="str">
            <v>VANQUISH  FW 50R</v>
          </cell>
          <cell r="C1909">
            <v>55.2</v>
          </cell>
        </row>
        <row r="1910">
          <cell r="A1910" t="str">
            <v>MX944-WS-3A</v>
          </cell>
          <cell r="B1910" t="str">
            <v>VANQUISH  FW 50S</v>
          </cell>
          <cell r="C1910">
            <v>59.4</v>
          </cell>
        </row>
        <row r="1911">
          <cell r="A1911" t="str">
            <v>MX944-WX-3A</v>
          </cell>
          <cell r="B1911" t="str">
            <v>VANQUISH  FW 50X</v>
          </cell>
          <cell r="C1911">
            <v>60</v>
          </cell>
        </row>
        <row r="1912">
          <cell r="A1912" t="str">
            <v>MX945-UR-1A</v>
          </cell>
          <cell r="B1912" t="str">
            <v>VANQUISH  HYBRID 370 (9.5mm) 60R</v>
          </cell>
          <cell r="C1912">
            <v>61.9</v>
          </cell>
        </row>
        <row r="1913">
          <cell r="A1913" t="str">
            <v>MX945-US-1A</v>
          </cell>
          <cell r="B1913" t="str">
            <v>VANQUISH  HYBRID 370 (9.5mm) 60S</v>
          </cell>
          <cell r="C1913">
            <v>67.5</v>
          </cell>
        </row>
        <row r="1914">
          <cell r="A1914" t="str">
            <v>MX945-UX-1A</v>
          </cell>
          <cell r="B1914" t="str">
            <v>VANQUISH  HYBRID 370 (9.5mm) 60X</v>
          </cell>
          <cell r="C1914">
            <v>69.3</v>
          </cell>
        </row>
        <row r="1915">
          <cell r="A1915" t="str">
            <v>MX945-WX-3A</v>
          </cell>
          <cell r="B1915" t="str">
            <v>VANQUISH  FW 60X</v>
          </cell>
          <cell r="C1915">
            <v>68.900000000000006</v>
          </cell>
        </row>
        <row r="1916">
          <cell r="A1916" t="str">
            <v>MX965-UR-1A</v>
          </cell>
          <cell r="B1916" t="str">
            <v>VANQUISH  HYBRID 355 (9.0mm) 50R</v>
          </cell>
          <cell r="C1916">
            <v>50.1</v>
          </cell>
        </row>
        <row r="1917">
          <cell r="A1917" t="str">
            <v>MX965-US-1A</v>
          </cell>
          <cell r="B1917" t="str">
            <v>VANQUISH  HYBRID 355 (9.0mm) 50S</v>
          </cell>
          <cell r="C1917">
            <v>53.6</v>
          </cell>
        </row>
        <row r="1918">
          <cell r="A1918" t="str">
            <v>MX965-UX-1A</v>
          </cell>
          <cell r="B1918" t="str">
            <v>VANQUISH  HYBRID 355 (9.0mm) 50X</v>
          </cell>
          <cell r="C1918">
            <v>56.8</v>
          </cell>
        </row>
        <row r="1919">
          <cell r="A1919" t="str">
            <v>MX966-UR-1A</v>
          </cell>
          <cell r="B1919" t="str">
            <v>VANQUISH  HYBRID 355 (9.0mm) 60R</v>
          </cell>
          <cell r="C1919">
            <v>60.3</v>
          </cell>
        </row>
        <row r="1920">
          <cell r="A1920" t="str">
            <v>MX966-US-1A</v>
          </cell>
          <cell r="B1920" t="str">
            <v>VANQUISH  HYBRID 355 (9.0mm) 60S</v>
          </cell>
          <cell r="C1920">
            <v>65.099999999999994</v>
          </cell>
        </row>
        <row r="1921">
          <cell r="A1921" t="str">
            <v>MX966-UX-1A</v>
          </cell>
          <cell r="B1921" t="str">
            <v>VANQUISH  HYBRID 355 (9.0mm) 60X</v>
          </cell>
          <cell r="C1921">
            <v>68.599999999999994</v>
          </cell>
        </row>
        <row r="1922">
          <cell r="A1922" t="str">
            <v>MX944-UR-1A</v>
          </cell>
          <cell r="B1922" t="str">
            <v>VANQUISH  HYBRID 370 (9.5mm) 50R</v>
          </cell>
          <cell r="C1922">
            <v>51.7</v>
          </cell>
        </row>
        <row r="1923">
          <cell r="A1923" t="str">
            <v>MX944-US-1A</v>
          </cell>
          <cell r="B1923" t="str">
            <v>VANQUISH  HYBRID 370 (9.5mm) 50S</v>
          </cell>
          <cell r="C1923">
            <v>55.5</v>
          </cell>
        </row>
        <row r="1924">
          <cell r="A1924" t="str">
            <v>MX944-UX-1A</v>
          </cell>
          <cell r="B1924" t="str">
            <v>VANQUISH  HYBRID 370 (9.5mm) 50X</v>
          </cell>
          <cell r="C1924">
            <v>58.8</v>
          </cell>
        </row>
        <row r="1925">
          <cell r="A1925" t="str">
            <v>SF283-WR-1B</v>
          </cell>
          <cell r="B1925" t="str">
            <v>N2987901/MITSUBISHI DIAMANA T+ 60R</v>
          </cell>
          <cell r="C1925">
            <v>64.5</v>
          </cell>
        </row>
        <row r="1926">
          <cell r="A1926" t="str">
            <v>SF244-IR-3D</v>
          </cell>
          <cell r="B1926" t="str">
            <v>N3139001/Tensei AV Limited Blue HY 65 R</v>
          </cell>
          <cell r="C1926">
            <v>68.5</v>
          </cell>
        </row>
        <row r="1927">
          <cell r="A1927" t="str">
            <v>SF248-IA-1D</v>
          </cell>
          <cell r="B1927" t="str">
            <v>N9510501/SHI Eldio 2024 TM40 A</v>
          </cell>
          <cell r="C1927">
            <v>59</v>
          </cell>
        </row>
        <row r="1928">
          <cell r="A1928" t="str">
            <v>SF250-IS-3D</v>
          </cell>
          <cell r="B1928" t="str">
            <v>N3138801/Tensei AV Limited Blue HY 85 X</v>
          </cell>
          <cell r="C1928">
            <v>95.5</v>
          </cell>
        </row>
        <row r="1929">
          <cell r="A1929" t="str">
            <v>SF256-IR-1E</v>
          </cell>
          <cell r="B1929" t="str">
            <v>N9511201/SHI Diamana™ SV 2024 TM70 R</v>
          </cell>
          <cell r="C1929">
            <v>69.5</v>
          </cell>
        </row>
        <row r="1930">
          <cell r="A1930" t="str">
            <v>SF282-WR-3B</v>
          </cell>
          <cell r="B1930" t="str">
            <v>N3112801/Tensei AV Limited Blue FW 65 R</v>
          </cell>
          <cell r="C1930">
            <v>73</v>
          </cell>
        </row>
        <row r="1931">
          <cell r="A1931" t="str">
            <v>SF282-WX-3B</v>
          </cell>
          <cell r="B1931" t="str">
            <v>N3112601/Tensei AV Limited Blue FW 75 X</v>
          </cell>
          <cell r="C1931">
            <v>78</v>
          </cell>
        </row>
        <row r="1932">
          <cell r="A1932" t="str">
            <v>MX783-WS-1BW</v>
          </cell>
          <cell r="B1932" t="str">
            <v>KAILI White 60 S-FLEX (DEMO)</v>
          </cell>
          <cell r="C1932">
            <v>68</v>
          </cell>
        </row>
        <row r="1933">
          <cell r="A1933" t="str">
            <v>MX783-WX-1BW</v>
          </cell>
          <cell r="B1933" t="str">
            <v>KAILI White 60 X-FLEX (DEMO)</v>
          </cell>
          <cell r="C1933">
            <v>69.5</v>
          </cell>
        </row>
        <row r="1934">
          <cell r="A1934" t="str">
            <v>MX681-IS-5AO</v>
          </cell>
          <cell r="B1934" t="str">
            <v>MMT 105 S #5 38.0</v>
          </cell>
          <cell r="C1934">
            <v>108</v>
          </cell>
        </row>
        <row r="1935">
          <cell r="A1935" t="str">
            <v>MX681-IS-6AO</v>
          </cell>
          <cell r="B1935" t="str">
            <v>MMT 105 S #6 37.5</v>
          </cell>
          <cell r="C1935">
            <v>109.5</v>
          </cell>
        </row>
        <row r="1936">
          <cell r="A1936" t="str">
            <v>MX681-IS-7AO</v>
          </cell>
          <cell r="B1936" t="str">
            <v>MMT 105 S #7 37.0</v>
          </cell>
          <cell r="C1936">
            <v>109</v>
          </cell>
        </row>
        <row r="1937">
          <cell r="A1937" t="str">
            <v>MX681-IS-8AO</v>
          </cell>
          <cell r="B1937" t="str">
            <v>MMT 105 S #8 36.5</v>
          </cell>
          <cell r="C1937">
            <v>110</v>
          </cell>
        </row>
        <row r="1938">
          <cell r="A1938" t="str">
            <v>MX681-IS-9AO</v>
          </cell>
          <cell r="B1938" t="str">
            <v>MMT 105 S #9 36.0</v>
          </cell>
          <cell r="C1938">
            <v>112</v>
          </cell>
        </row>
        <row r="1939">
          <cell r="A1939" t="str">
            <v>MX681-IS-PAO</v>
          </cell>
          <cell r="B1939" t="str">
            <v>MMT 105 S PW 35.5</v>
          </cell>
          <cell r="C1939">
            <v>110</v>
          </cell>
        </row>
        <row r="1940">
          <cell r="A1940" t="str">
            <v>MX726-IR-5AO</v>
          </cell>
          <cell r="B1940" t="str">
            <v>MMT 85 TAPER GR 38.0</v>
          </cell>
          <cell r="C1940">
            <v>83</v>
          </cell>
        </row>
        <row r="1941">
          <cell r="A1941" t="str">
            <v>MX726-IR-6AO</v>
          </cell>
          <cell r="B1941" t="str">
            <v>MMT 85 TAPER GR 37.5</v>
          </cell>
          <cell r="C1941">
            <v>82</v>
          </cell>
        </row>
        <row r="1942">
          <cell r="A1942" t="str">
            <v>MX726-IR-7AO</v>
          </cell>
          <cell r="B1942" t="str">
            <v>MMT 85 TAPER GR 37.0</v>
          </cell>
          <cell r="C1942">
            <v>81</v>
          </cell>
        </row>
        <row r="1943">
          <cell r="A1943" t="str">
            <v>MX726-IR-8AO</v>
          </cell>
          <cell r="B1943" t="str">
            <v>MMT 85 TAPER GR 36.5</v>
          </cell>
          <cell r="C1943">
            <v>82</v>
          </cell>
        </row>
        <row r="1944">
          <cell r="A1944" t="str">
            <v>MX726-IR-9AO</v>
          </cell>
          <cell r="B1944" t="str">
            <v>MMT 85 TAPER GR 36.0</v>
          </cell>
          <cell r="C1944">
            <v>82</v>
          </cell>
        </row>
        <row r="1945">
          <cell r="A1945" t="str">
            <v>MX726-IR-PAO</v>
          </cell>
          <cell r="B1945" t="str">
            <v>MMT 85 TAPER GR 35.5</v>
          </cell>
          <cell r="C1945">
            <v>82</v>
          </cell>
        </row>
        <row r="1946">
          <cell r="A1946" t="str">
            <v>CW155-IRA2A</v>
          </cell>
          <cell r="B1946" t="str">
            <v>SF IR/HY MCA NEW TENSEI 40 GR R2 JV</v>
          </cell>
          <cell r="C1946">
            <v>46</v>
          </cell>
        </row>
        <row r="1947">
          <cell r="A1947" t="str">
            <v>CW154-IR-2A</v>
          </cell>
          <cell r="B1947" t="str">
            <v>SF IR/HY MCA TENSEI SLV 45 GR R JV</v>
          </cell>
          <cell r="C1947">
            <v>48.5</v>
          </cell>
        </row>
        <row r="1948">
          <cell r="A1948" t="str">
            <v>CW154-IRA2A</v>
          </cell>
          <cell r="B1948" t="str">
            <v>SF IR/HY MCA TENSEI SLV 45 GR R2 JV</v>
          </cell>
          <cell r="C1948">
            <v>47.5</v>
          </cell>
        </row>
        <row r="1949">
          <cell r="A1949" t="str">
            <v>CW154-IS-2A</v>
          </cell>
          <cell r="B1949" t="str">
            <v>SF IR/HY MCA TENSEI SLV 45 GR S JV</v>
          </cell>
          <cell r="C1949">
            <v>51</v>
          </cell>
        </row>
        <row r="1950">
          <cell r="A1950" t="str">
            <v>CW154-ISR2A</v>
          </cell>
          <cell r="B1950" t="str">
            <v>SF IR/HY MCA TENSEI SLV 45 GR SR JV</v>
          </cell>
          <cell r="C1950">
            <v>50</v>
          </cell>
        </row>
        <row r="1951">
          <cell r="A1951" t="str">
            <v>CW154-WR-1A</v>
          </cell>
          <cell r="B1951" t="str">
            <v>Tahoe JV DR-MAX / Tensei / R-flex</v>
          </cell>
          <cell r="C1951">
            <v>47.5</v>
          </cell>
        </row>
        <row r="1952">
          <cell r="A1952" t="str">
            <v>CW154-WS-1A</v>
          </cell>
          <cell r="B1952" t="str">
            <v>Tahoe JV DR-MAX / Tensei / S-flex</v>
          </cell>
          <cell r="C1952">
            <v>52</v>
          </cell>
        </row>
        <row r="1953">
          <cell r="A1953" t="str">
            <v>CW154-WSR1A</v>
          </cell>
          <cell r="B1953" t="str">
            <v>Tahoe JV DR-MAX / Tensei / SR-flex</v>
          </cell>
          <cell r="C1953">
            <v>49.5</v>
          </cell>
        </row>
        <row r="1954">
          <cell r="A1954" t="str">
            <v>CW155-WRA1A</v>
          </cell>
          <cell r="B1954" t="str">
            <v>Tahoe JV DR-MAX FAST 40 R2</v>
          </cell>
          <cell r="C1954">
            <v>44</v>
          </cell>
        </row>
        <row r="1955">
          <cell r="A1955" t="str">
            <v>SF282-WS-3B</v>
          </cell>
          <cell r="B1955" t="str">
            <v>N3112701/Tensei AV Limited Blue FW 75 S</v>
          </cell>
          <cell r="C1955">
            <v>76</v>
          </cell>
        </row>
        <row r="1956">
          <cell r="A1956" t="str">
            <v>CW129-WX-1B</v>
          </cell>
          <cell r="B1956" t="str">
            <v>3556Q4/SF WD MCA TENSEI BLUE 75 GR XST</v>
          </cell>
          <cell r="C1956">
            <v>79.5</v>
          </cell>
        </row>
        <row r="1957">
          <cell r="A1957" t="str">
            <v>MX669-IS-3C</v>
          </cell>
          <cell r="B1957" t="str">
            <v>MMT Taper Iron 95 S-flex (0.355 taper) 39" w/tip prep</v>
          </cell>
          <cell r="C1957">
            <v>94</v>
          </cell>
        </row>
        <row r="1958">
          <cell r="A1958" t="str">
            <v>MX669-IS-4C</v>
          </cell>
          <cell r="B1958" t="str">
            <v>MMT Taper Iron 95 S-flex (0.355 taper) 38.5" w/tip prep</v>
          </cell>
          <cell r="C1958">
            <v>94</v>
          </cell>
        </row>
        <row r="1959">
          <cell r="A1959" t="str">
            <v>MX669-IS-5C</v>
          </cell>
          <cell r="B1959" t="str">
            <v>MMT Taper Iron 95 S-flex (0.355 taper) 38" w/tip prep</v>
          </cell>
          <cell r="C1959">
            <v>94</v>
          </cell>
        </row>
        <row r="1960">
          <cell r="A1960" t="str">
            <v>MX669-IS-6C</v>
          </cell>
          <cell r="B1960" t="str">
            <v>MMT Taper Iron 95 S-flex (0.355 taper) 37.5" w/tip prep</v>
          </cell>
          <cell r="C1960">
            <v>93</v>
          </cell>
        </row>
        <row r="1961">
          <cell r="A1961" t="str">
            <v>MX669-IS-7C</v>
          </cell>
          <cell r="B1961" t="str">
            <v>MMT Taper Iron 95 S-flex (0.355 taper) 37" w/tip prep</v>
          </cell>
          <cell r="C1961">
            <v>93</v>
          </cell>
        </row>
        <row r="1962">
          <cell r="A1962" t="str">
            <v>MX669-IS-8C</v>
          </cell>
          <cell r="B1962" t="str">
            <v>MMT Taper Iron 95 S-flex (0.355 taper) 36.5" w/tip prep</v>
          </cell>
          <cell r="C1962">
            <v>93</v>
          </cell>
        </row>
        <row r="1963">
          <cell r="A1963" t="str">
            <v>MX669-IS-9C</v>
          </cell>
          <cell r="B1963" t="str">
            <v>MMT Taper Iron 95 S-flex (0.355 taper) 36" w/tip prep</v>
          </cell>
          <cell r="C1963">
            <v>93</v>
          </cell>
        </row>
        <row r="1964">
          <cell r="A1964" t="str">
            <v>MX669-IS-PC</v>
          </cell>
          <cell r="B1964" t="str">
            <v>MMT Taper Iron 95 S-flex (0.355 taper) 35.5" w/tip prep</v>
          </cell>
          <cell r="C1964">
            <v>94</v>
          </cell>
        </row>
        <row r="1965">
          <cell r="A1965" t="str">
            <v>MX721-ITX3C</v>
          </cell>
          <cell r="B1965" t="str">
            <v>MMT Taper Iron 125 TX-flex (0.355 taper) 39" w/tip prep</v>
          </cell>
          <cell r="C1965">
            <v>126.5</v>
          </cell>
        </row>
        <row r="1966">
          <cell r="A1966" t="str">
            <v>MX721-ITX4C</v>
          </cell>
          <cell r="B1966" t="str">
            <v>MMT Taper Iron 125 TX-flex (0.355 taper) 38.5" w/tip prep</v>
          </cell>
          <cell r="C1966">
            <v>124.5</v>
          </cell>
        </row>
        <row r="1967">
          <cell r="A1967" t="str">
            <v>MX721-ITX5C</v>
          </cell>
          <cell r="B1967" t="str">
            <v>MMT Taper Iron 125 TX-flex (0.355 taper) 38" w/tip prep</v>
          </cell>
          <cell r="C1967">
            <v>124</v>
          </cell>
        </row>
        <row r="1968">
          <cell r="A1968" t="str">
            <v>MX721-ITX6C</v>
          </cell>
          <cell r="B1968" t="str">
            <v>MMT Taper Iron 125 TX-flex (0.355 taper) 37.5" w/tip prep</v>
          </cell>
          <cell r="C1968">
            <v>125</v>
          </cell>
        </row>
        <row r="1969">
          <cell r="A1969" t="str">
            <v>MX721-ITX7C</v>
          </cell>
          <cell r="B1969" t="str">
            <v>MMT Taper Iron 125 TX-flex (0.355 taper) 37" w/tip prep</v>
          </cell>
          <cell r="C1969">
            <v>124</v>
          </cell>
        </row>
        <row r="1970">
          <cell r="A1970" t="str">
            <v>MX721-ITX8C</v>
          </cell>
          <cell r="B1970" t="str">
            <v>MMT Taper Iron 125 TX-flex (0.355 taper) 36.5" w/tip prep</v>
          </cell>
          <cell r="C1970">
            <v>125</v>
          </cell>
        </row>
        <row r="1971">
          <cell r="A1971" t="str">
            <v>MX721-ITX9C</v>
          </cell>
          <cell r="B1971" t="str">
            <v>MMT Taper Iron 125 TX-flex (0.355 taper) 36" w/tip prep</v>
          </cell>
          <cell r="C1971">
            <v>126</v>
          </cell>
        </row>
        <row r="1972">
          <cell r="A1972" t="str">
            <v>MX721-ITXPC</v>
          </cell>
          <cell r="B1972" t="str">
            <v>MMT Taper Iron 125 TX-flex (0.355 taper) 35.5" w/tip prep</v>
          </cell>
          <cell r="C1972">
            <v>125</v>
          </cell>
        </row>
        <row r="1973">
          <cell r="A1973" t="str">
            <v>SF244-IS-3D</v>
          </cell>
          <cell r="B1973" t="str">
            <v>N3138901/Tensei AV Limited Blue HY 75 S</v>
          </cell>
          <cell r="C1973">
            <v>79</v>
          </cell>
        </row>
        <row r="1974">
          <cell r="A1974" t="str">
            <v>SF287-IL-PA</v>
          </cell>
          <cell r="B1974" t="str">
            <v>N9513401/Diamana 50 TM PW L</v>
          </cell>
          <cell r="C1974">
            <v>53</v>
          </cell>
        </row>
        <row r="1975">
          <cell r="A1975" t="str">
            <v>SF287-IL-6A</v>
          </cell>
          <cell r="B1975" t="str">
            <v>N9513401/Diamana 50 TM PW L</v>
          </cell>
          <cell r="C1975">
            <v>52</v>
          </cell>
        </row>
        <row r="1976">
          <cell r="A1976" t="str">
            <v>SF287-IL-7A</v>
          </cell>
          <cell r="B1976" t="str">
            <v>N9513001/Diamana 50 TM #6 L</v>
          </cell>
          <cell r="C1976">
            <v>52.5</v>
          </cell>
        </row>
        <row r="1977">
          <cell r="A1977" t="str">
            <v>SF287-IL-8A</v>
          </cell>
          <cell r="B1977" t="str">
            <v>N9513101/Diamana 50 TM #7 L</v>
          </cell>
          <cell r="C1977">
            <v>52.5</v>
          </cell>
        </row>
        <row r="1978">
          <cell r="A1978" t="str">
            <v>SF287-IL-9A</v>
          </cell>
          <cell r="B1978" t="str">
            <v>N9513201/Diamana 50 TM #8 L</v>
          </cell>
          <cell r="C1978">
            <v>53</v>
          </cell>
        </row>
        <row r="1979">
          <cell r="A1979" t="str">
            <v>SF287-IL-AA</v>
          </cell>
          <cell r="B1979" t="str">
            <v>N9521801/Diamana 50 TM AW L</v>
          </cell>
          <cell r="C1979">
            <v>53</v>
          </cell>
        </row>
        <row r="1980">
          <cell r="A1980" t="str">
            <v>AX202-WA-1EA</v>
          </cell>
          <cell r="B1980" t="str">
            <v>YA4WGA01/ALDILA ASCENT PL 50A GRAPH WOOD SHAFT A-FLEX</v>
          </cell>
          <cell r="C1980">
            <v>58.5</v>
          </cell>
        </row>
        <row r="1981">
          <cell r="A1981" t="str">
            <v>AX202-WL-1EA</v>
          </cell>
          <cell r="B1981" t="str">
            <v>YA4WGL01/ALDILA ASCENT PL 45L GRAPH WOOD SHAFT L-FLEX</v>
          </cell>
          <cell r="C1981">
            <v>56.5</v>
          </cell>
        </row>
        <row r="1982">
          <cell r="A1982" t="str">
            <v>AX203-IA-1EA</v>
          </cell>
          <cell r="B1982" t="str">
            <v>YA4IGA01/ALDILA ASCENT PL 55A GRAPH IRON SHAFT A-FLEX</v>
          </cell>
          <cell r="C1982">
            <v>57.5</v>
          </cell>
        </row>
        <row r="1983">
          <cell r="A1983" t="str">
            <v>AX203-IL-1EA</v>
          </cell>
          <cell r="B1983" t="str">
            <v>YA4IGL01/ALDILA ASCENT PL 50L GRAPH IRON SHAFT L-FLEX</v>
          </cell>
          <cell r="C1983">
            <v>55.5</v>
          </cell>
        </row>
        <row r="1984">
          <cell r="A1984" t="str">
            <v>CW129-WR-1B</v>
          </cell>
          <cell r="B1984" t="str">
            <v>3556S2/SF WD MCA TENSEI BLUE 75 GR REG</v>
          </cell>
          <cell r="C1984">
            <v>75.5</v>
          </cell>
        </row>
        <row r="1985">
          <cell r="A1985" t="str">
            <v>MX681-IS-3C</v>
          </cell>
          <cell r="B1985" t="str">
            <v>MMT Taper Iron 105 S-flex (0.355 taper) 39" w/tip prep</v>
          </cell>
          <cell r="C1985">
            <v>109</v>
          </cell>
        </row>
        <row r="1986">
          <cell r="A1986" t="str">
            <v>MX681-IS-4C</v>
          </cell>
          <cell r="B1986" t="str">
            <v>MMT Taper Iron 105 S-flex (0.355 taper) 38.5" w/tip prep</v>
          </cell>
          <cell r="C1986">
            <v>109.5</v>
          </cell>
        </row>
        <row r="1987">
          <cell r="A1987" t="str">
            <v>MX681-IS-5C</v>
          </cell>
          <cell r="B1987" t="str">
            <v>MMT Taper Iron 105 S-flex (0.355 taper) 38" w/tip prep</v>
          </cell>
          <cell r="C1987">
            <v>108</v>
          </cell>
        </row>
        <row r="1988">
          <cell r="A1988" t="str">
            <v>MX681-IS-6C</v>
          </cell>
          <cell r="B1988" t="str">
            <v>MMT Taper Iron 105 S-flex (0.355 taper) 37.5" w/tip prep</v>
          </cell>
          <cell r="C1988">
            <v>109.5</v>
          </cell>
        </row>
        <row r="1989">
          <cell r="A1989" t="str">
            <v>MX681-IS-7C</v>
          </cell>
          <cell r="B1989" t="str">
            <v>MMT Taper Iron 105 S-flex (0.355 taper) 37" w/tip prep</v>
          </cell>
          <cell r="C1989">
            <v>109</v>
          </cell>
        </row>
        <row r="1990">
          <cell r="A1990" t="str">
            <v>MX681-IS-8C</v>
          </cell>
          <cell r="B1990" t="str">
            <v>MMT Taper Iron 105 S-flex (0.355 taper) 36.5" w/tip prep</v>
          </cell>
          <cell r="C1990">
            <v>110</v>
          </cell>
        </row>
        <row r="1991">
          <cell r="A1991" t="str">
            <v>MX681-IS-9C</v>
          </cell>
          <cell r="B1991" t="str">
            <v>MMT Taper Iron 105 S-flex (0.355 taper) 36" w/tip prep</v>
          </cell>
          <cell r="C1991">
            <v>112</v>
          </cell>
        </row>
        <row r="1992">
          <cell r="A1992" t="str">
            <v>MX681-IS-PC</v>
          </cell>
          <cell r="B1992" t="str">
            <v>MMT Taper Iron 105 S-flex (0.355 taper) 35.5" w/tip prep</v>
          </cell>
          <cell r="C1992">
            <v>110</v>
          </cell>
        </row>
        <row r="1993">
          <cell r="A1993" t="str">
            <v>MX681-ITX3C</v>
          </cell>
          <cell r="B1993" t="str">
            <v>MMT Taper Iron 105 TX-flex (0.355 taper) 39" w/tip prep</v>
          </cell>
          <cell r="C1993">
            <v>114.5</v>
          </cell>
        </row>
        <row r="1994">
          <cell r="A1994" t="str">
            <v>MX681-ITX4C</v>
          </cell>
          <cell r="B1994" t="str">
            <v>MMT Taper Iron 105 TX-flex (0.355 taper) 38.5" w/tip prep</v>
          </cell>
          <cell r="C1994">
            <v>114.5</v>
          </cell>
        </row>
        <row r="1995">
          <cell r="A1995" t="str">
            <v>MX681-ITX5C</v>
          </cell>
          <cell r="B1995" t="str">
            <v>MMT Taper Iron 105 TX-flex (0.355 taper) 38" w/tip prep</v>
          </cell>
          <cell r="C1995">
            <v>117</v>
          </cell>
        </row>
        <row r="1996">
          <cell r="A1996" t="str">
            <v>MX681-ITX7C</v>
          </cell>
          <cell r="B1996" t="str">
            <v>MMT Taper Iron 105 TX-flex (0.355 taper) 37" w/tip prep</v>
          </cell>
          <cell r="C1996">
            <v>117</v>
          </cell>
        </row>
        <row r="1997">
          <cell r="A1997" t="str">
            <v>MX681-ITX6C</v>
          </cell>
          <cell r="B1997" t="str">
            <v>MMT Taper Iron 105 TX-flex (0.355 taper) 37.5" w/tip prep</v>
          </cell>
          <cell r="C1997">
            <v>116</v>
          </cell>
        </row>
        <row r="1998">
          <cell r="A1998" t="str">
            <v>MX681-ITX8C</v>
          </cell>
          <cell r="B1998" t="str">
            <v>MMT Taper Iron 105 TX-flex (0.355 taper) 36.5" w/tip prep</v>
          </cell>
          <cell r="C1998">
            <v>117</v>
          </cell>
        </row>
        <row r="1999">
          <cell r="A1999" t="str">
            <v>MX681-ITX9C</v>
          </cell>
          <cell r="B1999" t="str">
            <v>MMT Taper Iron 105 TX-flex (0.355 taper) 36" w/tip prep</v>
          </cell>
          <cell r="C1999">
            <v>117</v>
          </cell>
        </row>
        <row r="2000">
          <cell r="A2000" t="str">
            <v>MX681-ITXPC</v>
          </cell>
          <cell r="B2000" t="str">
            <v>MMT Taper Iron 105 TX-flex (0.355 taper) 35.5" w/tip prep</v>
          </cell>
          <cell r="C2000">
            <v>115</v>
          </cell>
        </row>
        <row r="2001">
          <cell r="A2001" t="str">
            <v>SF293-WS-1A</v>
          </cell>
          <cell r="B2001" t="str">
            <v>M1270001/Tensei AV Limited Black X-Link 65gram S</v>
          </cell>
          <cell r="C2001">
            <v>68.5</v>
          </cell>
        </row>
        <row r="2002">
          <cell r="A2002" t="str">
            <v>SF293-WX-1A</v>
          </cell>
          <cell r="B2002" t="str">
            <v>M1269901/Tensei AV Limited Black X-Link 65gram X</v>
          </cell>
          <cell r="C2002">
            <v>70.5</v>
          </cell>
        </row>
        <row r="2003">
          <cell r="A2003" t="str">
            <v>AU223-IA-1Z</v>
          </cell>
          <cell r="B2003" t="str">
            <v>Taper Tip Iron Durability Shaft</v>
          </cell>
          <cell r="C2003">
            <v>80</v>
          </cell>
        </row>
        <row r="2004">
          <cell r="A2004" t="str">
            <v>YR172-WA-3A</v>
          </cell>
          <cell r="B2004" t="str">
            <v>EF241-37C/24 SUPER egg FW A-flex</v>
          </cell>
          <cell r="C2004">
            <v>45.5</v>
          </cell>
        </row>
        <row r="2005">
          <cell r="A2005" t="str">
            <v>YR172-WR-3A</v>
          </cell>
          <cell r="B2005" t="str">
            <v>EF241-40C/24 SUPER egg FW R-flex</v>
          </cell>
          <cell r="C2005">
            <v>48</v>
          </cell>
        </row>
        <row r="2006">
          <cell r="A2006" t="str">
            <v>YR174-ILA7A</v>
          </cell>
          <cell r="B2006" t="str">
            <v>EI241-3507/24 SUPER egg Iron LA-flex #7</v>
          </cell>
          <cell r="C2006">
            <v>45.5</v>
          </cell>
        </row>
        <row r="2007">
          <cell r="A2007" t="str">
            <v>YR176-WL-3A</v>
          </cell>
          <cell r="B2007" t="str">
            <v>LF242-30C/24 SUPER egg FW L-flex</v>
          </cell>
          <cell r="C2007">
            <v>41.5</v>
          </cell>
        </row>
        <row r="2008">
          <cell r="A2008" t="str">
            <v>YR177-UL-1A</v>
          </cell>
          <cell r="B2008" t="str">
            <v>LU242-30D/24 SUPER egg Utility L-flex</v>
          </cell>
          <cell r="C2008">
            <v>43.5</v>
          </cell>
        </row>
        <row r="2009">
          <cell r="A2009" t="str">
            <v>YR178-IL-7A</v>
          </cell>
          <cell r="B2009" t="str">
            <v>LI242-3007/24 SUPER egg Iron L-flex #7</v>
          </cell>
          <cell r="C2009">
            <v>42.5</v>
          </cell>
        </row>
        <row r="2010">
          <cell r="A2010" t="str">
            <v>YR178-IL-8A</v>
          </cell>
          <cell r="B2010" t="str">
            <v>LI242-3008/24 SUPER egg Iron L-flex #8</v>
          </cell>
          <cell r="C2010">
            <v>44</v>
          </cell>
        </row>
        <row r="2011">
          <cell r="A2011" t="str">
            <v>YR178-IL-9A</v>
          </cell>
          <cell r="B2011" t="str">
            <v>LI242-3009/24 SUPER egg Iron L-flex #9</v>
          </cell>
          <cell r="C2011">
            <v>45</v>
          </cell>
        </row>
        <row r="2012">
          <cell r="A2012" t="str">
            <v>YR178-IL-AA</v>
          </cell>
          <cell r="B2012" t="str">
            <v>LI242-30W2/24 SUPER egg Iron L-flex #A</v>
          </cell>
          <cell r="C2012">
            <v>46</v>
          </cell>
        </row>
        <row r="2013">
          <cell r="A2013" t="str">
            <v>YR178-IL-PA</v>
          </cell>
          <cell r="B2013" t="str">
            <v>LI242-30W1/24 SUPER egg Iron L-flex #P</v>
          </cell>
          <cell r="C2013">
            <v>46</v>
          </cell>
        </row>
        <row r="2014">
          <cell r="A2014" t="str">
            <v>YR178-IL-SA</v>
          </cell>
          <cell r="B2014" t="str">
            <v>LI242-30W3/24 SUPER egg Iron L-flex #S</v>
          </cell>
          <cell r="C2014">
            <v>47.5</v>
          </cell>
        </row>
        <row r="2015">
          <cell r="A2015" t="str">
            <v>CW128-WR-1BY</v>
          </cell>
          <cell r="B2015" t="str">
            <v>3558O2/SF WD MCA TENSEI BLUE 65 GR REG DM</v>
          </cell>
          <cell r="C2015">
            <v>66.5</v>
          </cell>
        </row>
        <row r="2016">
          <cell r="A2016" t="str">
            <v>CW128-WS-1BY</v>
          </cell>
          <cell r="B2016" t="str">
            <v>3558O3/SF WD MCA TENSEI BLUE 65 GR STF DM</v>
          </cell>
          <cell r="C2016">
            <v>68</v>
          </cell>
        </row>
        <row r="2017">
          <cell r="A2017" t="str">
            <v>CW128-WX-1BY</v>
          </cell>
          <cell r="B2017" t="str">
            <v>3558O4/SF WD MCA TENSEI BLUE 65 GR XST DM</v>
          </cell>
          <cell r="C2017">
            <v>69</v>
          </cell>
        </row>
        <row r="2018">
          <cell r="A2018" t="str">
            <v>CW129-WS-1BY</v>
          </cell>
          <cell r="B2018" t="str">
            <v>3558N3/SF WD MCA TENSEI BLUE 75 GR STF DM</v>
          </cell>
          <cell r="C2018">
            <v>78</v>
          </cell>
        </row>
        <row r="2019">
          <cell r="A2019" t="str">
            <v>CW155-IRA2C</v>
          </cell>
          <cell r="B2019" t="str">
            <v>3561G1/SF IR/HY MCA TENSEI BLU/SLV 40 GR R2 JV</v>
          </cell>
          <cell r="C2019">
            <v>46</v>
          </cell>
        </row>
        <row r="2020">
          <cell r="A2020" t="str">
            <v>CW155-WRA1C</v>
          </cell>
          <cell r="B2020" t="str">
            <v>3560K1/SF WD MCA TENSEI BLU/SLV 40 GR R2 JV</v>
          </cell>
          <cell r="C2020">
            <v>44</v>
          </cell>
        </row>
        <row r="2021">
          <cell r="A2021" t="str">
            <v>MX681-ITX4AO</v>
          </cell>
          <cell r="B2021" t="str">
            <v>MMT 105 TX #4 38.5</v>
          </cell>
          <cell r="C2021">
            <v>114.5</v>
          </cell>
        </row>
        <row r="2022">
          <cell r="A2022" t="str">
            <v>MX681-ITX5AO</v>
          </cell>
          <cell r="B2022" t="str">
            <v>MMT 105 TX #5 38.0</v>
          </cell>
          <cell r="C2022">
            <v>117</v>
          </cell>
        </row>
        <row r="2023">
          <cell r="A2023" t="str">
            <v>MX681-ITX6AO</v>
          </cell>
          <cell r="B2023" t="str">
            <v>MMT 105 TX #6 37.5</v>
          </cell>
          <cell r="C2023">
            <v>116</v>
          </cell>
        </row>
        <row r="2024">
          <cell r="A2024" t="str">
            <v>MX681-ITX7AO</v>
          </cell>
          <cell r="B2024" t="str">
            <v>MMT 105 TX #7 37.0</v>
          </cell>
          <cell r="C2024">
            <v>117</v>
          </cell>
        </row>
        <row r="2025">
          <cell r="A2025" t="str">
            <v>MX681-ITX8AO</v>
          </cell>
          <cell r="B2025" t="str">
            <v>MMT 105 TX #8 36.5</v>
          </cell>
          <cell r="C2025">
            <v>117</v>
          </cell>
        </row>
        <row r="2026">
          <cell r="A2026" t="str">
            <v>MX681-ITX9AO</v>
          </cell>
          <cell r="B2026" t="str">
            <v>MMT 105 TX #9 36.0</v>
          </cell>
          <cell r="C2026">
            <v>117</v>
          </cell>
        </row>
        <row r="2027">
          <cell r="A2027" t="str">
            <v>MX681-ITXPAO</v>
          </cell>
          <cell r="B2027" t="str">
            <v>MMT 105 TX PW 35.5</v>
          </cell>
          <cell r="C2027">
            <v>115</v>
          </cell>
        </row>
        <row r="2028">
          <cell r="A2028" t="str">
            <v>MZ046-IR-1A</v>
          </cell>
          <cell r="B2028" t="str">
            <v>2MZ046-IR-1A/KAI'LI™ White Hybrid 80 R-Flex</v>
          </cell>
          <cell r="C2028">
            <v>80.5</v>
          </cell>
        </row>
        <row r="2029">
          <cell r="A2029" t="str">
            <v>MZ046-IS-1A</v>
          </cell>
          <cell r="B2029" t="str">
            <v>2MZ046-IS-1A/KAI'LI™ White Hybrid 80 S-Flex</v>
          </cell>
          <cell r="C2029">
            <v>82.5</v>
          </cell>
        </row>
        <row r="2030">
          <cell r="A2030" t="str">
            <v>MZ046-IX-1A</v>
          </cell>
          <cell r="B2030" t="str">
            <v>2MZ046-IX-1A/KAI'LI™ White Hybrid 80 X-Flex</v>
          </cell>
          <cell r="C2030">
            <v>84</v>
          </cell>
        </row>
        <row r="2031">
          <cell r="A2031" t="str">
            <v>MZ047-IS-1A</v>
          </cell>
          <cell r="B2031" t="str">
            <v>2MZ047-IS-1A/KAI'LI™ White Hybrid 90 S-Flex</v>
          </cell>
          <cell r="C2031">
            <v>91.5</v>
          </cell>
        </row>
        <row r="2032">
          <cell r="A2032" t="str">
            <v>MZ047-IX-1A</v>
          </cell>
          <cell r="B2032" t="str">
            <v>2MZ047-IX-1A/KAI'LI™ White Hybrid 90 X-Flex</v>
          </cell>
          <cell r="C2032">
            <v>92.5</v>
          </cell>
        </row>
        <row r="2033">
          <cell r="A2033" t="str">
            <v>YR173-US-1A</v>
          </cell>
          <cell r="B2033" t="str">
            <v>EU241-43D/24 SUPER egg Utility S-flex</v>
          </cell>
          <cell r="C2033">
            <v>50.5</v>
          </cell>
        </row>
        <row r="2034">
          <cell r="A2034" t="str">
            <v>YR174-IR-SA</v>
          </cell>
          <cell r="B2034" t="str">
            <v>EI241-40W3/24 SUPER egg Iron R-flex #S</v>
          </cell>
          <cell r="C2034">
            <v>61</v>
          </cell>
        </row>
        <row r="2035">
          <cell r="A2035" t="str">
            <v>YR172-WLA3A</v>
          </cell>
          <cell r="B2035" t="str">
            <v>EF241-35C/24 SUPER egg FW LA-flex</v>
          </cell>
          <cell r="C2035">
            <v>43</v>
          </cell>
        </row>
        <row r="2036">
          <cell r="A2036" t="str">
            <v>YR172-WS-3A</v>
          </cell>
          <cell r="B2036" t="str">
            <v>EF241-43C/24 SUPER egg FW S-flex</v>
          </cell>
          <cell r="C2036">
            <v>53.5</v>
          </cell>
        </row>
        <row r="2037">
          <cell r="A2037" t="str">
            <v>YR173-UA-1A</v>
          </cell>
          <cell r="B2037" t="str">
            <v>EU241-37D/24 SUPER egg Utility A-flex</v>
          </cell>
          <cell r="C2037">
            <v>45.5</v>
          </cell>
        </row>
        <row r="2038">
          <cell r="A2038" t="str">
            <v>YR173-ULA1A</v>
          </cell>
          <cell r="B2038" t="str">
            <v>EU241-35D/24 SUPER egg Utility LA-flex</v>
          </cell>
          <cell r="C2038">
            <v>45.5</v>
          </cell>
        </row>
        <row r="2039">
          <cell r="A2039" t="str">
            <v>YR173-UR-1A</v>
          </cell>
          <cell r="B2039" t="str">
            <v>EU241-40D/24 SUPER egg Utility R-flex</v>
          </cell>
          <cell r="C2039">
            <v>48</v>
          </cell>
        </row>
        <row r="2040">
          <cell r="A2040" t="str">
            <v>YR174-IA-5A</v>
          </cell>
          <cell r="B2040" t="str">
            <v>EI241-3705/24 SUPER egg Iron A-flex #5</v>
          </cell>
          <cell r="C2040">
            <v>45</v>
          </cell>
        </row>
        <row r="2041">
          <cell r="A2041" t="str">
            <v>YR174-IA-6A</v>
          </cell>
          <cell r="B2041" t="str">
            <v>EI241-3706/24 SUPER egg Iron A-flex #6</v>
          </cell>
          <cell r="C2041">
            <v>45.5</v>
          </cell>
        </row>
        <row r="2042">
          <cell r="A2042" t="str">
            <v>YR174-IA-7A</v>
          </cell>
          <cell r="B2042" t="str">
            <v>EI241-3707/24 SUPER egg Iron A-flex #7</v>
          </cell>
          <cell r="C2042">
            <v>46</v>
          </cell>
        </row>
        <row r="2043">
          <cell r="A2043" t="str">
            <v>YR174-IA-8A</v>
          </cell>
          <cell r="B2043" t="str">
            <v>EI241-3708/24 SUPER egg Iron A-flex #8</v>
          </cell>
          <cell r="C2043">
            <v>47</v>
          </cell>
        </row>
        <row r="2044">
          <cell r="A2044" t="str">
            <v>YR174-IA-9A</v>
          </cell>
          <cell r="B2044" t="str">
            <v>EI241-3709/24 SUPER egg Iron A-flex #9</v>
          </cell>
          <cell r="C2044">
            <v>48.5</v>
          </cell>
        </row>
        <row r="2045">
          <cell r="A2045" t="str">
            <v>YR174-IA-PA</v>
          </cell>
          <cell r="B2045" t="str">
            <v>EI241-37W1/24 SUPER egg Iron A-flex #P</v>
          </cell>
          <cell r="C2045">
            <v>50.5</v>
          </cell>
        </row>
        <row r="2046">
          <cell r="A2046" t="str">
            <v>YR174-IA-SA</v>
          </cell>
          <cell r="B2046" t="str">
            <v>EI241-37W3/24 SUPER egg Iron A-flex #S</v>
          </cell>
          <cell r="C2046">
            <v>61</v>
          </cell>
        </row>
        <row r="2047">
          <cell r="A2047" t="str">
            <v>YR174-ILA5A</v>
          </cell>
          <cell r="B2047" t="str">
            <v>EI241-3505/24 SUPER egg Iron LA-flex #5</v>
          </cell>
          <cell r="C2047">
            <v>43.5</v>
          </cell>
        </row>
        <row r="2048">
          <cell r="A2048" t="str">
            <v>YR174-ILA6A</v>
          </cell>
          <cell r="B2048" t="str">
            <v>EI241-3506/24 SUPER egg Iron LA-flex #6</v>
          </cell>
          <cell r="C2048">
            <v>45</v>
          </cell>
        </row>
        <row r="2049">
          <cell r="A2049" t="str">
            <v>YR174-ILA8A</v>
          </cell>
          <cell r="B2049" t="str">
            <v>EI241-3508/24 SUPER egg Iron LA-flex #8</v>
          </cell>
          <cell r="C2049">
            <v>46.5</v>
          </cell>
        </row>
        <row r="2050">
          <cell r="A2050" t="str">
            <v>YR174-ILA9A</v>
          </cell>
          <cell r="B2050" t="str">
            <v>EI241-3509/24 SUPER egg Iron LA-flex #9</v>
          </cell>
          <cell r="C2050">
            <v>48.5</v>
          </cell>
        </row>
        <row r="2051">
          <cell r="A2051" t="str">
            <v>YR174-IA-AA</v>
          </cell>
          <cell r="B2051" t="str">
            <v>EI241-37W2/24 SUPER egg Iron A-flex #A</v>
          </cell>
          <cell r="C2051">
            <v>55.5</v>
          </cell>
        </row>
        <row r="2052">
          <cell r="A2052" t="str">
            <v>YR174-ILAAA</v>
          </cell>
          <cell r="B2052" t="str">
            <v>EI241-35W2/24 SUPER egg Iron LA-flex #A</v>
          </cell>
          <cell r="C2052">
            <v>54</v>
          </cell>
        </row>
        <row r="2053">
          <cell r="A2053" t="str">
            <v>YR174-ILAPA</v>
          </cell>
          <cell r="B2053" t="str">
            <v>EI241-35W1/24 SUPER egg Iron LA-flex #P</v>
          </cell>
          <cell r="C2053">
            <v>50.5</v>
          </cell>
        </row>
        <row r="2054">
          <cell r="A2054" t="str">
            <v>YR174-ILASA</v>
          </cell>
          <cell r="B2054" t="str">
            <v>EI241-35W3/24 SUPER egg Iron LA-flex #S</v>
          </cell>
          <cell r="C2054">
            <v>60</v>
          </cell>
        </row>
        <row r="2055">
          <cell r="A2055" t="str">
            <v>YR174-IR-5A</v>
          </cell>
          <cell r="B2055" t="str">
            <v>EI241-4005/24 SUPER egg Iron R-flex #5</v>
          </cell>
          <cell r="C2055">
            <v>45.5</v>
          </cell>
        </row>
        <row r="2056">
          <cell r="A2056" t="str">
            <v>YR174-IR-6A</v>
          </cell>
          <cell r="B2056" t="str">
            <v>EI241-4006/24 SUPER egg Iron R-flex #6</v>
          </cell>
          <cell r="C2056">
            <v>45.5</v>
          </cell>
        </row>
        <row r="2057">
          <cell r="A2057" t="str">
            <v>YR174-IR-7A</v>
          </cell>
          <cell r="B2057" t="str">
            <v>EI241-4007/24 SUPER egg Iron R-flex #7</v>
          </cell>
          <cell r="C2057">
            <v>46.5</v>
          </cell>
        </row>
        <row r="2058">
          <cell r="A2058" t="str">
            <v>YR174-IR-8A</v>
          </cell>
          <cell r="B2058" t="str">
            <v>EI241-4008/24 SUPER egg Iron R-flex #8</v>
          </cell>
          <cell r="C2058">
            <v>47.5</v>
          </cell>
        </row>
        <row r="2059">
          <cell r="A2059" t="str">
            <v>YR174-IR-9A</v>
          </cell>
          <cell r="B2059" t="str">
            <v>EI241-4009/24 SUPER egg Iron R-flex #9</v>
          </cell>
          <cell r="C2059">
            <v>49.5</v>
          </cell>
        </row>
        <row r="2060">
          <cell r="A2060" t="str">
            <v>YR174-IR-AA</v>
          </cell>
          <cell r="B2060" t="str">
            <v>EI241-40W2/24 SUPER egg Iron R-flex #A</v>
          </cell>
          <cell r="C2060">
            <v>57</v>
          </cell>
        </row>
        <row r="2061">
          <cell r="A2061" t="str">
            <v>YR174-IR-PA</v>
          </cell>
          <cell r="B2061" t="str">
            <v>EI241-40W1/24 SUPER egg Iron R-flex #P</v>
          </cell>
          <cell r="C2061">
            <v>52.5</v>
          </cell>
        </row>
        <row r="2062">
          <cell r="A2062" t="str">
            <v>YR174-IS-5A</v>
          </cell>
          <cell r="B2062" t="str">
            <v>EI241-4305/24 SUPER egg Iron S-flex #5</v>
          </cell>
          <cell r="C2062">
            <v>50.5</v>
          </cell>
        </row>
        <row r="2063">
          <cell r="A2063" t="str">
            <v>YR174-IS-6A</v>
          </cell>
          <cell r="B2063" t="str">
            <v>EI241-4306/24 SUPER egg Iron S-flex #6</v>
          </cell>
          <cell r="C2063">
            <v>49</v>
          </cell>
        </row>
        <row r="2064">
          <cell r="A2064" t="str">
            <v>YR174-IS-7A</v>
          </cell>
          <cell r="B2064" t="str">
            <v>EI241-4307/24 SUPER egg Iron S-flex #7</v>
          </cell>
          <cell r="C2064">
            <v>50</v>
          </cell>
        </row>
        <row r="2065">
          <cell r="A2065" t="str">
            <v>YR174-IS-8A</v>
          </cell>
          <cell r="B2065" t="str">
            <v>EI241-4308/24 SUPER egg Iron S-flex #8</v>
          </cell>
          <cell r="C2065">
            <v>51.5</v>
          </cell>
        </row>
        <row r="2066">
          <cell r="A2066" t="str">
            <v>YR174-IS-9A</v>
          </cell>
          <cell r="B2066" t="str">
            <v>EI241-4309/24 SUPER egg Iron S-flex #9</v>
          </cell>
          <cell r="C2066">
            <v>53</v>
          </cell>
        </row>
        <row r="2067">
          <cell r="A2067" t="str">
            <v>YR174-IS-AA</v>
          </cell>
          <cell r="B2067" t="str">
            <v>EI241-43W2/24 SUPER egg Iron S-flex #A</v>
          </cell>
          <cell r="C2067">
            <v>59.5</v>
          </cell>
        </row>
        <row r="2068">
          <cell r="A2068" t="str">
            <v>YR174-IS-PA</v>
          </cell>
          <cell r="B2068" t="str">
            <v>EI241-43W1/24 SUPER egg Iron S-flex #P</v>
          </cell>
          <cell r="C2068">
            <v>56.5</v>
          </cell>
        </row>
        <row r="2069">
          <cell r="A2069" t="str">
            <v>YR174-IS-SA</v>
          </cell>
          <cell r="B2069" t="str">
            <v>EI241-43W3/24 SUPER egg Iron S-flex #S</v>
          </cell>
          <cell r="C2069">
            <v>64</v>
          </cell>
        </row>
        <row r="2070">
          <cell r="A2070" t="str">
            <v>YR178-IL-6A</v>
          </cell>
          <cell r="B2070" t="str">
            <v>LI242-3006/24 SUPER egg Iron L-flex #6</v>
          </cell>
          <cell r="C2070">
            <v>42</v>
          </cell>
        </row>
        <row r="2071">
          <cell r="A2071" t="str">
            <v>CW155-WR-1B</v>
          </cell>
          <cell r="B2071" t="str">
            <v>3555T2/Tahoe JV DR-MAX FAST 40 R-flex</v>
          </cell>
          <cell r="C2071">
            <v>45.5</v>
          </cell>
        </row>
        <row r="2072">
          <cell r="A2072" t="str">
            <v>CW155-WS-1B</v>
          </cell>
          <cell r="B2072" t="str">
            <v>3555T3/Tahoe JV DR-MAX FAST 40 S-flex</v>
          </cell>
          <cell r="C2072">
            <v>49.5</v>
          </cell>
        </row>
        <row r="2073">
          <cell r="A2073" t="str">
            <v>CW155-WSR1B</v>
          </cell>
          <cell r="B2073" t="str">
            <v>3555T5/Tahoe JV DR-MAX FAST 40 SR-flex</v>
          </cell>
          <cell r="C2073">
            <v>47.5</v>
          </cell>
        </row>
        <row r="2074">
          <cell r="A2074" t="str">
            <v>MX945-WS-3A</v>
          </cell>
          <cell r="B2074" t="str">
            <v>VANQUISH  FW 60S</v>
          </cell>
          <cell r="C2074">
            <v>65.7</v>
          </cell>
        </row>
        <row r="2075">
          <cell r="A2075" t="str">
            <v>CW159-WR-1AY</v>
          </cell>
          <cell r="B2075" t="str">
            <v>3560H2/VANQUISH™ 4 R-FLEX (DEMO)</v>
          </cell>
          <cell r="C2075">
            <v>44.5</v>
          </cell>
        </row>
        <row r="2076">
          <cell r="A2076" t="str">
            <v>AX181-IR-1PB</v>
          </cell>
          <cell r="B2076" t="str">
            <v>37425-03D/SHAFT, MW, HYBRID,CUBERA, (R), DV</v>
          </cell>
          <cell r="C2076">
            <v>55</v>
          </cell>
        </row>
        <row r="2077">
          <cell r="A2077" t="str">
            <v>AX181-IS-1PB</v>
          </cell>
          <cell r="B2077" t="str">
            <v>37425-01D/SHAFT, MW, HYBRID,CUBERA, (S), DV</v>
          </cell>
          <cell r="C2077">
            <v>68</v>
          </cell>
        </row>
        <row r="2078">
          <cell r="A2078" t="str">
            <v>AX181-ISR1PB</v>
          </cell>
          <cell r="B2078" t="str">
            <v>37425-02D/SHAFT, MW, HYBRID,CUBERA, (SR), DV</v>
          </cell>
          <cell r="C2078">
            <v>59.5</v>
          </cell>
        </row>
        <row r="2079">
          <cell r="A2079" t="str">
            <v>AX184-WR-3PB</v>
          </cell>
          <cell r="B2079" t="str">
            <v>37424-03D/SHAFT, MW, FAIRWAY,CUBERA, (R), DV</v>
          </cell>
          <cell r="C2079">
            <v>50.2</v>
          </cell>
        </row>
        <row r="2080">
          <cell r="A2080" t="str">
            <v>AX184-WS-3PB</v>
          </cell>
          <cell r="B2080" t="str">
            <v>37424-01D/SHAFT, MW, FAIRWAY,CUBERA, (S), DV</v>
          </cell>
          <cell r="C2080">
            <v>59.4</v>
          </cell>
        </row>
        <row r="2081">
          <cell r="A2081" t="str">
            <v>AX184-WSR3PB</v>
          </cell>
          <cell r="B2081" t="str">
            <v>37424-02D/SHAFT, MW, FAIRWAY,CUBERA, (SR), DV</v>
          </cell>
          <cell r="C2081">
            <v>54.8</v>
          </cell>
        </row>
        <row r="2082">
          <cell r="A2082" t="str">
            <v>AX185-WR-1PB</v>
          </cell>
          <cell r="B2082" t="str">
            <v>37423-03D/SHAFT, MW, DRIVER,CUBERA, (R), DV</v>
          </cell>
          <cell r="C2082">
            <v>47.5</v>
          </cell>
        </row>
        <row r="2083">
          <cell r="A2083" t="str">
            <v>AX185-WS-1PB</v>
          </cell>
          <cell r="B2083" t="str">
            <v>37423-01D/SHAFT, MW, DRIVER,CUBERA, (S), DV</v>
          </cell>
          <cell r="C2083">
            <v>57.7</v>
          </cell>
        </row>
        <row r="2084">
          <cell r="A2084" t="str">
            <v>AX185-WSR1PB</v>
          </cell>
          <cell r="B2084" t="str">
            <v>37423-02D/SHAFT, MW, DRIVER,CUBERA, (SR), DV</v>
          </cell>
          <cell r="C2084">
            <v>53.6</v>
          </cell>
        </row>
        <row r="2085">
          <cell r="A2085" t="str">
            <v>MX922-IR-1A</v>
          </cell>
          <cell r="B2085" t="str">
            <v>Tensei AV2 Silver hybrid/Iron 65R</v>
          </cell>
          <cell r="C2085">
            <v>63</v>
          </cell>
        </row>
        <row r="2086">
          <cell r="A2086" t="str">
            <v>MX922-IS-1A</v>
          </cell>
          <cell r="B2086" t="str">
            <v>Tensei AV2 Silver hybrid/Iron 65S</v>
          </cell>
          <cell r="C2086">
            <v>65</v>
          </cell>
        </row>
        <row r="2087">
          <cell r="A2087" t="str">
            <v>MX923-IR-1A</v>
          </cell>
          <cell r="B2087" t="str">
            <v>Tensei AV2 Silver hybrid/Iron 75R</v>
          </cell>
          <cell r="C2087">
            <v>72</v>
          </cell>
        </row>
        <row r="2088">
          <cell r="A2088" t="str">
            <v>MX923-IS-1A</v>
          </cell>
          <cell r="B2088" t="str">
            <v>Tensei AV2 Silver hybrid/Iron 75S</v>
          </cell>
          <cell r="C2088">
            <v>75</v>
          </cell>
        </row>
        <row r="2089">
          <cell r="A2089" t="str">
            <v>CW152-WR-1B</v>
          </cell>
          <cell r="B2089" t="str">
            <v>3556L2/Tahoe JV DR-STD / Tensei / R-flex</v>
          </cell>
          <cell r="C2089">
            <v>52.5</v>
          </cell>
        </row>
        <row r="2090">
          <cell r="A2090" t="str">
            <v>MZ048-IA-7AY</v>
          </cell>
          <cell r="B2090" t="str">
            <v>2MX728-IA-7AF/MMT™ Taper Iron 55 A-flex #7 (DEMO)</v>
          </cell>
          <cell r="C2090">
            <v>61</v>
          </cell>
        </row>
        <row r="2091">
          <cell r="A2091" t="str">
            <v>MZ049-IR-7AY</v>
          </cell>
          <cell r="B2091" t="str">
            <v>2MX729-IR-7AF/MMT™ Taper Iron 65 R-flex #7 (DEMO)</v>
          </cell>
          <cell r="C2091">
            <v>63</v>
          </cell>
        </row>
        <row r="2092">
          <cell r="A2092" t="str">
            <v>MZ050-IR-7AY</v>
          </cell>
          <cell r="B2092" t="str">
            <v>2MX726-IR-7AF/MMT™ Taper Iron 85 R-flex #7 (DEMO)</v>
          </cell>
          <cell r="C2092">
            <v>81</v>
          </cell>
        </row>
        <row r="2093">
          <cell r="A2093" t="str">
            <v>MZ050-IS-7AY</v>
          </cell>
          <cell r="B2093" t="str">
            <v>2MX726-IS-7AF/MMT™ Taper Iron 85 S-flex #7 (DEMO)</v>
          </cell>
          <cell r="C2093">
            <v>87</v>
          </cell>
        </row>
        <row r="2094">
          <cell r="A2094" t="str">
            <v>MZ051-IS-7AY</v>
          </cell>
          <cell r="B2094" t="str">
            <v>2MX681-IS-7AF/MMT™ Taper Iron 105 S-flex #7 (DEMO)</v>
          </cell>
          <cell r="C2094">
            <v>109</v>
          </cell>
        </row>
        <row r="2095">
          <cell r="A2095" t="str">
            <v>MX721-ITX7AO</v>
          </cell>
          <cell r="B2095" t="str">
            <v>MMT 125 TX #7 37.0</v>
          </cell>
          <cell r="C2095">
            <v>124</v>
          </cell>
        </row>
        <row r="2096">
          <cell r="A2096" t="str">
            <v>SX204-IS-PE</v>
          </cell>
          <cell r="C2096">
            <v>70</v>
          </cell>
        </row>
        <row r="2097">
          <cell r="A2097" t="str">
            <v>SX204-IS-PF</v>
          </cell>
          <cell r="C2097">
            <v>70</v>
          </cell>
        </row>
        <row r="2098">
          <cell r="A2098" t="str">
            <v>MZ051-IS-4A</v>
          </cell>
          <cell r="B2098" t="str">
            <v>2MX681-IS-4A/MMT™ Taper Iron 105 S-flex #4</v>
          </cell>
          <cell r="C2098">
            <v>109.5</v>
          </cell>
        </row>
        <row r="2099">
          <cell r="A2099" t="str">
            <v>MZ051-IS-5A</v>
          </cell>
          <cell r="B2099" t="str">
            <v>2MX681-IS-5A/MMT™ Taper Iron 105 S-flex #5</v>
          </cell>
          <cell r="C2099">
            <v>108</v>
          </cell>
        </row>
        <row r="2100">
          <cell r="A2100" t="str">
            <v>MZ051-IS-6A</v>
          </cell>
          <cell r="B2100" t="str">
            <v>2MX681-IS-6A/MMT™ Taper Iron 105 S-flex #6</v>
          </cell>
          <cell r="C2100">
            <v>109.5</v>
          </cell>
        </row>
        <row r="2101">
          <cell r="A2101" t="str">
            <v>MZ051-IS-8A</v>
          </cell>
          <cell r="B2101" t="str">
            <v>2MX681-IS-8A/MMT™ Taper Iron 105 S-flex #8</v>
          </cell>
          <cell r="C2101">
            <v>110</v>
          </cell>
        </row>
        <row r="2102">
          <cell r="A2102" t="str">
            <v>MZ051-IS-9A</v>
          </cell>
          <cell r="B2102" t="str">
            <v>2MX681-IS-9A/MMT™ Taper Iron 105 S-flex #9</v>
          </cell>
          <cell r="C2102">
            <v>112</v>
          </cell>
        </row>
        <row r="2103">
          <cell r="A2103" t="str">
            <v>MZ051-IS-PA</v>
          </cell>
          <cell r="B2103" t="str">
            <v>2MX681-IS-PA/MMT™ Taper Iron 105 S-flex W</v>
          </cell>
          <cell r="C2103">
            <v>110</v>
          </cell>
        </row>
        <row r="2104">
          <cell r="A2104" t="str">
            <v>MZ051-ITX4A</v>
          </cell>
          <cell r="B2104" t="str">
            <v>2MX681-ITX-4A/MMT™ Taper Iron 105 TX-flex #4</v>
          </cell>
          <cell r="C2104">
            <v>114.5</v>
          </cell>
        </row>
        <row r="2105">
          <cell r="A2105" t="str">
            <v>MZ051-ITX8A</v>
          </cell>
          <cell r="B2105" t="str">
            <v>2MX681-ITX-8A/MMT™ Taper Iron 105 TX-flex #8</v>
          </cell>
          <cell r="C2105">
            <v>117</v>
          </cell>
        </row>
        <row r="2106">
          <cell r="A2106" t="str">
            <v>MZ051-ITX9A</v>
          </cell>
          <cell r="B2106" t="str">
            <v>2MX681-ITX-9A/MMT™ Taper Iron 105 TX-flex #9</v>
          </cell>
          <cell r="C2106">
            <v>117</v>
          </cell>
        </row>
        <row r="2107">
          <cell r="A2107" t="str">
            <v>MZ050-IR-7A</v>
          </cell>
          <cell r="B2107" t="str">
            <v>2MX726-IR-7A/MMT™ Taper Iron 85 R-flex #7</v>
          </cell>
          <cell r="C2107">
            <v>81</v>
          </cell>
        </row>
        <row r="2108">
          <cell r="A2108" t="str">
            <v>MZ050-IR-PA</v>
          </cell>
          <cell r="B2108" t="str">
            <v>2MX726-IR-PA/MMT™ Taper Iron 85 R-flex W</v>
          </cell>
          <cell r="C2108">
            <v>82</v>
          </cell>
        </row>
        <row r="2109">
          <cell r="A2109" t="str">
            <v>CW153-WS-1B</v>
          </cell>
          <cell r="B2109" t="str">
            <v>3555W3/Tahoe JV DR-LS / Tensei / S-flex</v>
          </cell>
          <cell r="C2109">
            <v>64</v>
          </cell>
        </row>
        <row r="2110">
          <cell r="A2110" t="str">
            <v>CW153-WSR1B</v>
          </cell>
          <cell r="B2110" t="str">
            <v>3555W5/Tahoe JV DR-LS / Tensei / SR-flex</v>
          </cell>
          <cell r="C2110">
            <v>61</v>
          </cell>
        </row>
        <row r="2111">
          <cell r="A2111" t="str">
            <v>CW152-WS-1B</v>
          </cell>
          <cell r="B2111" t="str">
            <v>3556L3/Tahoe JV DR-STD / Tensei / S-flex</v>
          </cell>
          <cell r="C2111">
            <v>57.5</v>
          </cell>
        </row>
        <row r="2112">
          <cell r="A2112" t="str">
            <v>CW152-WSR1B</v>
          </cell>
          <cell r="B2112" t="str">
            <v>3556L5/Tahoe JV DR-STD / Tensei / SR-flex</v>
          </cell>
          <cell r="C2112">
            <v>54.5</v>
          </cell>
        </row>
        <row r="2113">
          <cell r="A2113" t="str">
            <v>MX968-WA-1A</v>
          </cell>
          <cell r="B2113" t="str">
            <v>VANQUISH ™ PL 4 A-FLEX</v>
          </cell>
          <cell r="C2113">
            <v>43.5</v>
          </cell>
        </row>
        <row r="2114">
          <cell r="A2114" t="str">
            <v>MX968-WR-1A</v>
          </cell>
          <cell r="B2114" t="str">
            <v>VANQUISH ™ PL 4 R-FLEX</v>
          </cell>
          <cell r="C2114">
            <v>44.5</v>
          </cell>
        </row>
        <row r="2115">
          <cell r="A2115" t="str">
            <v>MX968-WW-1A</v>
          </cell>
          <cell r="B2115" t="str">
            <v>VANQUISH ™ PL 4 W-FLEX</v>
          </cell>
          <cell r="C2115">
            <v>42.5</v>
          </cell>
        </row>
        <row r="2116">
          <cell r="A2116" t="str">
            <v>MX969-WA-1A</v>
          </cell>
          <cell r="B2116" t="str">
            <v>VANQUISH ™ PL 5 A-FLEX</v>
          </cell>
          <cell r="C2116">
            <v>52</v>
          </cell>
        </row>
        <row r="2117">
          <cell r="A2117" t="str">
            <v>MX969-WR-1A</v>
          </cell>
          <cell r="B2117" t="str">
            <v>VANQUISH ™ PL 5 R-FLEX</v>
          </cell>
          <cell r="C2117">
            <v>54.5</v>
          </cell>
        </row>
        <row r="2118">
          <cell r="A2118" t="str">
            <v>MX969-WS-1A</v>
          </cell>
          <cell r="B2118" t="str">
            <v>VANQUISH ™ PL 5 S-FLEX</v>
          </cell>
          <cell r="C2118">
            <v>57.5</v>
          </cell>
        </row>
        <row r="2119">
          <cell r="A2119" t="str">
            <v>CW154-WRA1B</v>
          </cell>
          <cell r="B2119" t="str">
            <v>3556P1/Tahoe JV DR-MAX / Tensei / R2-flex</v>
          </cell>
          <cell r="C2119">
            <v>46.5</v>
          </cell>
        </row>
        <row r="2120">
          <cell r="A2120" t="str">
            <v>MX681-IS-4AO</v>
          </cell>
          <cell r="B2120" t="str">
            <v>MMT 105 S #4 38.5</v>
          </cell>
          <cell r="C2120">
            <v>109.5</v>
          </cell>
        </row>
        <row r="2121">
          <cell r="A2121" t="str">
            <v>MX721-ITX4AO</v>
          </cell>
          <cell r="B2121" t="str">
            <v>MMT 125 TX #4 38.5</v>
          </cell>
          <cell r="C2121">
            <v>124.5</v>
          </cell>
        </row>
        <row r="2122">
          <cell r="A2122" t="str">
            <v>MX721-ITX5AO</v>
          </cell>
          <cell r="B2122" t="str">
            <v>MMT 125 TX #5 38.0</v>
          </cell>
          <cell r="C2122">
            <v>124</v>
          </cell>
        </row>
        <row r="2123">
          <cell r="A2123" t="str">
            <v>MX721-ITX6AO</v>
          </cell>
          <cell r="B2123" t="str">
            <v>MMT 125 TX #6 37.5</v>
          </cell>
          <cell r="C2123">
            <v>125</v>
          </cell>
        </row>
        <row r="2124">
          <cell r="A2124" t="str">
            <v>MX721-ITX8AO</v>
          </cell>
          <cell r="B2124" t="str">
            <v>MMT 125 TX #8 36.5</v>
          </cell>
          <cell r="C2124">
            <v>125</v>
          </cell>
        </row>
        <row r="2125">
          <cell r="A2125" t="str">
            <v>MX721-ITX9AO</v>
          </cell>
          <cell r="B2125" t="str">
            <v>MMT 125 TX #9 36.0</v>
          </cell>
          <cell r="C2125">
            <v>126</v>
          </cell>
        </row>
        <row r="2126">
          <cell r="A2126" t="str">
            <v>MX721-ITXPAO</v>
          </cell>
          <cell r="B2126" t="str">
            <v>MMT 125 TX PW 35.5</v>
          </cell>
          <cell r="C2126">
            <v>125</v>
          </cell>
        </row>
        <row r="2127">
          <cell r="A2127" t="str">
            <v>CW154-WR-1B</v>
          </cell>
          <cell r="B2127" t="str">
            <v>3556P2/Tahoe JV DR-MAX / Tensei / R-flex</v>
          </cell>
          <cell r="C2127">
            <v>47.5</v>
          </cell>
        </row>
        <row r="2128">
          <cell r="A2128" t="str">
            <v>CW154-WS-1B</v>
          </cell>
          <cell r="B2128" t="str">
            <v>3556P3/Tahoe JV DR-MAX / Tensei / S-flex</v>
          </cell>
          <cell r="C2128">
            <v>52</v>
          </cell>
        </row>
        <row r="2129">
          <cell r="A2129" t="str">
            <v>CW154-WSR1B</v>
          </cell>
          <cell r="B2129" t="str">
            <v>3556P5/Tahoe JV DR-MAX / Tensei / SR-flex</v>
          </cell>
          <cell r="C2129">
            <v>49.5</v>
          </cell>
        </row>
        <row r="2130">
          <cell r="A2130" t="str">
            <v>MX726-IS-PAO</v>
          </cell>
          <cell r="B2130" t="str">
            <v>MMT 85 TAPER GS 35.5</v>
          </cell>
          <cell r="C2130">
            <v>87</v>
          </cell>
        </row>
        <row r="2131">
          <cell r="A2131" t="str">
            <v>R-PA003-WS-1A</v>
          </cell>
          <cell r="B2131" t="str">
            <v>MENS DR. 5.5S</v>
          </cell>
          <cell r="C2131">
            <v>60.5</v>
          </cell>
        </row>
        <row r="2132">
          <cell r="A2132" t="str">
            <v>CL042-IR-1A</v>
          </cell>
          <cell r="B2132" t="str">
            <v>MMT UT 80 R-flex</v>
          </cell>
          <cell r="C2132">
            <v>83.5</v>
          </cell>
        </row>
        <row r="2133">
          <cell r="A2133" t="str">
            <v>CL042-IS-1A</v>
          </cell>
          <cell r="B2133" t="str">
            <v>MMT UT 80 S-flex</v>
          </cell>
          <cell r="C2133">
            <v>86</v>
          </cell>
        </row>
        <row r="2134">
          <cell r="A2134" t="str">
            <v>CL043-IX-1A</v>
          </cell>
          <cell r="B2134" t="str">
            <v>MMT UT 90 X-flex</v>
          </cell>
          <cell r="C2134">
            <v>99.5</v>
          </cell>
        </row>
        <row r="2135">
          <cell r="A2135" t="str">
            <v>PA003-WS-1A</v>
          </cell>
          <cell r="B2135" t="str">
            <v>MENS DR. 5.5S</v>
          </cell>
          <cell r="C2135">
            <v>60.5</v>
          </cell>
        </row>
        <row r="2136">
          <cell r="A2136" t="str">
            <v>PA003-WSR1A</v>
          </cell>
          <cell r="B2136" t="str">
            <v>MENS DR. 5.5SR</v>
          </cell>
          <cell r="C2136">
            <v>55</v>
          </cell>
        </row>
        <row r="2137">
          <cell r="A2137" t="str">
            <v>AU224-WRA1A</v>
          </cell>
          <cell r="B2137" t="str">
            <v>2693615/TENSEI 1K Blue w/X-Link 55 R2-Flex</v>
          </cell>
          <cell r="C2137">
            <v>56</v>
          </cell>
        </row>
        <row r="2138">
          <cell r="A2138" t="str">
            <v>AU224-WR-1A</v>
          </cell>
          <cell r="B2138" t="str">
            <v>2693617/TENSEI 1K Blue w/X-Link 55 R-Flex</v>
          </cell>
          <cell r="C2138">
            <v>57</v>
          </cell>
        </row>
        <row r="2139">
          <cell r="A2139" t="str">
            <v>AU224-WS-1A</v>
          </cell>
          <cell r="B2139" t="str">
            <v>2693619/TENSEI 1K Blue w/X-Link 55 S-Flex</v>
          </cell>
          <cell r="C2139">
            <v>59</v>
          </cell>
        </row>
        <row r="2140">
          <cell r="A2140" t="str">
            <v>AU224-WX-1A</v>
          </cell>
          <cell r="B2140" t="str">
            <v>2693621/TENSEI 1K Blue w/X-Link 55 X-Flex</v>
          </cell>
          <cell r="C2140">
            <v>62</v>
          </cell>
        </row>
        <row r="2141">
          <cell r="A2141" t="str">
            <v>AU225-WR-1A</v>
          </cell>
          <cell r="B2141" t="str">
            <v>2693623/TENSEI 1K Blue w/X-Link 65 R-Flex</v>
          </cell>
          <cell r="C2141">
            <v>63.5</v>
          </cell>
        </row>
        <row r="2142">
          <cell r="A2142" t="str">
            <v>AU225-WS-1A</v>
          </cell>
          <cell r="B2142" t="str">
            <v>2693625/TENSEI 1K Blue w/X-Link 65 S-Flex</v>
          </cell>
          <cell r="C2142">
            <v>65.5</v>
          </cell>
        </row>
        <row r="2143">
          <cell r="A2143" t="str">
            <v>AU225-WX-1A</v>
          </cell>
          <cell r="B2143" t="str">
            <v>2693627/TENSEI 1K Blue w/X-Link 65 X-Flex</v>
          </cell>
          <cell r="C2143">
            <v>66</v>
          </cell>
        </row>
        <row r="2144">
          <cell r="A2144" t="str">
            <v>AU225-WTX1A</v>
          </cell>
          <cell r="B2144" t="str">
            <v>2693629/TENSEI 1K Blue w/X-Link 65 TX-Flex</v>
          </cell>
          <cell r="C2144">
            <v>65</v>
          </cell>
        </row>
        <row r="2145">
          <cell r="A2145" t="str">
            <v>AU226-WS-1A</v>
          </cell>
          <cell r="B2145" t="str">
            <v>2693631/TENSEI 1K Blue w/X-Link 75 S-Flex</v>
          </cell>
          <cell r="C2145">
            <v>72.5</v>
          </cell>
        </row>
        <row r="2146">
          <cell r="A2146" t="str">
            <v>AU226-WX-1A</v>
          </cell>
          <cell r="B2146" t="str">
            <v>2693633/TENSEI 1K Blue w/X-Link 75 X-Flex</v>
          </cell>
          <cell r="C2146">
            <v>74</v>
          </cell>
        </row>
        <row r="2147">
          <cell r="A2147" t="str">
            <v>XG011-WX-1B</v>
          </cell>
          <cell r="B2147" t="str">
            <v>S-DIAM-2023-SPLUS-60X/Diamana 2023 S+  60 X-FLEX</v>
          </cell>
          <cell r="C2147">
            <v>67.5</v>
          </cell>
        </row>
        <row r="2148">
          <cell r="A2148" t="str">
            <v>YR180-US-1A</v>
          </cell>
          <cell r="C2148">
            <v>78</v>
          </cell>
        </row>
        <row r="2149">
          <cell r="A2149" t="str">
            <v>YR180-USR1A</v>
          </cell>
          <cell r="C2149">
            <v>68</v>
          </cell>
        </row>
        <row r="2150">
          <cell r="A2150" t="str">
            <v>YR180-WS-1A</v>
          </cell>
          <cell r="C2150">
            <v>54</v>
          </cell>
        </row>
        <row r="2151">
          <cell r="A2151" t="str">
            <v>YR180-WS-3A</v>
          </cell>
          <cell r="C2151">
            <v>61</v>
          </cell>
        </row>
        <row r="2152">
          <cell r="A2152" t="str">
            <v>YR180-WSR1A</v>
          </cell>
          <cell r="C2152">
            <v>51</v>
          </cell>
        </row>
        <row r="2153">
          <cell r="A2153" t="str">
            <v>YR180-WSR3A</v>
          </cell>
          <cell r="C2153">
            <v>56</v>
          </cell>
        </row>
        <row r="2154">
          <cell r="A2154" t="str">
            <v>YR186-UR-1A</v>
          </cell>
          <cell r="C2154">
            <v>52</v>
          </cell>
        </row>
        <row r="2155">
          <cell r="A2155" t="str">
            <v>YR186-US-1A</v>
          </cell>
          <cell r="C2155">
            <v>63</v>
          </cell>
        </row>
        <row r="2156">
          <cell r="A2156" t="str">
            <v>YR186-USR1A</v>
          </cell>
          <cell r="C2156">
            <v>54</v>
          </cell>
        </row>
        <row r="2157">
          <cell r="A2157" t="str">
            <v>YR186-WR-3A</v>
          </cell>
          <cell r="C2157">
            <v>46.5</v>
          </cell>
        </row>
        <row r="2158">
          <cell r="A2158" t="str">
            <v>YR186-WS-3A</v>
          </cell>
          <cell r="C2158">
            <v>54</v>
          </cell>
        </row>
        <row r="2159">
          <cell r="A2159" t="str">
            <v>YR186-WSR3A</v>
          </cell>
          <cell r="C2159">
            <v>50</v>
          </cell>
        </row>
        <row r="2160">
          <cell r="A2160" t="str">
            <v>MZ050-IS-7A</v>
          </cell>
          <cell r="C2160">
            <v>87</v>
          </cell>
        </row>
        <row r="2161">
          <cell r="A2161" t="str">
            <v>MZ051-IS-7A</v>
          </cell>
          <cell r="C2161">
            <v>109</v>
          </cell>
        </row>
        <row r="2162">
          <cell r="A2162" t="str">
            <v>MZ051-ITX7A</v>
          </cell>
          <cell r="C2162">
            <v>117</v>
          </cell>
        </row>
        <row r="2163">
          <cell r="A2163" t="str">
            <v>YR186-WS-1A</v>
          </cell>
          <cell r="C2163">
            <v>48.5</v>
          </cell>
        </row>
        <row r="2164">
          <cell r="A2164" t="str">
            <v>YR186-WSR1A</v>
          </cell>
          <cell r="C2164">
            <v>46.5</v>
          </cell>
        </row>
        <row r="2165">
          <cell r="A2165" t="str">
            <v>MZ051-IS-3A</v>
          </cell>
          <cell r="B2165" t="str">
            <v>2MX681-IS-3A/MMT™ Taper Iron 105 S-flex #3</v>
          </cell>
          <cell r="C2165">
            <v>109</v>
          </cell>
        </row>
        <row r="2166">
          <cell r="A2166" t="str">
            <v>MZ051-ITX3A</v>
          </cell>
          <cell r="B2166" t="str">
            <v>2MX681-ITX-3A/MMT™ Taper Iron 105 TX-flex #3</v>
          </cell>
          <cell r="C2166">
            <v>114.5</v>
          </cell>
        </row>
        <row r="2167">
          <cell r="A2167" t="str">
            <v>MZ051-ITX5A</v>
          </cell>
          <cell r="B2167" t="str">
            <v>2MX681-ITX-5A/MMT™ Taper Iron 105 TX-flex #5</v>
          </cell>
          <cell r="C2167">
            <v>117</v>
          </cell>
        </row>
        <row r="2168">
          <cell r="A2168" t="str">
            <v>MZ051-ITX6A</v>
          </cell>
          <cell r="B2168" t="str">
            <v>2MX681-ITX-6A/MMT™ Taper Iron 105 TX-flex #6</v>
          </cell>
          <cell r="C2168">
            <v>116</v>
          </cell>
        </row>
        <row r="2169">
          <cell r="A2169" t="str">
            <v>MZ051-ITXPA</v>
          </cell>
          <cell r="B2169" t="str">
            <v>2MX681-ITX-PA/MMT™ Taper Iron 105 TX-flex W</v>
          </cell>
          <cell r="C2169">
            <v>115</v>
          </cell>
        </row>
        <row r="2170">
          <cell r="A2170" t="str">
            <v>MZ050-IR-4A</v>
          </cell>
          <cell r="B2170" t="str">
            <v>2MX726-IR-4A/MMT™ Taper Iron 85 R-flex #4</v>
          </cell>
          <cell r="C2170">
            <v>83</v>
          </cell>
        </row>
        <row r="2171">
          <cell r="A2171" t="str">
            <v>MZ050-IR-5A</v>
          </cell>
          <cell r="B2171" t="str">
            <v>2MX726-IR-5A/MMT™ Taper Iron 85 R-flex #5</v>
          </cell>
          <cell r="C2171">
            <v>83</v>
          </cell>
        </row>
        <row r="2172">
          <cell r="A2172" t="str">
            <v>MZ050-IR-6A</v>
          </cell>
          <cell r="B2172" t="str">
            <v>2MX726-IR-6A/MMT™ Taper Iron 85 R-flex #6</v>
          </cell>
          <cell r="C2172">
            <v>82</v>
          </cell>
        </row>
        <row r="2173">
          <cell r="A2173" t="str">
            <v>MZ050-IR-8A</v>
          </cell>
          <cell r="B2173" t="str">
            <v>2MX726-IR-8A/MMT™ Taper Iron 85 R-flex #8</v>
          </cell>
          <cell r="C2173">
            <v>82</v>
          </cell>
        </row>
        <row r="2174">
          <cell r="A2174" t="str">
            <v>MZ050-IR-9A</v>
          </cell>
          <cell r="B2174" t="str">
            <v>2MX726-IR-9A/MMT™ Taper Iron 85 R-flex #9</v>
          </cell>
          <cell r="C2174">
            <v>82</v>
          </cell>
        </row>
        <row r="2175">
          <cell r="A2175" t="str">
            <v>MZ050-IS-4A</v>
          </cell>
          <cell r="B2175" t="str">
            <v>2MX726-IS-4A/MMT™ Taper Iron 85 S-flex #4</v>
          </cell>
          <cell r="C2175">
            <v>87.5</v>
          </cell>
        </row>
        <row r="2176">
          <cell r="A2176" t="str">
            <v>MZ050-IS-5A</v>
          </cell>
          <cell r="B2176" t="str">
            <v>2MX726-IS-5A/MMT™ Taper Iron 85 S-flex #5</v>
          </cell>
          <cell r="C2176">
            <v>88</v>
          </cell>
        </row>
        <row r="2177">
          <cell r="A2177" t="str">
            <v>MZ050-IS-6A</v>
          </cell>
          <cell r="B2177" t="str">
            <v>2MX726-IS-6A/MMT™ Taper Iron 85 S-flex #6</v>
          </cell>
          <cell r="C2177">
            <v>86</v>
          </cell>
        </row>
        <row r="2178">
          <cell r="A2178" t="str">
            <v>MZ050-IS-8A</v>
          </cell>
          <cell r="B2178" t="str">
            <v>2MX726-IS-8A/MMT™ Taper Iron 85 S-flex #8</v>
          </cell>
          <cell r="C2178">
            <v>87</v>
          </cell>
        </row>
        <row r="2179">
          <cell r="A2179" t="str">
            <v>MZ050-IS-9A</v>
          </cell>
          <cell r="B2179" t="str">
            <v>2MX726-IS-9A/MMT™ Taper Iron 85 S-flex #9</v>
          </cell>
          <cell r="C2179">
            <v>87</v>
          </cell>
        </row>
        <row r="2180">
          <cell r="A2180" t="str">
            <v>MZ050-IS-PA</v>
          </cell>
          <cell r="B2180" t="str">
            <v>2MX726-IS-PA/MMT™ Taper Iron 85 S-flex W</v>
          </cell>
          <cell r="C2180">
            <v>87</v>
          </cell>
        </row>
        <row r="2181">
          <cell r="A2181" t="str">
            <v>MZ049-IR-4A</v>
          </cell>
          <cell r="B2181" t="str">
            <v>2MX729-IR-4A/MMT™ Taper Iron 65 R-flex #4</v>
          </cell>
          <cell r="C2181">
            <v>64</v>
          </cell>
        </row>
        <row r="2182">
          <cell r="A2182" t="str">
            <v>MZ049-IR-5A</v>
          </cell>
          <cell r="B2182" t="str">
            <v>2MX729-IR-5A/MMT™ Taper Iron 65 R-flex #5</v>
          </cell>
          <cell r="C2182">
            <v>64</v>
          </cell>
        </row>
        <row r="2183">
          <cell r="A2183" t="str">
            <v>MZ049-IR-6A</v>
          </cell>
          <cell r="B2183" t="str">
            <v>2MX729-IR-6A/MMT™ Taper Iron 65 R-flex #6</v>
          </cell>
          <cell r="C2183">
            <v>63</v>
          </cell>
        </row>
        <row r="2184">
          <cell r="A2184" t="str">
            <v>MZ049-IR-7A</v>
          </cell>
          <cell r="B2184" t="str">
            <v>2MX729-IR-7A/MMT™ Taper Iron 65 R-flex #7</v>
          </cell>
          <cell r="C2184">
            <v>63</v>
          </cell>
        </row>
        <row r="2185">
          <cell r="A2185" t="str">
            <v>MZ049-IR-8A</v>
          </cell>
          <cell r="B2185" t="str">
            <v>2MX729-IR-8A/MMT™ Taper Iron 65 R-flex #8</v>
          </cell>
          <cell r="C2185">
            <v>63</v>
          </cell>
        </row>
        <row r="2186">
          <cell r="A2186" t="str">
            <v>MZ049-IR-9A</v>
          </cell>
          <cell r="B2186" t="str">
            <v>2MX729-IR-9A/MMT™ Taper Iron 65 R-flex #9</v>
          </cell>
          <cell r="C2186">
            <v>63</v>
          </cell>
        </row>
        <row r="2187">
          <cell r="A2187" t="str">
            <v>MZ049-IR-PA</v>
          </cell>
          <cell r="B2187" t="str">
            <v>2MX729-IR-PA/MMT™ Taper Iron 65 R-flex W</v>
          </cell>
          <cell r="C2187">
            <v>63.5</v>
          </cell>
        </row>
        <row r="2188">
          <cell r="A2188" t="str">
            <v>MZ050-IS-3A</v>
          </cell>
          <cell r="B2188" t="str">
            <v>2MX726-IS-3A/MMT™ Taper Iron 85 S-flex #3</v>
          </cell>
          <cell r="C2188">
            <v>88</v>
          </cell>
        </row>
        <row r="2189">
          <cell r="A2189" t="str">
            <v>YR186-WR-1A</v>
          </cell>
          <cell r="B2189" t="str">
            <v>VD242-37A/2024 RS Driver R-flex</v>
          </cell>
          <cell r="C2189">
            <v>44.5</v>
          </cell>
        </row>
        <row r="2190">
          <cell r="A2190" t="str">
            <v>MX681-IS-3AO</v>
          </cell>
          <cell r="C2190">
            <v>109</v>
          </cell>
        </row>
        <row r="2191">
          <cell r="A2191" t="str">
            <v>MX721-ITX3AO</v>
          </cell>
          <cell r="C2191">
            <v>126.5</v>
          </cell>
        </row>
        <row r="2192">
          <cell r="A2192" t="str">
            <v>CW150-WA-1A</v>
          </cell>
          <cell r="C2192">
            <v>54</v>
          </cell>
        </row>
        <row r="2193">
          <cell r="A2193" t="str">
            <v>CW150-WW-1A</v>
          </cell>
          <cell r="C2193">
            <v>51.5</v>
          </cell>
        </row>
        <row r="2194">
          <cell r="A2194" t="str">
            <v>CW151-WA-3A</v>
          </cell>
          <cell r="C2194">
            <v>68</v>
          </cell>
        </row>
        <row r="2195">
          <cell r="A2195" t="str">
            <v>CW151-WR-3A</v>
          </cell>
          <cell r="C2195">
            <v>71</v>
          </cell>
        </row>
        <row r="2196">
          <cell r="A2196" t="str">
            <v>CW151-WS-3A</v>
          </cell>
          <cell r="C2196">
            <v>74</v>
          </cell>
        </row>
        <row r="2197">
          <cell r="A2197" t="str">
            <v>CW150-WR-1A</v>
          </cell>
          <cell r="C2197">
            <v>56.5</v>
          </cell>
        </row>
        <row r="2198">
          <cell r="A2198" t="str">
            <v>CW150-WS-1A</v>
          </cell>
          <cell r="C2198">
            <v>59.5</v>
          </cell>
        </row>
        <row r="2199">
          <cell r="A2199" t="str">
            <v>CW157-IA-2A</v>
          </cell>
          <cell r="B2199" t="str">
            <v>3547V1/SF IR/HY MCA TENSEI B CR 55 GR LGT (A)</v>
          </cell>
          <cell r="C2199">
            <v>55</v>
          </cell>
        </row>
        <row r="2200">
          <cell r="A2200" t="str">
            <v>CW157-IR-2A</v>
          </cell>
          <cell r="B2200" t="str">
            <v>3547V2/SF IR/HY MCA TENSEI B CR 55 GR REG</v>
          </cell>
          <cell r="C2200">
            <v>57</v>
          </cell>
        </row>
        <row r="2201">
          <cell r="A2201" t="str">
            <v>CW157-IS-2A</v>
          </cell>
          <cell r="B2201" t="str">
            <v>3547V3/SF IR/HY MCA TENSEI B CR 55 GR STF</v>
          </cell>
          <cell r="C2201">
            <v>59</v>
          </cell>
        </row>
        <row r="2202">
          <cell r="A2202" t="str">
            <v>CW157-IW-2A</v>
          </cell>
          <cell r="B2202" t="str">
            <v>3547W1/SF IR/HY MCA TENSEI B CR 45 GR WMS</v>
          </cell>
          <cell r="C2202">
            <v>49</v>
          </cell>
        </row>
        <row r="2203">
          <cell r="A2203" t="str">
            <v>MX784-WS-1B</v>
          </cell>
          <cell r="B2203" t="str">
            <v>KAI'LI™ White 70 S-Flex</v>
          </cell>
          <cell r="C2203">
            <v>75.5</v>
          </cell>
        </row>
        <row r="2204">
          <cell r="A2204" t="str">
            <v>CW159-WR-1A</v>
          </cell>
          <cell r="B2204" t="str">
            <v>3560I2/VANQUISH™ 40R-FLEX</v>
          </cell>
          <cell r="C2204">
            <v>44.5</v>
          </cell>
        </row>
        <row r="2205">
          <cell r="A2205" t="str">
            <v>CW160-WS-1A</v>
          </cell>
          <cell r="B2205" t="str">
            <v>3561M3/Tensei 1K Black 65gram S</v>
          </cell>
          <cell r="C2205">
            <v>68.5</v>
          </cell>
        </row>
        <row r="2206">
          <cell r="A2206" t="str">
            <v>CW160-WTX1A</v>
          </cell>
          <cell r="B2206" t="str">
            <v>3561MT/Tensei 1K Black 65gram TX</v>
          </cell>
          <cell r="C2206">
            <v>69</v>
          </cell>
        </row>
        <row r="2207">
          <cell r="A2207" t="str">
            <v>CW161-WS-1A</v>
          </cell>
          <cell r="B2207" t="str">
            <v>3561N3/Tensei 1K Black 75gram S</v>
          </cell>
          <cell r="C2207">
            <v>76.5</v>
          </cell>
        </row>
        <row r="2208">
          <cell r="A2208" t="str">
            <v>CW161-WTX1A</v>
          </cell>
          <cell r="B2208" t="str">
            <v>3561NT/Tensei 1K Black 75gram TX</v>
          </cell>
          <cell r="C2208">
            <v>79.5</v>
          </cell>
        </row>
        <row r="2209">
          <cell r="A2209" t="str">
            <v>CW162-WS-1A</v>
          </cell>
          <cell r="B2209" t="str">
            <v>3561O3/Tensei 1K Black 85gram S</v>
          </cell>
          <cell r="C2209">
            <v>91</v>
          </cell>
        </row>
        <row r="2210">
          <cell r="A2210" t="str">
            <v>CW162-WTX1A</v>
          </cell>
          <cell r="B2210" t="str">
            <v>3561OT/Tensei 1K Black 85gram TX</v>
          </cell>
          <cell r="C2210">
            <v>89</v>
          </cell>
        </row>
        <row r="2211">
          <cell r="A2211" t="str">
            <v>CW166-WR-1A</v>
          </cell>
          <cell r="B2211" t="str">
            <v>3563V2/VANQUISH PL 50 R-Flex</v>
          </cell>
          <cell r="C2211">
            <v>54.5</v>
          </cell>
        </row>
        <row r="2212">
          <cell r="A2212" t="str">
            <v>CW166-WS-1A</v>
          </cell>
          <cell r="B2212" t="str">
            <v>3563V3/VANQUISH PL 50 S-Flex</v>
          </cell>
          <cell r="C2212">
            <v>57.5</v>
          </cell>
        </row>
        <row r="2213">
          <cell r="A2213" t="str">
            <v>AX124-IR-2PA</v>
          </cell>
          <cell r="B2213" t="str">
            <v>SHAFT, IRON/HYBRID,</v>
          </cell>
          <cell r="C2213">
            <v>43.5</v>
          </cell>
        </row>
        <row r="2214">
          <cell r="A2214" t="str">
            <v>MX729-IR-PAO</v>
          </cell>
          <cell r="B2214" t="str">
            <v>MMT Taper Iron 65 R-FLEX #PA</v>
          </cell>
          <cell r="C2214">
            <v>63.5</v>
          </cell>
        </row>
        <row r="2215">
          <cell r="A2215" t="str">
            <v>XG012-WX-1B</v>
          </cell>
          <cell r="B2215" t="str">
            <v>S-DIAM-2023-SPLUS-70X/Diamana 2023 S+  70 X-FLEX</v>
          </cell>
          <cell r="C2215">
            <v>77.5</v>
          </cell>
        </row>
        <row r="2216">
          <cell r="A2216" t="str">
            <v>PG062-WS-1A</v>
          </cell>
          <cell r="B2216" t="str">
            <v>37694-03/TENSEI 1K Black 65 S-Flex</v>
          </cell>
          <cell r="C2216">
            <v>68.5</v>
          </cell>
        </row>
        <row r="2217">
          <cell r="A2217" t="str">
            <v>PG062-WX-1A</v>
          </cell>
          <cell r="B2217" t="str">
            <v>37694-02/TENSEI 1K Black 65 X-Flex</v>
          </cell>
          <cell r="C2217">
            <v>70.5</v>
          </cell>
        </row>
        <row r="2218">
          <cell r="A2218" t="str">
            <v>PG063-WS-1A</v>
          </cell>
          <cell r="B2218" t="str">
            <v>37695-03/TENSEI 1K Black 75 S-Flex</v>
          </cell>
          <cell r="C2218">
            <v>76.5</v>
          </cell>
        </row>
        <row r="2219">
          <cell r="A2219" t="str">
            <v>PG063-WX-1A</v>
          </cell>
          <cell r="B2219" t="str">
            <v>37695-02/TENSEI 1K Black 75 X-Flex</v>
          </cell>
          <cell r="C2219">
            <v>80</v>
          </cell>
        </row>
        <row r="2220">
          <cell r="A2220" t="str">
            <v>PG064-IS-1A</v>
          </cell>
          <cell r="B2220" t="str">
            <v>38042-02/TENSEI 1K Black Hybrid 85 S-Flex</v>
          </cell>
          <cell r="C2220">
            <v>88</v>
          </cell>
        </row>
        <row r="2221">
          <cell r="A2221" t="str">
            <v>PG064-IX-1A</v>
          </cell>
          <cell r="B2221" t="str">
            <v>38042-01/TENSEI 1K Black Hybrid 85 X-Flex</v>
          </cell>
          <cell r="C2221">
            <v>91.5</v>
          </cell>
        </row>
        <row r="2222">
          <cell r="A2222" t="str">
            <v>MZ048-IA-4A</v>
          </cell>
          <cell r="B2222" t="str">
            <v>2MX728-IA-4A/MMT™ Taper Iron 55 A-flex #4</v>
          </cell>
          <cell r="C2222">
            <v>62</v>
          </cell>
        </row>
        <row r="2223">
          <cell r="A2223" t="str">
            <v>MZ048-IA-5A</v>
          </cell>
          <cell r="B2223" t="str">
            <v>2MX728-IA-5A/MMT™ Taper Iron 55 A-flex #5</v>
          </cell>
          <cell r="C2223">
            <v>62</v>
          </cell>
        </row>
        <row r="2224">
          <cell r="A2224" t="str">
            <v>MZ048-IA-6A</v>
          </cell>
          <cell r="B2224" t="str">
            <v>2MX728-IA-6A/MMT™ Taper Iron 55 A-flex #6</v>
          </cell>
          <cell r="C2224">
            <v>61</v>
          </cell>
        </row>
        <row r="2225">
          <cell r="A2225" t="str">
            <v>MZ048-IA-7A</v>
          </cell>
          <cell r="B2225" t="str">
            <v>2MX728-IA-7A/MMT™ Taper Iron 55 A-flex #7</v>
          </cell>
          <cell r="C2225">
            <v>61</v>
          </cell>
        </row>
        <row r="2226">
          <cell r="A2226" t="str">
            <v>MZ048-IA-8A</v>
          </cell>
          <cell r="B2226" t="str">
            <v>2MX728-IA-8A/MMT™ Taper Iron 55 A-flex #8</v>
          </cell>
          <cell r="C2226">
            <v>61</v>
          </cell>
        </row>
        <row r="2227">
          <cell r="A2227" t="str">
            <v>MZ048-IA-9A</v>
          </cell>
          <cell r="B2227" t="str">
            <v>2MX728-IA-9A/MMT™ Taper Iron 55 A-flex #9</v>
          </cell>
          <cell r="C2227">
            <v>61</v>
          </cell>
        </row>
        <row r="2228">
          <cell r="A2228" t="str">
            <v>MZ048-IA-PA</v>
          </cell>
          <cell r="B2228" t="str">
            <v>2MX728-IA-PA/MMT™ Taper Iron 55 A-flex W</v>
          </cell>
          <cell r="C2228">
            <v>61</v>
          </cell>
        </row>
        <row r="2229">
          <cell r="A2229" t="str">
            <v>CW159-WA-1A</v>
          </cell>
          <cell r="B2229" t="str">
            <v>3560I1/VANQUISH PL 40 A-Flex (R2)</v>
          </cell>
          <cell r="C2229">
            <v>43.5</v>
          </cell>
        </row>
        <row r="2230">
          <cell r="A2230" t="str">
            <v>CW166-WA-1A</v>
          </cell>
          <cell r="B2230" t="str">
            <v>3563V1/VANQUISH PL 50 A-Flex (R2)</v>
          </cell>
          <cell r="C2230">
            <v>52</v>
          </cell>
        </row>
        <row r="2231">
          <cell r="A2231" t="str">
            <v xml:space="preserve">CW163-IS-1A </v>
          </cell>
          <cell r="B2231" t="str">
            <v>3553Y3/MMT UT 80 S-FLEX</v>
          </cell>
          <cell r="C2231">
            <v>86</v>
          </cell>
        </row>
        <row r="2232">
          <cell r="A2232" t="str">
            <v>HI007-IA-3A</v>
          </cell>
          <cell r="B2232" t="str">
            <v>70071/Whiz 45 Graphite - Black A-FLEX</v>
          </cell>
          <cell r="C2232">
            <v>47.5</v>
          </cell>
        </row>
        <row r="2233">
          <cell r="A2233" t="str">
            <v>HI007-IR-3A</v>
          </cell>
          <cell r="B2233" t="str">
            <v>70072/WHIZ 60 GRAPHITE - BLACK R-FLEX</v>
          </cell>
          <cell r="C2233">
            <v>63</v>
          </cell>
        </row>
        <row r="2234">
          <cell r="A2234" t="str">
            <v>HI007-IS-3A</v>
          </cell>
          <cell r="B2234" t="str">
            <v>70073/WHIZ 75 GRAPHITE - BLACK S-FLEX</v>
          </cell>
          <cell r="C2234">
            <v>73.5</v>
          </cell>
        </row>
        <row r="2235">
          <cell r="A2235" t="str">
            <v>HI007-IX-3A</v>
          </cell>
          <cell r="B2235" t="str">
            <v>70074/WHIZ 95 GRAPHITE - BLACK X-FLEX</v>
          </cell>
          <cell r="C2235">
            <v>97.5</v>
          </cell>
        </row>
        <row r="2236">
          <cell r="A2236" t="str">
            <v>HI007-IA-3B</v>
          </cell>
          <cell r="B2236" t="str">
            <v>70075/WHIZ 45 GRAPHITE - WHITE A-FLEX</v>
          </cell>
          <cell r="C2236">
            <v>47.5</v>
          </cell>
        </row>
        <row r="2237">
          <cell r="A2237" t="str">
            <v>HI007-IR-3B</v>
          </cell>
          <cell r="B2237" t="str">
            <v>70076/WHIZ 60 GRAPHITE - WHITE R-FLEX</v>
          </cell>
          <cell r="C2237">
            <v>64</v>
          </cell>
        </row>
        <row r="2238">
          <cell r="A2238" t="str">
            <v>HI007-IS-3B</v>
          </cell>
          <cell r="B2238" t="str">
            <v>70077/WHIZ 75 GRAPHITE - WHITE S-FLEX</v>
          </cell>
          <cell r="C2238">
            <v>73.5</v>
          </cell>
        </row>
        <row r="2239">
          <cell r="A2239" t="str">
            <v>HI007-IX-3B</v>
          </cell>
          <cell r="B2239" t="str">
            <v>70078/WHIZ 95 GRAPHITE - WHITE X-FLEX</v>
          </cell>
          <cell r="C2239">
            <v>97.5</v>
          </cell>
        </row>
        <row r="2240">
          <cell r="A2240" t="str">
            <v>HI007-IA-3C</v>
          </cell>
          <cell r="B2240" t="str">
            <v>70079/WHIZ 45 GRAPHITE - LIME A-FLEX</v>
          </cell>
          <cell r="C2240">
            <v>47.5</v>
          </cell>
        </row>
        <row r="2241">
          <cell r="A2241" t="str">
            <v>HI007-IR-3C</v>
          </cell>
          <cell r="B2241" t="str">
            <v>70080/WHIZ 60 GRAPHITE - LIME R-FLEX</v>
          </cell>
          <cell r="C2241">
            <v>64</v>
          </cell>
        </row>
        <row r="2242">
          <cell r="A2242" t="str">
            <v>HI007-IS-3C</v>
          </cell>
          <cell r="B2242" t="str">
            <v>70081/WHIZ 75 GRAPHITE - LIME S-FLEX</v>
          </cell>
          <cell r="C2242">
            <v>73.5</v>
          </cell>
        </row>
        <row r="2243">
          <cell r="A2243" t="str">
            <v>HI007-IX-3C</v>
          </cell>
          <cell r="B2243" t="str">
            <v>70082/WHIZ 95 GRAPHITE - LIME X-FLEX</v>
          </cell>
          <cell r="C2243">
            <v>97.5</v>
          </cell>
        </row>
        <row r="2244">
          <cell r="A2244" t="str">
            <v>MX918-WL-1A</v>
          </cell>
          <cell r="B2244" t="str">
            <v>TENSEI™ AV Series Red 45 L-flex</v>
          </cell>
          <cell r="C2244">
            <v>48.5</v>
          </cell>
        </row>
        <row r="2245">
          <cell r="A2245" t="str">
            <v>MX919-WA-1A</v>
          </cell>
          <cell r="B2245" t="str">
            <v>TENSEI™ AV Series Red 55 A-flex</v>
          </cell>
          <cell r="C2245">
            <v>56</v>
          </cell>
        </row>
        <row r="2246">
          <cell r="A2246" t="str">
            <v>MX919-WS-1A</v>
          </cell>
          <cell r="B2246" t="str">
            <v>TENSEI™ AV Series Red 55 S-flex</v>
          </cell>
          <cell r="C2246">
            <v>61.5</v>
          </cell>
        </row>
        <row r="2247">
          <cell r="A2247" t="str">
            <v>MX920-WR-1A</v>
          </cell>
          <cell r="B2247" t="str">
            <v>TENSEI™ AV Series Red 65 R-flex</v>
          </cell>
          <cell r="C2247">
            <v>63.5</v>
          </cell>
        </row>
        <row r="2248">
          <cell r="A2248" t="str">
            <v>MX921-IA-1A</v>
          </cell>
          <cell r="B2248" t="str">
            <v>Tensei AV2 Silver hybrid/Iron 55A</v>
          </cell>
          <cell r="C2248">
            <v>58</v>
          </cell>
        </row>
        <row r="2249">
          <cell r="A2249" t="str">
            <v>MX921-IL-1A</v>
          </cell>
          <cell r="B2249" t="str">
            <v>Tensei AV2 Silver hybrid/Iron 55L</v>
          </cell>
          <cell r="C2249">
            <v>56.5</v>
          </cell>
        </row>
        <row r="2250">
          <cell r="A2250" t="str">
            <v>MX922-IA-1A</v>
          </cell>
          <cell r="B2250" t="str">
            <v>Tensei AV2 Silver hybrid/Iron 65A</v>
          </cell>
          <cell r="C2250">
            <v>59</v>
          </cell>
        </row>
        <row r="2251">
          <cell r="A2251" t="str">
            <v>MX923-IX-1A</v>
          </cell>
          <cell r="B2251" t="str">
            <v>Tensei AV2 Silver hybrid/Iron 75X</v>
          </cell>
          <cell r="C2251">
            <v>79.5</v>
          </cell>
        </row>
        <row r="2252">
          <cell r="A2252" t="str">
            <v>MX920-WS-1A</v>
          </cell>
          <cell r="B2252" t="str">
            <v>TENSEI™ AV Series Red 65 S-flex</v>
          </cell>
          <cell r="C2252">
            <v>67.5</v>
          </cell>
        </row>
        <row r="2253">
          <cell r="A2253" t="str">
            <v>MX991-WR-1A</v>
          </cell>
          <cell r="B2253" t="str">
            <v>SH DRV/FWY TEN 1K BLU 55 R 46</v>
          </cell>
          <cell r="C2253">
            <v>57.5</v>
          </cell>
        </row>
        <row r="2254">
          <cell r="A2254" t="str">
            <v>MX991-WS-1A</v>
          </cell>
          <cell r="B2254" t="str">
            <v>SH DRV/FWY TEN 1K BLU 55 S 46</v>
          </cell>
          <cell r="C2254">
            <v>59</v>
          </cell>
        </row>
        <row r="2255">
          <cell r="A2255" t="str">
            <v>MX992-WR-1A</v>
          </cell>
          <cell r="B2255" t="str">
            <v>SH DRV/FWY TEN 1K BLU 65 R 46</v>
          </cell>
          <cell r="C2255">
            <v>63.5</v>
          </cell>
        </row>
        <row r="2256">
          <cell r="A2256" t="str">
            <v>MX992-WS-1A</v>
          </cell>
          <cell r="B2256" t="str">
            <v>SH DRV/FWY TEN 1K BLU 65 S 46</v>
          </cell>
          <cell r="C2256">
            <v>65.5</v>
          </cell>
        </row>
        <row r="2257">
          <cell r="A2257" t="str">
            <v>MX993-WS-1A</v>
          </cell>
          <cell r="B2257" t="str">
            <v>SH DRV/FWY TEN 1K BLU 75 S 46</v>
          </cell>
          <cell r="C2257">
            <v>74.5</v>
          </cell>
        </row>
        <row r="2258">
          <cell r="A2258" t="str">
            <v>SP412-IS-3A</v>
          </cell>
          <cell r="B2258" t="str">
            <v>MB7BISM/24B Iron Flex-S</v>
          </cell>
          <cell r="C2258">
            <v>71.5</v>
          </cell>
        </row>
        <row r="2259">
          <cell r="A2259" t="str">
            <v>CL044-IR-1A</v>
          </cell>
          <cell r="B2259" t="str">
            <v>10360726/MMT Parallel tip iron 80 Flex-R</v>
          </cell>
          <cell r="C2259">
            <v>82</v>
          </cell>
        </row>
        <row r="2260">
          <cell r="A2260" t="str">
            <v>CL044-IS-1A</v>
          </cell>
          <cell r="B2260" t="str">
            <v>10360725/MMT Parallel tip iron 80 Flex-S</v>
          </cell>
          <cell r="C2260">
            <v>84</v>
          </cell>
        </row>
        <row r="2261">
          <cell r="A2261" t="str">
            <v>CL045-IX-1A</v>
          </cell>
          <cell r="B2261" t="str">
            <v>10360723/MMT Parallel tip iron 90 Flex-X</v>
          </cell>
          <cell r="C2261">
            <v>98</v>
          </cell>
        </row>
        <row r="2262">
          <cell r="A2262" t="str">
            <v>MX726-IR-4AO</v>
          </cell>
          <cell r="B2262" t="str">
            <v>MMT 85 TAPER GR 38.5</v>
          </cell>
          <cell r="C2262">
            <v>83</v>
          </cell>
        </row>
        <row r="2263">
          <cell r="A2263" t="str">
            <v>YM129-IA-6A</v>
          </cell>
          <cell r="B2263" t="str">
            <v>25 INPRES IRON #6 A</v>
          </cell>
          <cell r="C2263">
            <v>41</v>
          </cell>
        </row>
        <row r="2264">
          <cell r="A2264" t="str">
            <v>YM129-IA-7A</v>
          </cell>
          <cell r="B2264" t="str">
            <v>25 INPRES IRON #7 A</v>
          </cell>
          <cell r="C2264">
            <v>41.5</v>
          </cell>
        </row>
        <row r="2265">
          <cell r="A2265" t="str">
            <v>YM129-IA-8A</v>
          </cell>
          <cell r="B2265" t="str">
            <v>25 INPRES IRON #8 A</v>
          </cell>
          <cell r="C2265">
            <v>41.5</v>
          </cell>
        </row>
        <row r="2266">
          <cell r="A2266" t="str">
            <v>YM129-IA-9A</v>
          </cell>
          <cell r="B2266" t="str">
            <v>25 INPRES IRON #9 A</v>
          </cell>
          <cell r="C2266">
            <v>42.5</v>
          </cell>
        </row>
        <row r="2267">
          <cell r="A2267" t="str">
            <v>YM129-IA-PA</v>
          </cell>
          <cell r="B2267" t="str">
            <v>25 INPRES IRON #P A</v>
          </cell>
          <cell r="C2267">
            <v>43</v>
          </cell>
        </row>
        <row r="2268">
          <cell r="A2268" t="str">
            <v>YM129-IL-6A</v>
          </cell>
          <cell r="B2268" t="str">
            <v>25 INPRES IRON #6 L</v>
          </cell>
          <cell r="C2268">
            <v>39</v>
          </cell>
        </row>
        <row r="2269">
          <cell r="A2269" t="str">
            <v>YM129-IL-7A</v>
          </cell>
          <cell r="B2269" t="str">
            <v>25 INPRES IRON #7 L</v>
          </cell>
          <cell r="C2269">
            <v>39.5</v>
          </cell>
        </row>
        <row r="2270">
          <cell r="A2270" t="str">
            <v>YM129-IL-8A</v>
          </cell>
          <cell r="B2270" t="str">
            <v>25 INPRES IRON #8 L</v>
          </cell>
          <cell r="C2270">
            <v>40</v>
          </cell>
        </row>
        <row r="2271">
          <cell r="A2271" t="str">
            <v>YM129-IL-9A</v>
          </cell>
          <cell r="B2271" t="str">
            <v>25 INPRES IRON #9 L</v>
          </cell>
          <cell r="C2271">
            <v>40</v>
          </cell>
        </row>
        <row r="2272">
          <cell r="A2272" t="str">
            <v>YM129-IL-PA</v>
          </cell>
          <cell r="B2272" t="str">
            <v>25 INPRES IRON #P L</v>
          </cell>
          <cell r="C2272">
            <v>40</v>
          </cell>
        </row>
        <row r="2273">
          <cell r="A2273" t="str">
            <v>YM129-UA-4A</v>
          </cell>
          <cell r="B2273" t="str">
            <v>25 INPRES UTILITY #4 A</v>
          </cell>
          <cell r="C2273">
            <v>42.5</v>
          </cell>
        </row>
        <row r="2274">
          <cell r="A2274" t="str">
            <v>YM129-UL-4A</v>
          </cell>
          <cell r="B2274" t="str">
            <v>25 INPRES UTILITY #4 L</v>
          </cell>
          <cell r="C2274">
            <v>41</v>
          </cell>
        </row>
        <row r="2275">
          <cell r="A2275" t="str">
            <v>YM129-WA-1A</v>
          </cell>
          <cell r="B2275" t="str">
            <v>25 INPRES DRIVER A</v>
          </cell>
          <cell r="C2275">
            <v>42.5</v>
          </cell>
        </row>
        <row r="2276">
          <cell r="A2276" t="str">
            <v>YM129-WA-3A</v>
          </cell>
          <cell r="B2276" t="str">
            <v>25 INPRES FAIRWAY #3 A</v>
          </cell>
          <cell r="C2276">
            <v>41.5</v>
          </cell>
        </row>
        <row r="2277">
          <cell r="A2277" t="str">
            <v>YM129-WL-1A</v>
          </cell>
          <cell r="B2277" t="str">
            <v>25 INPRES DRIVER L</v>
          </cell>
          <cell r="C2277">
            <v>39.5</v>
          </cell>
        </row>
        <row r="2278">
          <cell r="A2278" t="str">
            <v>YM129-WL-3A</v>
          </cell>
          <cell r="B2278" t="str">
            <v>25 INPRES FAIRWAY #3 L</v>
          </cell>
          <cell r="C2278">
            <v>39.5</v>
          </cell>
        </row>
        <row r="2279">
          <cell r="A2279" t="str">
            <v>AX204-WL-1SB</v>
          </cell>
          <cell r="B2279" t="str">
            <v>10360710/ASCENT PL Wood 40L</v>
          </cell>
          <cell r="C2279">
            <v>42.5</v>
          </cell>
        </row>
        <row r="2280">
          <cell r="A2280" t="str">
            <v>CL044-IR-1B</v>
          </cell>
          <cell r="B2280" t="str">
            <v>10360726/MMT Parallel tip iron 80 Flex-R</v>
          </cell>
          <cell r="C2280">
            <v>82</v>
          </cell>
        </row>
        <row r="2281">
          <cell r="A2281" t="str">
            <v>CL044-IS-1B</v>
          </cell>
          <cell r="B2281" t="str">
            <v>10360725/MMT Parallel tip iron 80 Flex-S</v>
          </cell>
          <cell r="C2281">
            <v>84</v>
          </cell>
        </row>
        <row r="2282">
          <cell r="A2282" t="str">
            <v>CL045-IX-1B</v>
          </cell>
          <cell r="B2282" t="str">
            <v>10360723/MMT Parallel tip iron 90 Flex-X</v>
          </cell>
          <cell r="C2282">
            <v>98</v>
          </cell>
        </row>
        <row r="2283">
          <cell r="A2283" t="str">
            <v>HI001-WL-1A</v>
          </cell>
          <cell r="B2283" t="str">
            <v>1600001/Helix X-Type 45 Wood Flex-L</v>
          </cell>
          <cell r="C2283">
            <v>48.5</v>
          </cell>
        </row>
        <row r="2284">
          <cell r="A2284" t="str">
            <v>HI001-WA-1A</v>
          </cell>
          <cell r="B2284" t="str">
            <v>1600002/Helix X-Type 45 Wood Flex-A</v>
          </cell>
          <cell r="C2284">
            <v>50</v>
          </cell>
        </row>
        <row r="2285">
          <cell r="A2285" t="str">
            <v>HI001-WR-1A</v>
          </cell>
          <cell r="B2285" t="str">
            <v>1600003/Helix X-Type 45 Wood Flex-R</v>
          </cell>
          <cell r="C2285">
            <v>53</v>
          </cell>
        </row>
        <row r="2286">
          <cell r="A2286" t="str">
            <v>HI002-WR-1A</v>
          </cell>
          <cell r="B2286" t="str">
            <v>1601003/Helix X-Type 65 Wood Flex-R</v>
          </cell>
          <cell r="C2286">
            <v>66</v>
          </cell>
        </row>
        <row r="2287">
          <cell r="A2287" t="str">
            <v>HI002-WS-1A</v>
          </cell>
          <cell r="B2287" t="str">
            <v>1601004/Helix X-Type 65 Wood Flex-S</v>
          </cell>
          <cell r="C2287">
            <v>67.5</v>
          </cell>
        </row>
        <row r="2288">
          <cell r="A2288" t="str">
            <v>HI003-WA-1A</v>
          </cell>
          <cell r="B2288" t="str">
            <v>1602002/Helix Z-Type 55 Wood Flex-A</v>
          </cell>
          <cell r="C2288">
            <v>57</v>
          </cell>
        </row>
        <row r="2289">
          <cell r="A2289" t="str">
            <v>HI003-WR-1A</v>
          </cell>
          <cell r="B2289" t="str">
            <v>1602003/Helix Z-Type 55 Wood Flex-R</v>
          </cell>
          <cell r="C2289">
            <v>58</v>
          </cell>
        </row>
        <row r="2290">
          <cell r="A2290" t="str">
            <v>HI003-WS-1A</v>
          </cell>
          <cell r="B2290" t="str">
            <v>1602004/Helix Z-Type 55 Wood Flex-S</v>
          </cell>
          <cell r="C2290">
            <v>61.5</v>
          </cell>
        </row>
        <row r="2291">
          <cell r="A2291" t="str">
            <v>HI004-WR-1A</v>
          </cell>
          <cell r="B2291" t="str">
            <v>1603003/Helix Z-Type 75 Wood Flex-R</v>
          </cell>
          <cell r="C2291">
            <v>75.5</v>
          </cell>
        </row>
        <row r="2292">
          <cell r="A2292" t="str">
            <v>HI004-WS-1A</v>
          </cell>
          <cell r="B2292" t="str">
            <v>1603004/Helix Z-Type 75 Wood Flex-S</v>
          </cell>
          <cell r="C2292">
            <v>80</v>
          </cell>
        </row>
        <row r="2293">
          <cell r="A2293" t="str">
            <v>HI005-IA-1A</v>
          </cell>
          <cell r="B2293" t="str">
            <v>1598002/Helix X-Type 60</v>
          </cell>
          <cell r="C2293">
            <v>67</v>
          </cell>
        </row>
        <row r="2294">
          <cell r="A2294" t="str">
            <v>HI005-IR-1A</v>
          </cell>
          <cell r="B2294" t="str">
            <v>1599003/Helix X-Type 70</v>
          </cell>
          <cell r="C2294">
            <v>78</v>
          </cell>
        </row>
        <row r="2295">
          <cell r="A2295" t="str">
            <v>HI005-IL-1A</v>
          </cell>
          <cell r="B2295" t="str">
            <v>1597001/Helix X-Type 40</v>
          </cell>
          <cell r="C2295">
            <v>49</v>
          </cell>
        </row>
        <row r="2296">
          <cell r="A2296" t="str">
            <v>HI006-IA-3A</v>
          </cell>
          <cell r="B2296" t="str">
            <v>1594001/Helix X-Type 45 Iron</v>
          </cell>
          <cell r="C2296">
            <v>47</v>
          </cell>
        </row>
        <row r="2297">
          <cell r="A2297" t="str">
            <v>HI006-IR-3A</v>
          </cell>
          <cell r="B2297" t="str">
            <v>1595002/Helix X-Type 55 Iron</v>
          </cell>
          <cell r="C2297">
            <v>62.5</v>
          </cell>
        </row>
        <row r="2298">
          <cell r="A2298" t="str">
            <v>HI006-IS-3A</v>
          </cell>
          <cell r="B2298" t="str">
            <v>1596004/Helix X-Type 75 Iron</v>
          </cell>
          <cell r="C2298">
            <v>72</v>
          </cell>
        </row>
        <row r="2299">
          <cell r="A2299" t="str">
            <v>SX204-IS-PG</v>
          </cell>
          <cell r="C2299">
            <v>70</v>
          </cell>
        </row>
        <row r="2300">
          <cell r="A2300" t="str">
            <v>CW172-IA-1A</v>
          </cell>
          <cell r="B2300" t="str">
            <v>3565S1/SF IR MCA MMT 60 PTIP GR LGT (A-FLEX)</v>
          </cell>
          <cell r="C2300">
            <v>63.5</v>
          </cell>
        </row>
        <row r="2301">
          <cell r="A2301" t="str">
            <v>CW172-IR-1A</v>
          </cell>
          <cell r="B2301" t="str">
            <v>3565S2/SF IR MCA MMT 70 PTIP GR REG</v>
          </cell>
          <cell r="C2301">
            <v>72.5</v>
          </cell>
        </row>
        <row r="2302">
          <cell r="A2302" t="str">
            <v>CW172-IS-1A</v>
          </cell>
          <cell r="B2302" t="str">
            <v>3565S3/SF IR MCA MMT 80 PTIP GR STF</v>
          </cell>
          <cell r="C2302">
            <v>86</v>
          </cell>
        </row>
        <row r="2303">
          <cell r="A2303" t="str">
            <v>MX726-IS-9AO</v>
          </cell>
          <cell r="B2303" t="str">
            <v>MMT 85 TAPER GS 36.0</v>
          </cell>
          <cell r="C2303">
            <v>87</v>
          </cell>
        </row>
        <row r="2304">
          <cell r="A2304" t="str">
            <v>MX726-IS-8AO</v>
          </cell>
          <cell r="B2304" t="str">
            <v>MMT 85 TAPER GS 36.5</v>
          </cell>
          <cell r="C2304">
            <v>87</v>
          </cell>
        </row>
        <row r="2305">
          <cell r="A2305" t="str">
            <v>MX726-IS-7AO</v>
          </cell>
          <cell r="B2305" t="str">
            <v>MMT 85 TAPER GS 37.0</v>
          </cell>
          <cell r="C2305">
            <v>87</v>
          </cell>
        </row>
        <row r="2306">
          <cell r="A2306" t="str">
            <v>MX726-IS-6AO</v>
          </cell>
          <cell r="B2306" t="str">
            <v>MMT 85 TAPER GS 37.5</v>
          </cell>
          <cell r="C2306">
            <v>86</v>
          </cell>
        </row>
        <row r="2307">
          <cell r="A2307" t="str">
            <v>MX726-IS-5AO</v>
          </cell>
          <cell r="B2307" t="str">
            <v>MMT 85 TAPER GS 38.0</v>
          </cell>
          <cell r="C2307">
            <v>88</v>
          </cell>
        </row>
        <row r="2308">
          <cell r="A2308" t="str">
            <v>CB044-WA-1A</v>
          </cell>
          <cell r="B2308" t="str">
            <v>SD22GA027460/SH DF MCA VANQUISH PL 4 GA 460</v>
          </cell>
          <cell r="C2308">
            <v>43.5</v>
          </cell>
        </row>
        <row r="2309">
          <cell r="A2309" t="str">
            <v>CB044-WR-1A</v>
          </cell>
          <cell r="B2309" t="str">
            <v>SD22GR138460/SH DF MCA VANQUISH PL 4 GR 460</v>
          </cell>
          <cell r="C2309">
            <v>44.5</v>
          </cell>
        </row>
        <row r="2310">
          <cell r="A2310" t="str">
            <v>AX205-IL-1SB</v>
          </cell>
          <cell r="B2310" t="str">
            <v>10360721/ASCENT PL Hy/IRON 40L</v>
          </cell>
          <cell r="C2310">
            <v>50.5</v>
          </cell>
        </row>
        <row r="2311">
          <cell r="A2311" t="str">
            <v>MZ052-WS-1A</v>
          </cell>
          <cell r="B2311" t="str">
            <v>2MZ052-WS-1A/TENSEI 1K BLACK 65GRAM S</v>
          </cell>
          <cell r="C2311">
            <v>68.5</v>
          </cell>
        </row>
        <row r="2312">
          <cell r="A2312" t="str">
            <v>MZ052-WX-1A</v>
          </cell>
          <cell r="B2312" t="str">
            <v>2MZ052-WX-1A/TENSEI 1K BLACK 65GRAM X</v>
          </cell>
          <cell r="C2312">
            <v>70.5</v>
          </cell>
        </row>
        <row r="2313">
          <cell r="A2313" t="str">
            <v>MZ053-WS-1A</v>
          </cell>
          <cell r="B2313" t="str">
            <v>2MZ053-WS-1A/TENSEI 1K BLACK 75GRAM S</v>
          </cell>
          <cell r="C2313">
            <v>76.5</v>
          </cell>
        </row>
        <row r="2314">
          <cell r="A2314" t="str">
            <v>MZ053-WX-1A</v>
          </cell>
          <cell r="B2314" t="str">
            <v>2MZ053-WX-1A/TENSEI 1K BLACK 75GRAM X</v>
          </cell>
          <cell r="C2314">
            <v>80</v>
          </cell>
        </row>
        <row r="2315">
          <cell r="A2315" t="str">
            <v>MZ054-WR-1A</v>
          </cell>
          <cell r="B2315" t="str">
            <v>2MZ054-WR-1A/TENSEI 1K BLUE WITH X-LINK 55 R-FLEX</v>
          </cell>
          <cell r="C2315">
            <v>57.5</v>
          </cell>
        </row>
        <row r="2316">
          <cell r="A2316" t="str">
            <v>MZ054-WS-1A</v>
          </cell>
          <cell r="B2316" t="str">
            <v>2MZ054-WS-1A/TENSEI 1K BLUE WITH X-LINK 55 S-FLEX</v>
          </cell>
          <cell r="C2316">
            <v>59</v>
          </cell>
        </row>
        <row r="2317">
          <cell r="A2317" t="str">
            <v>MZ055-WR-1A</v>
          </cell>
          <cell r="B2317" t="str">
            <v>2MZ055-WR-1A/TENSEI 1K BLUE WITH X-LINK 65 R-FLEX</v>
          </cell>
          <cell r="C2317">
            <v>63.5</v>
          </cell>
        </row>
        <row r="2318">
          <cell r="A2318" t="str">
            <v>MZ055-WS-1A</v>
          </cell>
          <cell r="B2318" t="str">
            <v>2MZ055-WS-1A/TENSEI 1K BLUE WITH X-LINK 65 S-FLEX</v>
          </cell>
          <cell r="C2318">
            <v>65.5</v>
          </cell>
        </row>
        <row r="2319">
          <cell r="A2319" t="str">
            <v>MZ055-WX-1A</v>
          </cell>
          <cell r="B2319" t="str">
            <v>2MZ055-WX-1A/TENSEI 1K BLUE WITH X-LINK 65 X-FLEX</v>
          </cell>
          <cell r="C2319">
            <v>66</v>
          </cell>
        </row>
        <row r="2320">
          <cell r="A2320" t="str">
            <v>MZ056-WS-1A</v>
          </cell>
          <cell r="B2320" t="str">
            <v>2MZ056-WS-1A/TENSEI 1K BLUE WITH X-LINK 75 S-FLEX</v>
          </cell>
          <cell r="C2320">
            <v>74.5</v>
          </cell>
        </row>
        <row r="2321">
          <cell r="A2321" t="str">
            <v>MZ056-WX-1A</v>
          </cell>
          <cell r="B2321" t="str">
            <v>2MZ056-WX-1A/TENSEI 1K BLUE WITH X-LINK 75 X-FLEX</v>
          </cell>
          <cell r="C2321">
            <v>75.5</v>
          </cell>
        </row>
        <row r="2322">
          <cell r="A2322" t="str">
            <v>MZ059-IS-2A</v>
          </cell>
          <cell r="B2322" t="str">
            <v>2MZ059-IS-2A/TENSEI 1K BLACK HYBRID 85G S</v>
          </cell>
          <cell r="C2322">
            <v>88</v>
          </cell>
        </row>
        <row r="2323">
          <cell r="A2323" t="str">
            <v>MZ059-IX-2A</v>
          </cell>
          <cell r="B2323" t="str">
            <v>2MZ059-IX-2A/TENSEI 1K BLACK HYBRID 85G X</v>
          </cell>
          <cell r="C2323">
            <v>91.5</v>
          </cell>
        </row>
        <row r="2324">
          <cell r="A2324" t="str">
            <v>MZ060-IS-2A</v>
          </cell>
          <cell r="B2324" t="str">
            <v>2MZ060-IS-2A/TENSEI 1K BLACK HYBRID 95G S</v>
          </cell>
          <cell r="C2324">
            <v>100</v>
          </cell>
        </row>
        <row r="2325">
          <cell r="A2325" t="str">
            <v>MZ060-IX-2A</v>
          </cell>
          <cell r="B2325" t="str">
            <v>2MZ060-IX-2A/TENSEI 1K BLACK HYBRID 95G X</v>
          </cell>
          <cell r="C2325">
            <v>103.5</v>
          </cell>
        </row>
        <row r="2326">
          <cell r="A2326" t="str">
            <v>MX945-WR-3A</v>
          </cell>
          <cell r="B2326" t="str">
            <v>VANQUISH  FW 60R</v>
          </cell>
          <cell r="C2326">
            <v>62.8</v>
          </cell>
        </row>
        <row r="2327">
          <cell r="A2327" t="str">
            <v>CB047-WR-1A</v>
          </cell>
          <cell r="B2327" t="str">
            <v>SD22GR137460/SH DF MCA TENSEI AV2 XLINK BU 65 GR 460</v>
          </cell>
          <cell r="C2327">
            <v>66</v>
          </cell>
        </row>
        <row r="2328">
          <cell r="A2328" t="str">
            <v>MZ058-IR-2A</v>
          </cell>
          <cell r="B2328" t="str">
            <v>2MZ058-IR-2A/TENSEI 1K BLUE HYBRID 75 R-FLEX</v>
          </cell>
          <cell r="C2328">
            <v>75.5</v>
          </cell>
        </row>
        <row r="2329">
          <cell r="A2329" t="str">
            <v>MZ058-IS-2A</v>
          </cell>
          <cell r="B2329" t="str">
            <v>2MZ058-IS-2A/TENSEI 1K BLUE HYBRID 75 S-FLEX</v>
          </cell>
          <cell r="C2329">
            <v>78.5</v>
          </cell>
        </row>
        <row r="2330">
          <cell r="A2330" t="str">
            <v xml:space="preserve">DS008-WR-1A </v>
          </cell>
          <cell r="B2330" t="str">
            <v>7014463 / Tensei Wood 55gram R</v>
          </cell>
          <cell r="C2330">
            <v>57.5</v>
          </cell>
        </row>
        <row r="2331">
          <cell r="A2331" t="str">
            <v>MX984-IA-1A</v>
          </cell>
          <cell r="C2331">
            <v>62</v>
          </cell>
        </row>
        <row r="2332">
          <cell r="A2332" t="str">
            <v>MX984-IR-1A</v>
          </cell>
          <cell r="C2332">
            <v>62</v>
          </cell>
        </row>
        <row r="2333">
          <cell r="A2333" t="str">
            <v>AU225-IR-2A</v>
          </cell>
          <cell r="B2333" t="str">
            <v>2693753/SH HYB Tensei 1K Blue 65 R 42.0</v>
          </cell>
          <cell r="C2333">
            <v>65.5</v>
          </cell>
        </row>
        <row r="2334">
          <cell r="A2334" t="str">
            <v>AU225-IS-2A</v>
          </cell>
          <cell r="B2334" t="str">
            <v>2693755/SH HYB Tensei 1K Blue 65 S 42.0</v>
          </cell>
          <cell r="C2334">
            <v>68.5</v>
          </cell>
        </row>
        <row r="2335">
          <cell r="A2335" t="str">
            <v>AU226-IR-2A</v>
          </cell>
          <cell r="B2335" t="str">
            <v>2693757/SH HYB Tensei 1K Blue 75 R 42.0</v>
          </cell>
          <cell r="C2335">
            <v>75.5</v>
          </cell>
        </row>
        <row r="2336">
          <cell r="A2336" t="str">
            <v>AU226-IS-2A</v>
          </cell>
          <cell r="B2336" t="str">
            <v>2693759/SH HYB Tensei 1K Blue 75 S 42.0</v>
          </cell>
          <cell r="C2336">
            <v>78.5</v>
          </cell>
        </row>
        <row r="2337">
          <cell r="A2337" t="str">
            <v>AU229-IS-2A</v>
          </cell>
          <cell r="B2337" t="str">
            <v>2693761/SH HYB Tensei 1K Blue 85 S 42.0</v>
          </cell>
          <cell r="C2337">
            <v>88.5</v>
          </cell>
        </row>
        <row r="2338">
          <cell r="A2338" t="str">
            <v>AU229-IX-2A</v>
          </cell>
          <cell r="B2338" t="str">
            <v>2693763/SH HYB Tensei 1K Blue 85 X 42.0</v>
          </cell>
          <cell r="C2338">
            <v>91.5</v>
          </cell>
        </row>
        <row r="2339">
          <cell r="A2339" t="str">
            <v>R-MX905-IX-3A</v>
          </cell>
          <cell r="B2339" t="str">
            <v>Diamana Thump ‘23 IR 115X #3</v>
          </cell>
        </row>
        <row r="2340">
          <cell r="A2340" t="str">
            <v>CW159-WW-1B</v>
          </cell>
          <cell r="B2340" t="str">
            <v>3569K1/SF WD ELDIO WHT / GRN 40 GR WMS (L-FLEX)</v>
          </cell>
          <cell r="C2340">
            <v>42.5</v>
          </cell>
        </row>
        <row r="2341">
          <cell r="A2341" t="str">
            <v>MX968-WW-1AO</v>
          </cell>
          <cell r="B2341" t="str">
            <v>SD22GL005460/SH DF MCA VANQUISH PL 4 GL 460</v>
          </cell>
          <cell r="C2341">
            <v>42.5</v>
          </cell>
        </row>
        <row r="2342">
          <cell r="A2342" t="str">
            <v>CB045-WS-1A</v>
          </cell>
          <cell r="B2342" t="str">
            <v>SD22GS238460/VANQUISH OEM WOOD 50 GRAM S</v>
          </cell>
          <cell r="C2342">
            <v>57.5</v>
          </cell>
        </row>
        <row r="2343">
          <cell r="A2343" t="str">
            <v>MZ052-WS-1AF</v>
          </cell>
          <cell r="C2343">
            <v>68.5</v>
          </cell>
        </row>
        <row r="2344">
          <cell r="A2344" t="str">
            <v>MZ052-WX-1AF</v>
          </cell>
          <cell r="C2344">
            <v>70.5</v>
          </cell>
        </row>
        <row r="2345">
          <cell r="A2345" t="str">
            <v>MZ053-WS-1AF</v>
          </cell>
          <cell r="C2345">
            <v>76.5</v>
          </cell>
        </row>
        <row r="2346">
          <cell r="A2346" t="str">
            <v>MZ053-WX-1AF</v>
          </cell>
          <cell r="C2346">
            <v>80</v>
          </cell>
        </row>
        <row r="2347">
          <cell r="A2347" t="str">
            <v>MZ059-IX-2AF</v>
          </cell>
          <cell r="C2347">
            <v>91.5</v>
          </cell>
        </row>
        <row r="2348">
          <cell r="A2348" t="str">
            <v>MZ054-WR-1AF</v>
          </cell>
          <cell r="C2348">
            <v>57.5</v>
          </cell>
        </row>
        <row r="2349">
          <cell r="A2349" t="str">
            <v>MZ054-WS-1AF</v>
          </cell>
          <cell r="C2349">
            <v>59</v>
          </cell>
        </row>
        <row r="2350">
          <cell r="A2350" t="str">
            <v>MZ055-WR-1AF</v>
          </cell>
          <cell r="C2350">
            <v>63.5</v>
          </cell>
        </row>
        <row r="2351">
          <cell r="A2351" t="str">
            <v>MZ055-WS-1AF</v>
          </cell>
          <cell r="C2351">
            <v>65.5</v>
          </cell>
        </row>
        <row r="2352">
          <cell r="A2352" t="str">
            <v>MZ056-WX-1AF</v>
          </cell>
          <cell r="C2352">
            <v>75.5</v>
          </cell>
        </row>
        <row r="2353">
          <cell r="A2353" t="str">
            <v>MZ058-IS-2AF</v>
          </cell>
          <cell r="C2353">
            <v>78.5</v>
          </cell>
        </row>
        <row r="2354">
          <cell r="A2354" t="str">
            <v>SF263-WS-1B</v>
          </cell>
          <cell r="B2354" t="str">
            <v>N3309601/SHM-MCA KAI'LI WHITE 60 DW-S</v>
          </cell>
          <cell r="C2354">
            <v>68</v>
          </cell>
        </row>
        <row r="2355">
          <cell r="A2355" t="str">
            <v>SF303-WS-1A</v>
          </cell>
          <cell r="B2355" t="str">
            <v>N3309301/SHM-MCA KAI'LI BLUE CB60 DW-S</v>
          </cell>
          <cell r="C2355">
            <v>64.5</v>
          </cell>
        </row>
        <row r="2356">
          <cell r="A2356" t="str">
            <v>CB045-WR-1A</v>
          </cell>
          <cell r="B2356" t="str">
            <v>SD22GR139460/VANQUISH OEM WOOD 50 GRAM R</v>
          </cell>
          <cell r="C2356">
            <v>54.5</v>
          </cell>
        </row>
        <row r="2357">
          <cell r="A2357" t="str">
            <v>MX992-WX-1A</v>
          </cell>
          <cell r="B2357" t="str">
            <v>SH DRV/FWY TEN 1K BLU 65 X 46</v>
          </cell>
          <cell r="C2357">
            <v>66</v>
          </cell>
        </row>
        <row r="2358">
          <cell r="A2358" t="str">
            <v>MX993-WX-1A</v>
          </cell>
          <cell r="B2358" t="str">
            <v>SH DRV/FWY TEN 1K BLU 75 X 46</v>
          </cell>
          <cell r="C2358">
            <v>75.5</v>
          </cell>
        </row>
        <row r="2359">
          <cell r="A2359" t="str">
            <v>CW160-WX-1A</v>
          </cell>
          <cell r="B2359" t="str">
            <v>3569M4/SF WD TENSEI 1K BLACK 65 GR XST</v>
          </cell>
          <cell r="C2359">
            <v>70.5</v>
          </cell>
        </row>
        <row r="2360">
          <cell r="A2360" t="str">
            <v>SF282-WS-3C</v>
          </cell>
          <cell r="C2360">
            <v>76.5</v>
          </cell>
        </row>
        <row r="2361">
          <cell r="A2361" t="str">
            <v>SF282-WX-3C</v>
          </cell>
          <cell r="C2361">
            <v>78.5</v>
          </cell>
        </row>
        <row r="2362">
          <cell r="A2362" t="str">
            <v>CW161-WX-1A</v>
          </cell>
          <cell r="B2362" t="str">
            <v>3569N4/SF WD TENSEI 1K BLACK 75 GR XST</v>
          </cell>
          <cell r="C2362">
            <v>80</v>
          </cell>
        </row>
        <row r="2363">
          <cell r="A2363" t="str">
            <v>SF244-IS-3E</v>
          </cell>
          <cell r="B2363" t="str">
            <v>N3403401/SHM-MCA KAI’LI BLUE HY 85 DW-S</v>
          </cell>
          <cell r="C2363">
            <v>79.5</v>
          </cell>
        </row>
        <row r="2364">
          <cell r="A2364" t="str">
            <v>SF248-IA-1E</v>
          </cell>
          <cell r="B2364" t="str">
            <v>N9524301/SHI ELDIO 2025 TM40 A</v>
          </cell>
          <cell r="C2364">
            <v>59</v>
          </cell>
        </row>
        <row r="2365">
          <cell r="A2365" t="str">
            <v>SF248-IL-1E</v>
          </cell>
          <cell r="B2365" t="str">
            <v>N9524401/SHI ELDIO 2025 TM40 L</v>
          </cell>
          <cell r="C2365">
            <v>57</v>
          </cell>
        </row>
        <row r="2366">
          <cell r="A2366" t="str">
            <v>SF299-WS-1B</v>
          </cell>
          <cell r="B2366" t="str">
            <v>N3407201 /SHD Diamana Black 2025 TM60 S</v>
          </cell>
          <cell r="C2366">
            <v>62</v>
          </cell>
        </row>
        <row r="2367">
          <cell r="A2367" t="str">
            <v>SF306-WA-1A</v>
          </cell>
          <cell r="B2367" t="str">
            <v>N3413401/SHM-MCA Vanquish 40 R2 (A)</v>
          </cell>
          <cell r="C2367">
            <v>43.5</v>
          </cell>
        </row>
        <row r="2368">
          <cell r="A2368" t="str">
            <v>XG035-WR-1A</v>
          </cell>
          <cell r="B2368" t="str">
            <v>S-TENSEIAV-BLU-55-R/Tensei AV X-Link Blue 55 R-FLEX</v>
          </cell>
          <cell r="C2368">
            <v>75.399999999999991</v>
          </cell>
        </row>
        <row r="2369">
          <cell r="A2369" t="str">
            <v>XG037-WS-1A</v>
          </cell>
          <cell r="B2369" t="str">
            <v>S-TENSEIAV-BLU-75-S/Tensei AV X-Link Blue 75 S-FLEX</v>
          </cell>
          <cell r="C2369">
            <v>94.899999999999991</v>
          </cell>
        </row>
        <row r="2370">
          <cell r="A2370" t="str">
            <v>XG040-IS-2A</v>
          </cell>
          <cell r="B2370" t="str">
            <v>S-TENSEIAV-HYB-BLU-75-S/Tensei AV Xlink Blue HYB 75 S-FLEX</v>
          </cell>
          <cell r="C2370">
            <v>96.9</v>
          </cell>
        </row>
        <row r="2371">
          <cell r="A2371" t="str">
            <v>SF263-WX-1B</v>
          </cell>
          <cell r="B2371" t="str">
            <v>N3309501/SHM-MCA KAI'LI WHITE 60 DW-X</v>
          </cell>
          <cell r="C2371">
            <v>69.5</v>
          </cell>
        </row>
        <row r="2372">
          <cell r="A2372" t="str">
            <v>SF303-WR-1A</v>
          </cell>
          <cell r="B2372" t="str">
            <v>N3309401/SHM-MCA KAI'LI BLUE CB60 DW-R</v>
          </cell>
          <cell r="C2372">
            <v>62.5</v>
          </cell>
        </row>
        <row r="2373">
          <cell r="A2373" t="str">
            <v>SF303-WX-1A</v>
          </cell>
          <cell r="B2373" t="str">
            <v>N3309201/SHM-MCA KAI'LI BLUE CB60 DW-X</v>
          </cell>
          <cell r="C2373">
            <v>66.5</v>
          </cell>
        </row>
        <row r="2374">
          <cell r="A2374" t="str">
            <v>CW159-IW-1B</v>
          </cell>
          <cell r="B2374" t="str">
            <v>3569J1/SF HY/IR MCA ELDIO WHT/GRN 40 GR WMS</v>
          </cell>
          <cell r="C2374">
            <v>51</v>
          </cell>
        </row>
        <row r="2375">
          <cell r="A2375" t="str">
            <v>CW166-IA-1A</v>
          </cell>
          <cell r="B2375" t="str">
            <v>3569F1/SF HY/IR MCA VANQUISH 50 GR R2</v>
          </cell>
          <cell r="C2375">
            <v>62</v>
          </cell>
        </row>
        <row r="2376">
          <cell r="A2376" t="str">
            <v>CW168-WS-1A</v>
          </cell>
          <cell r="B2376" t="str">
            <v>3570X3/WD MCA TENSEI GREEN 60 GR STF JV</v>
          </cell>
          <cell r="C2376">
            <v>64</v>
          </cell>
        </row>
        <row r="2377">
          <cell r="A2377" t="str">
            <v>SF250-IS-3E</v>
          </cell>
          <cell r="B2377" t="str">
            <v>N3403301/SHM-MCA KAI’LI BLUE HY 95 DW-X</v>
          </cell>
          <cell r="C2377">
            <v>96</v>
          </cell>
        </row>
        <row r="2378">
          <cell r="A2378" t="str">
            <v>SF282-WR-3C</v>
          </cell>
          <cell r="B2378" t="str">
            <v>N3481101/SHM-MCA KAI’LI BLUE FW 65 DW-R</v>
          </cell>
          <cell r="C2378">
            <v>73.5</v>
          </cell>
        </row>
        <row r="2379">
          <cell r="A2379" t="str">
            <v>SF306-WR-1A</v>
          </cell>
          <cell r="B2379" t="str">
            <v>N3413501/SHM-MCA Vanquish 40 R</v>
          </cell>
          <cell r="C2379">
            <v>44.5</v>
          </cell>
        </row>
        <row r="2380">
          <cell r="A2380" t="str">
            <v>SF307-IA-1A</v>
          </cell>
          <cell r="B2380" t="str">
            <v>N3411601/SHM-MCA Vanquish HY 50 R2 (A)</v>
          </cell>
          <cell r="C2380">
            <v>62</v>
          </cell>
        </row>
        <row r="2381">
          <cell r="A2381" t="str">
            <v>SF307-IR-1A</v>
          </cell>
          <cell r="B2381" t="str">
            <v>N3411501/SHM-MCA Vanquish HY 50 R</v>
          </cell>
          <cell r="C2381">
            <v>62</v>
          </cell>
        </row>
        <row r="2382">
          <cell r="A2382" t="str">
            <v>CW159-IA-1A</v>
          </cell>
          <cell r="B2382" t="str">
            <v>3569I1/SF HY/IR MCA VANQUISH 40 GR R2</v>
          </cell>
          <cell r="C2382">
            <v>52</v>
          </cell>
        </row>
        <row r="2383">
          <cell r="A2383" t="str">
            <v>MX726-IR-3AO</v>
          </cell>
          <cell r="B2383" t="str">
            <v>MMT 85 TAPER GR 39.0</v>
          </cell>
          <cell r="C2383">
            <v>84</v>
          </cell>
        </row>
        <row r="2384">
          <cell r="A2384" t="str">
            <v>MX726-IS-4AO</v>
          </cell>
          <cell r="B2384" t="str">
            <v>MMT 85 TAPER GS 38.5</v>
          </cell>
          <cell r="C2384">
            <v>87.5</v>
          </cell>
        </row>
        <row r="2385">
          <cell r="A2385" t="str">
            <v>SF302-WA-1A</v>
          </cell>
          <cell r="B2385" t="str">
            <v>N9530001/SHD ELDIO 2025 TM40 A</v>
          </cell>
          <cell r="C2385">
            <v>49</v>
          </cell>
        </row>
        <row r="2386">
          <cell r="A2386" t="str">
            <v>SF302-WL-1A</v>
          </cell>
          <cell r="B2386" t="str">
            <v>N9529901/SHD ELDIO 2025 TM40 L</v>
          </cell>
          <cell r="C2386">
            <v>44.5</v>
          </cell>
        </row>
        <row r="2387">
          <cell r="A2387" t="str">
            <v>CW168-WSR1A</v>
          </cell>
          <cell r="B2387" t="str">
            <v>3570X5/WD MCA TENSEI GREEN 60 GR SR JV</v>
          </cell>
          <cell r="C2387">
            <v>61</v>
          </cell>
        </row>
        <row r="2388">
          <cell r="A2388" t="str">
            <v>MX889-WS-1AO</v>
          </cell>
          <cell r="B2388" t="str">
            <v>N3508701/TENSEI 1K Black 65 S-flex</v>
          </cell>
          <cell r="C2388">
            <v>68.5</v>
          </cell>
        </row>
        <row r="2389">
          <cell r="A2389" t="str">
            <v>MX890-WS-1AO</v>
          </cell>
          <cell r="B2389" t="str">
            <v>N3508901/TENSEI 1K Black 75 S-flex</v>
          </cell>
          <cell r="C2389">
            <v>76.5</v>
          </cell>
        </row>
        <row r="2390">
          <cell r="A2390" t="str">
            <v>CB049-WR-1C</v>
          </cell>
          <cell r="B2390" t="str">
            <v>SD22GR147460/SH DF MCA TENSEI 1K BU AP 25 65 GR 460</v>
          </cell>
          <cell r="C2390">
            <v>63.5</v>
          </cell>
        </row>
        <row r="2391">
          <cell r="A2391" t="str">
            <v>CB043-WS-1C</v>
          </cell>
          <cell r="B2391" t="str">
            <v>SD22GS247460/SH DF MCA TENSEI 1K BK VOL 25 65 GS 460</v>
          </cell>
          <cell r="C2391">
            <v>68.5</v>
          </cell>
        </row>
        <row r="2392">
          <cell r="A2392" t="str">
            <v>CB049-WX-1C</v>
          </cell>
          <cell r="B2392" t="str">
            <v>SD22GX214460/SH DF MCA TENSEI 1K BU AP 25 65 GX 460</v>
          </cell>
          <cell r="C2392">
            <v>66</v>
          </cell>
        </row>
        <row r="2393">
          <cell r="A2393" t="str">
            <v>CB043-WX-1C</v>
          </cell>
          <cell r="B2393" t="str">
            <v>SD22GX215460/SH DF MCA TENSEI 1K BK VOL 25 65 GX 460</v>
          </cell>
          <cell r="C2393">
            <v>70.5</v>
          </cell>
        </row>
        <row r="2394">
          <cell r="A2394" t="str">
            <v>CB043-WR-1C</v>
          </cell>
          <cell r="B2394" t="str">
            <v>SD22GR148460/SH DF MCA TENSEI 1K BK VOL 25 65 GR 460</v>
          </cell>
          <cell r="C2394">
            <v>66.5</v>
          </cell>
        </row>
        <row r="2395">
          <cell r="A2395" t="str">
            <v>CB049-WS-1C</v>
          </cell>
          <cell r="B2395" t="str">
            <v>SD22GS246460/SH DF MCA TENSEI 1K BU AP 25 65 GS 460</v>
          </cell>
          <cell r="C2395">
            <v>65.5</v>
          </cell>
        </row>
        <row r="2396">
          <cell r="A2396" t="str">
            <v>MX992-WX-1AO</v>
          </cell>
          <cell r="B2396" t="str">
            <v>TENSEI 1K Blue 65 X-Flex</v>
          </cell>
          <cell r="C2396">
            <v>66</v>
          </cell>
        </row>
        <row r="2397">
          <cell r="A2397" t="str">
            <v>MX993-WS-1AO</v>
          </cell>
          <cell r="B2397" t="str">
            <v>TENSEI 1K Blue 75 S-Flex</v>
          </cell>
          <cell r="C2397">
            <v>74.5</v>
          </cell>
        </row>
        <row r="2398">
          <cell r="A2398" t="str">
            <v>MX993-WX-1AO</v>
          </cell>
          <cell r="B2398" t="str">
            <v>TENSEI 1K Blue 75 X-Flex</v>
          </cell>
          <cell r="C2398">
            <v>75.5</v>
          </cell>
        </row>
        <row r="2399">
          <cell r="A2399" t="str">
            <v>CW162-WX-1A</v>
          </cell>
          <cell r="B2399" t="str">
            <v>3569O4/SF WD TENSEI 1K BLACK 85 GR XST</v>
          </cell>
          <cell r="C2399">
            <v>92</v>
          </cell>
        </row>
        <row r="2400">
          <cell r="A2400" t="str">
            <v>MX889-WX-1AO</v>
          </cell>
          <cell r="B2400" t="str">
            <v>N3508801/TENSEI 1K Black 65 X-flex</v>
          </cell>
          <cell r="C2400">
            <v>70.5</v>
          </cell>
        </row>
        <row r="2401">
          <cell r="A2401" t="str">
            <v>MX890-WX-1AO</v>
          </cell>
          <cell r="B2401" t="str">
            <v>N3509001/TENSEI 1K Black 75 X-flex</v>
          </cell>
          <cell r="C2401">
            <v>80</v>
          </cell>
        </row>
        <row r="2402">
          <cell r="A2402" t="str">
            <v>SP414-IS-3A</v>
          </cell>
          <cell r="B2402" t="str">
            <v>MB6BISM/25B IRON FLEX-S</v>
          </cell>
          <cell r="C2402">
            <v>66.5</v>
          </cell>
        </row>
        <row r="2403">
          <cell r="A2403" t="str">
            <v>MX968-WA-1AO</v>
          </cell>
          <cell r="B2403" t="str">
            <v>VANQUISH PL 4 A-Flex (R2)</v>
          </cell>
          <cell r="C2403">
            <v>43.5</v>
          </cell>
        </row>
        <row r="2404">
          <cell r="A2404" t="str">
            <v>MX992-WS-1AO</v>
          </cell>
          <cell r="B2404" t="str">
            <v>TENSEI 1K Blue 65 S-Flex</v>
          </cell>
          <cell r="C2404">
            <v>65.5</v>
          </cell>
        </row>
        <row r="2405">
          <cell r="A2405" t="str">
            <v>MX991-WRA1A</v>
          </cell>
          <cell r="B2405" t="str">
            <v>SH DRV/FWY TEN 1K BLU 55 R2 46</v>
          </cell>
          <cell r="C2405">
            <v>55.5</v>
          </cell>
        </row>
        <row r="2406">
          <cell r="A2406" t="str">
            <v>MX991-WX-1A</v>
          </cell>
          <cell r="B2406" t="str">
            <v>SH DRV/FWY TEN 1K BLU 55 X 46</v>
          </cell>
          <cell r="C2406">
            <v>61.5</v>
          </cell>
        </row>
        <row r="2407">
          <cell r="A2407" t="str">
            <v>MX992-WTX1A</v>
          </cell>
          <cell r="B2407" t="str">
            <v>SH DRV/FWY TEN 1K BLU 65 TX 46</v>
          </cell>
          <cell r="C2407">
            <v>66.5</v>
          </cell>
        </row>
        <row r="2408">
          <cell r="A2408" t="str">
            <v>MX993-WTX1A</v>
          </cell>
          <cell r="B2408" t="str">
            <v>SH DRV/FWY TEN 1K BLU 75 TX 46</v>
          </cell>
          <cell r="C2408">
            <v>77</v>
          </cell>
        </row>
        <row r="2409">
          <cell r="A2409" t="str">
            <v>MX998-IA-1AO</v>
          </cell>
          <cell r="B2409" t="str">
            <v>VANQUISH PL 4 HYB R2 (A-FLEX)</v>
          </cell>
          <cell r="C2409">
            <v>52</v>
          </cell>
        </row>
        <row r="2410">
          <cell r="A2410" t="str">
            <v>MX891-WS-1AO</v>
          </cell>
          <cell r="B2410" t="str">
            <v>TENSEI 1K Black 85 S-flex</v>
          </cell>
          <cell r="C2410">
            <v>91</v>
          </cell>
        </row>
        <row r="2411">
          <cell r="A2411" t="str">
            <v>MX891-WX-1AO</v>
          </cell>
          <cell r="B2411" t="str">
            <v>TENSEI 1K Black 85 X-flex</v>
          </cell>
          <cell r="C2411">
            <v>92</v>
          </cell>
        </row>
        <row r="2412">
          <cell r="A2412" t="str">
            <v>MX933-IS-1AO</v>
          </cell>
          <cell r="B2412" t="str">
            <v>TENSEI 1K Black Hybrid 85 S-Flex</v>
          </cell>
          <cell r="C2412">
            <v>88</v>
          </cell>
        </row>
        <row r="2413">
          <cell r="A2413" t="str">
            <v>MX933-IX-1AO</v>
          </cell>
          <cell r="B2413" t="str">
            <v>TENSEI 1K Black Hybrid 85 X-Flex</v>
          </cell>
          <cell r="C2413">
            <v>91.5</v>
          </cell>
        </row>
        <row r="2414">
          <cell r="A2414" t="str">
            <v>MX934-IS-1AO</v>
          </cell>
          <cell r="B2414" t="str">
            <v>TENSEI 1K Black Hybrid 95 S-Flex</v>
          </cell>
          <cell r="C2414">
            <v>100</v>
          </cell>
        </row>
        <row r="2415">
          <cell r="A2415" t="str">
            <v>MX934-IX-1AO</v>
          </cell>
          <cell r="B2415" t="str">
            <v>TENSEI 1K Black Hybrid 95 X-Flex</v>
          </cell>
          <cell r="C2415">
            <v>103.5</v>
          </cell>
        </row>
        <row r="2416">
          <cell r="A2416" t="str">
            <v>MX984-IS-1A</v>
          </cell>
          <cell r="B2416" t="str">
            <v>VANQUISH Hy/Ir S</v>
          </cell>
          <cell r="C2416">
            <v>66.5</v>
          </cell>
        </row>
        <row r="2417">
          <cell r="A2417" t="str">
            <v>MX998-IW-1A</v>
          </cell>
          <cell r="B2417" t="str">
            <v>VANQUISH PL Hy/Ir 40R3</v>
          </cell>
          <cell r="C2417">
            <v>50</v>
          </cell>
        </row>
        <row r="2418">
          <cell r="A2418" t="str">
            <v>MX998-IA-1A</v>
          </cell>
          <cell r="B2418" t="str">
            <v>VANQUISH PL Hy/Ir 40R2</v>
          </cell>
          <cell r="C2418">
            <v>52</v>
          </cell>
        </row>
        <row r="2419">
          <cell r="A2419" t="str">
            <v>MX969-WR-1AT</v>
          </cell>
          <cell r="B2419" t="str">
            <v>SHM MCA Vanquish 5 R (DEMO)</v>
          </cell>
          <cell r="C2419">
            <v>54.5</v>
          </cell>
        </row>
        <row r="2420">
          <cell r="A2420" t="str">
            <v>MX969-WS-1AT</v>
          </cell>
          <cell r="B2420" t="str">
            <v>SHM MCA Vanquish 5 S (DEMO)</v>
          </cell>
          <cell r="C2420">
            <v>57.5</v>
          </cell>
        </row>
        <row r="2421">
          <cell r="A2421" t="str">
            <v>MX969-WR-1AO</v>
          </cell>
          <cell r="C2421">
            <v>54.5</v>
          </cell>
        </row>
        <row r="2422">
          <cell r="A2422" t="str">
            <v>MX969-WS-1AO</v>
          </cell>
          <cell r="B2422" t="str">
            <v>VANQUISH PL 5 S-Flex</v>
          </cell>
          <cell r="C2422">
            <v>57.5</v>
          </cell>
        </row>
        <row r="2423">
          <cell r="A2423" t="str">
            <v>CW159-WA-1AY</v>
          </cell>
          <cell r="B2423" t="str">
            <v>3560H1/SF WD MCA VANQUISH 40 GR R2 (A-FLEX) DEMO</v>
          </cell>
          <cell r="C2423">
            <v>43.5</v>
          </cell>
        </row>
        <row r="2424">
          <cell r="A2424" t="str">
            <v>CW159-WW-1BY</v>
          </cell>
          <cell r="B2424" t="str">
            <v>3574F1/SF WD MCA ELDIO WHT/GRN 40 GR WMS (L-FLEX) DEMO</v>
          </cell>
          <cell r="C2424">
            <v>43.5</v>
          </cell>
        </row>
        <row r="2425">
          <cell r="A2425" t="str">
            <v>CW160-WS-1AY</v>
          </cell>
          <cell r="B2425" t="str">
            <v>3574G3/SF WD MCA TENSEI 1K BLACK 65 GR STF DEMO</v>
          </cell>
          <cell r="C2425">
            <v>68.5</v>
          </cell>
        </row>
        <row r="2426">
          <cell r="A2426" t="str">
            <v>CW160-WX-1AY</v>
          </cell>
          <cell r="B2426" t="str">
            <v>3574G4/SF WD MCA TENSEI 1K BLACK 65 GR XST DEMO</v>
          </cell>
          <cell r="C2426">
            <v>70.5</v>
          </cell>
        </row>
        <row r="2427">
          <cell r="A2427" t="str">
            <v>CW166-WR-1AY</v>
          </cell>
          <cell r="B2427" t="str">
            <v>3574J2/SF WD MCA VANQUISH 50 GR REG DEMO</v>
          </cell>
          <cell r="C2427">
            <v>54.5</v>
          </cell>
        </row>
        <row r="2428">
          <cell r="A2428" t="str">
            <v>SF305-WS-1AT</v>
          </cell>
          <cell r="B2428" t="str">
            <v>N3513501/SHM MCA 25 KAILI WH 70S (DEMO)</v>
          </cell>
          <cell r="C2428">
            <v>75.5</v>
          </cell>
        </row>
        <row r="2429">
          <cell r="A2429" t="str">
            <v>SF305-WX-1AT</v>
          </cell>
          <cell r="B2429" t="str">
            <v>N3513601/SHM MCA 25 KAILI WH 70X (DEMO)</v>
          </cell>
          <cell r="C2429">
            <v>77.5</v>
          </cell>
        </row>
        <row r="2430">
          <cell r="A2430" t="str">
            <v>CW159-IA-1AY</v>
          </cell>
          <cell r="B2430" t="str">
            <v>3574S1/SF IR/HY MCA VANQUISH 40 GR R2 DEMO</v>
          </cell>
          <cell r="C2430">
            <v>52</v>
          </cell>
        </row>
        <row r="2431">
          <cell r="A2431" t="str">
            <v>CW159-IW-1BY</v>
          </cell>
          <cell r="B2431" t="str">
            <v>3574U1/SF IR/HY MCA ELDIO WHT/GRN 40 GR WMS (R3)DEMO</v>
          </cell>
          <cell r="C2431">
            <v>51</v>
          </cell>
        </row>
        <row r="2432">
          <cell r="A2432" t="str">
            <v>CW162-WX-1AY</v>
          </cell>
          <cell r="B2432" t="str">
            <v>3574I4/SF WD MCA TENSEI 1K BLACK 85 GR XST DEMO</v>
          </cell>
          <cell r="C2432">
            <v>92</v>
          </cell>
        </row>
        <row r="2433">
          <cell r="A2433" t="str">
            <v>SF305-WX-1A</v>
          </cell>
          <cell r="B2433" t="str">
            <v>N3511101/SHM MCA 25 KAILI WH 70X</v>
          </cell>
          <cell r="C2433">
            <v>77.5</v>
          </cell>
        </row>
        <row r="2434">
          <cell r="A2434" t="str">
            <v>SF305-WS-1A</v>
          </cell>
          <cell r="B2434" t="str">
            <v>N3511001/SHM MCA 25 KAILI WH 70S</v>
          </cell>
          <cell r="C2434">
            <v>75.5</v>
          </cell>
        </row>
        <row r="2435">
          <cell r="A2435" t="str">
            <v>CW161-WS-1AY</v>
          </cell>
          <cell r="B2435" t="str">
            <v>3574H3/SF WD MCA TENSEI 1K BLACK 75 GR STF DEMO</v>
          </cell>
          <cell r="C2435">
            <v>76.5</v>
          </cell>
        </row>
        <row r="2436">
          <cell r="A2436" t="str">
            <v>CW161-WX-1AY</v>
          </cell>
          <cell r="B2436" t="str">
            <v>3574H4/SF WD MCA TENSEI 1K BLACK 75 GR XST DEMO</v>
          </cell>
          <cell r="C2436">
            <v>80</v>
          </cell>
        </row>
        <row r="2437">
          <cell r="A2437" t="str">
            <v>CW162-WS-1AY</v>
          </cell>
          <cell r="B2437" t="str">
            <v>3574I3/SF WD MCA TENSEI 1K BLACK 85 GR STF DEMO</v>
          </cell>
          <cell r="C2437">
            <v>91</v>
          </cell>
        </row>
        <row r="2438">
          <cell r="A2438" t="str">
            <v>CW166-WA-1AY</v>
          </cell>
          <cell r="B2438" t="str">
            <v>3574J1/SF WD MCA VANQUISH 50 GR R2 (A-FLEX) DEMO</v>
          </cell>
          <cell r="C2438">
            <v>52</v>
          </cell>
        </row>
        <row r="2439">
          <cell r="A2439" t="str">
            <v>MR145-IR-5A</v>
          </cell>
          <cell r="B2439" t="str">
            <v>8475980/25 MAJESTY ROYALE R</v>
          </cell>
          <cell r="C2439">
            <v>52.5</v>
          </cell>
        </row>
        <row r="2440">
          <cell r="A2440" t="str">
            <v>MR145-IR-9A</v>
          </cell>
          <cell r="B2440" t="str">
            <v>8476004/25 MAJESTY ROYALE R</v>
          </cell>
          <cell r="C2440">
            <v>50.5</v>
          </cell>
        </row>
        <row r="2441">
          <cell r="A2441" t="str">
            <v>MR145-ISR5A</v>
          </cell>
          <cell r="B2441" t="str">
            <v>8475998/25 MAJESTY ROYALE SR</v>
          </cell>
          <cell r="C2441">
            <v>54</v>
          </cell>
        </row>
        <row r="2442">
          <cell r="A2442" t="str">
            <v>MR145-ISR9A</v>
          </cell>
          <cell r="B2442" t="str">
            <v>8476012/25 MAJESTY ROYALE SR</v>
          </cell>
          <cell r="C2442">
            <v>52</v>
          </cell>
        </row>
        <row r="2443">
          <cell r="A2443" t="str">
            <v>MR145-UR-3A</v>
          </cell>
          <cell r="B2443" t="str">
            <v>8475956/25 MAJESTY ROYALE R</v>
          </cell>
          <cell r="C2443">
            <v>48.5</v>
          </cell>
        </row>
        <row r="2444">
          <cell r="A2444" t="str">
            <v>MR145-US-3A</v>
          </cell>
          <cell r="B2444" t="str">
            <v>8475972/25 MAJESTY ROYALE S</v>
          </cell>
          <cell r="C2444">
            <v>56.5</v>
          </cell>
        </row>
        <row r="2445">
          <cell r="A2445" t="str">
            <v>MR145-USR3A</v>
          </cell>
          <cell r="B2445" t="str">
            <v>8475964/25 MAJESTY ROYALE SR</v>
          </cell>
          <cell r="C2445">
            <v>50</v>
          </cell>
        </row>
        <row r="2446">
          <cell r="A2446" t="str">
            <v>MR145-WR-1A</v>
          </cell>
          <cell r="B2446" t="str">
            <v>8475899/25 MAJESTY ROYALE R</v>
          </cell>
          <cell r="C2446">
            <v>47.5</v>
          </cell>
        </row>
        <row r="2447">
          <cell r="A2447" t="str">
            <v>MR145-WR-3A</v>
          </cell>
          <cell r="B2447" t="str">
            <v>8475923/25 MAJESTY ROYALE R</v>
          </cell>
          <cell r="C2447">
            <v>47</v>
          </cell>
        </row>
        <row r="2448">
          <cell r="A2448" t="str">
            <v>MR145-WS-1A</v>
          </cell>
          <cell r="B2448" t="str">
            <v>8475915/25 MAJESTY ROYALE S</v>
          </cell>
          <cell r="C2448">
            <v>55</v>
          </cell>
        </row>
        <row r="2449">
          <cell r="A2449" t="str">
            <v>MR145-WS-3A</v>
          </cell>
          <cell r="B2449" t="str">
            <v>8475949/25 MAJESTY ROYALE S</v>
          </cell>
          <cell r="C2449">
            <v>54</v>
          </cell>
        </row>
        <row r="2450">
          <cell r="A2450" t="str">
            <v>MR145-WSR1A</v>
          </cell>
          <cell r="B2450" t="str">
            <v>8475907/25 MAJESTY ROYALE SR</v>
          </cell>
          <cell r="C2450">
            <v>49.5</v>
          </cell>
        </row>
        <row r="2451">
          <cell r="A2451" t="str">
            <v>MR145-WSR3A</v>
          </cell>
          <cell r="B2451" t="str">
            <v>8475931/25 MAJESTY ROYALE SR</v>
          </cell>
          <cell r="C2451">
            <v>48.5</v>
          </cell>
        </row>
        <row r="2452">
          <cell r="A2452" t="str">
            <v>MR148-IA-5A</v>
          </cell>
          <cell r="B2452" t="str">
            <v>8476228/25 MAJESTY ROYALE A</v>
          </cell>
          <cell r="C2452">
            <v>49</v>
          </cell>
        </row>
        <row r="2453">
          <cell r="A2453" t="str">
            <v>MR148-IL-5A</v>
          </cell>
          <cell r="B2453" t="str">
            <v>8476210/25 MAJESTY ROYALE L</v>
          </cell>
          <cell r="C2453">
            <v>47.5</v>
          </cell>
        </row>
        <row r="2454">
          <cell r="A2454" t="str">
            <v>MR148-UA-4A</v>
          </cell>
          <cell r="B2454" t="str">
            <v>8476202/25 MAJESTY ROYALE A</v>
          </cell>
          <cell r="C2454">
            <v>41.5</v>
          </cell>
        </row>
        <row r="2455">
          <cell r="A2455" t="str">
            <v>MR148-UL-4A</v>
          </cell>
          <cell r="B2455" t="str">
            <v>8476194/25 MAJESTY ROYALE L</v>
          </cell>
          <cell r="C2455">
            <v>40</v>
          </cell>
        </row>
        <row r="2456">
          <cell r="A2456" t="str">
            <v>MR148-WA-1A</v>
          </cell>
          <cell r="B2456" t="str">
            <v>8476160/25 MAJESTY ROYALE A</v>
          </cell>
          <cell r="C2456">
            <v>43</v>
          </cell>
        </row>
        <row r="2457">
          <cell r="A2457" t="str">
            <v>MR148-WA-3A</v>
          </cell>
          <cell r="B2457" t="str">
            <v>8476186/25 MAJESTY ROYALE A</v>
          </cell>
          <cell r="C2457">
            <v>43.5</v>
          </cell>
        </row>
        <row r="2458">
          <cell r="A2458" t="str">
            <v>MR148-WL-1A</v>
          </cell>
          <cell r="B2458" t="str">
            <v>8476152/25 MAJESTY ROYALE L</v>
          </cell>
          <cell r="C2458">
            <v>41.5</v>
          </cell>
        </row>
        <row r="2459">
          <cell r="A2459" t="str">
            <v>MR148-WL-3A</v>
          </cell>
          <cell r="B2459" t="str">
            <v>8476178/25 MAJESTY ROYALE L</v>
          </cell>
          <cell r="C2459">
            <v>42</v>
          </cell>
        </row>
        <row r="2460">
          <cell r="A2460" t="str">
            <v>CW168-WX-1A</v>
          </cell>
          <cell r="B2460" t="str">
            <v>3570X4/SF WD MCA Manta LS 60 GR XST JV</v>
          </cell>
          <cell r="C2460">
            <v>66.5</v>
          </cell>
        </row>
        <row r="2461">
          <cell r="A2461" t="str">
            <v>CW169-WS-1A</v>
          </cell>
          <cell r="B2461" t="str">
            <v>3573Y3/SF WD MCA Manta LS 70 GR STF JV</v>
          </cell>
          <cell r="C2461">
            <v>73.5</v>
          </cell>
        </row>
        <row r="2462">
          <cell r="A2462" t="str">
            <v>CW169-WX-1A</v>
          </cell>
          <cell r="B2462" t="str">
            <v>3573Y4/SF WD MCA Manta LS 70 GR XST JV</v>
          </cell>
          <cell r="C2462">
            <v>75.5</v>
          </cell>
        </row>
        <row r="2463">
          <cell r="A2463" t="str">
            <v>SP397-IR-3B</v>
          </cell>
          <cell r="B2463" t="str">
            <v>OFVBIRM/FUBUKI V562ⅡIRON FLEX-R</v>
          </cell>
          <cell r="C2463">
            <v>61.5</v>
          </cell>
        </row>
        <row r="2464">
          <cell r="A2464" t="str">
            <v>SP397-UR-1B</v>
          </cell>
          <cell r="B2464" t="str">
            <v>OFVBURM/FUBUKI V562ⅡUTILITY FLEX-R</v>
          </cell>
          <cell r="C2464">
            <v>58</v>
          </cell>
        </row>
        <row r="2465">
          <cell r="A2465" t="str">
            <v>SP397-US-1B</v>
          </cell>
          <cell r="B2465" t="str">
            <v>OFVBUSM/FUBUKI V562ⅡUTILITY FLEX-S</v>
          </cell>
          <cell r="C2465">
            <v>60</v>
          </cell>
        </row>
        <row r="2466">
          <cell r="A2466" t="str">
            <v>SP397-WR-1B</v>
          </cell>
          <cell r="B2466" t="str">
            <v>OFVBWRM/FUBUKI V562ⅡWOOD FLEX-R</v>
          </cell>
          <cell r="C2466">
            <v>54.5</v>
          </cell>
        </row>
        <row r="2467">
          <cell r="A2467" t="str">
            <v>SP397-WS-1B</v>
          </cell>
          <cell r="B2467" t="str">
            <v>OFVBWSM/FUBUKI V562ⅡWOOD FLEX-S</v>
          </cell>
          <cell r="C2467">
            <v>58</v>
          </cell>
        </row>
        <row r="2468">
          <cell r="A2468" t="str">
            <v>AU228-IA-7A</v>
          </cell>
          <cell r="B2468" t="str">
            <v>2775927/MMT AMC RED 65 R2 #7</v>
          </cell>
          <cell r="C2468">
            <v>55.5</v>
          </cell>
        </row>
        <row r="2469">
          <cell r="A2469" t="str">
            <v>AU228-IR-7A</v>
          </cell>
          <cell r="B2469" t="str">
            <v>2775937/MMT AMC RED 65 R #7</v>
          </cell>
          <cell r="C2469">
            <v>57</v>
          </cell>
        </row>
        <row r="2470">
          <cell r="A2470" t="str">
            <v>AU228-IS-7A</v>
          </cell>
          <cell r="B2470" t="str">
            <v>2775947/MMT AMC RED 65 S #7</v>
          </cell>
          <cell r="C2470">
            <v>60</v>
          </cell>
        </row>
        <row r="2471">
          <cell r="A2471" t="str">
            <v>AU230-IL-7A</v>
          </cell>
          <cell r="B2471" t="str">
            <v>2775917/MMT AMC RED 55 R3 #7</v>
          </cell>
          <cell r="C2471">
            <v>48</v>
          </cell>
        </row>
        <row r="2472">
          <cell r="A2472" t="str">
            <v>MX890-WX-1AT</v>
          </cell>
          <cell r="B2472" t="str">
            <v>TENSEI 1K Black 75 X-flex (DEMO)</v>
          </cell>
          <cell r="C2472">
            <v>80</v>
          </cell>
        </row>
        <row r="2473">
          <cell r="A2473" t="str">
            <v>MR145-IR-5B</v>
          </cell>
          <cell r="B2473" t="str">
            <v>8476111/25 MAJESTY ROYALE R</v>
          </cell>
          <cell r="C2473">
            <v>52</v>
          </cell>
        </row>
        <row r="2474">
          <cell r="A2474" t="str">
            <v>MR145-IR-9B</v>
          </cell>
          <cell r="B2474" t="str">
            <v>8476137/25 MAJESTY ROYALE R</v>
          </cell>
          <cell r="C2474">
            <v>50</v>
          </cell>
        </row>
        <row r="2475">
          <cell r="A2475" t="str">
            <v>MR145-ISR5B</v>
          </cell>
          <cell r="B2475" t="str">
            <v>8476129/25 MAJESTY ROYALE SR</v>
          </cell>
          <cell r="C2475">
            <v>53.5</v>
          </cell>
        </row>
        <row r="2476">
          <cell r="A2476" t="str">
            <v>MR145-ISR9B</v>
          </cell>
          <cell r="B2476" t="str">
            <v>8476145/25 MAJESTY ROYALE SR</v>
          </cell>
          <cell r="C2476">
            <v>51.5</v>
          </cell>
        </row>
        <row r="2477">
          <cell r="A2477" t="str">
            <v>MR145-UR-3B</v>
          </cell>
          <cell r="B2477" t="str">
            <v>8476087/25 MAJESTY ROYALE R</v>
          </cell>
          <cell r="C2477">
            <v>48</v>
          </cell>
        </row>
        <row r="2478">
          <cell r="A2478" t="str">
            <v>MR145-US-3B</v>
          </cell>
          <cell r="B2478" t="str">
            <v>8476103/25 MAJESTY ROYALE S</v>
          </cell>
          <cell r="C2478">
            <v>56</v>
          </cell>
        </row>
        <row r="2479">
          <cell r="A2479" t="str">
            <v>MR145-USR3B</v>
          </cell>
          <cell r="B2479" t="str">
            <v>8476095/25 MAJESTY ROYALE SR</v>
          </cell>
          <cell r="C2479">
            <v>49.5</v>
          </cell>
        </row>
        <row r="2480">
          <cell r="A2480" t="str">
            <v>MR145-WR-1B</v>
          </cell>
          <cell r="B2480" t="str">
            <v>8476020/25 MAJESTY ROYALE R</v>
          </cell>
          <cell r="C2480">
            <v>47</v>
          </cell>
        </row>
        <row r="2481">
          <cell r="A2481" t="str">
            <v>MR145-WR-3B</v>
          </cell>
          <cell r="B2481" t="str">
            <v>8476053/25 MAJESTY ROYALE R</v>
          </cell>
          <cell r="C2481">
            <v>46.5</v>
          </cell>
        </row>
        <row r="2482">
          <cell r="A2482" t="str">
            <v>MR145-WS-1B</v>
          </cell>
          <cell r="B2482" t="str">
            <v>8476046/25 MAJESTY ROYALE S</v>
          </cell>
          <cell r="C2482">
            <v>54.5</v>
          </cell>
        </row>
        <row r="2483">
          <cell r="A2483" t="str">
            <v>MR145-WS-3B</v>
          </cell>
          <cell r="B2483" t="str">
            <v>8476079/25 MAJESTY ROYALE S</v>
          </cell>
          <cell r="C2483">
            <v>53.5</v>
          </cell>
        </row>
        <row r="2484">
          <cell r="A2484" t="str">
            <v>MR145-WSR1B</v>
          </cell>
          <cell r="B2484" t="str">
            <v>8476038/25 MAJESTY ROYALE SR</v>
          </cell>
          <cell r="C2484">
            <v>49</v>
          </cell>
        </row>
        <row r="2485">
          <cell r="A2485" t="str">
            <v>MR145-WSR3B</v>
          </cell>
          <cell r="B2485" t="str">
            <v>8476061/25 MAJESTY ROYALE SR</v>
          </cell>
          <cell r="C2485">
            <v>48</v>
          </cell>
        </row>
        <row r="2486">
          <cell r="A2486" t="str">
            <v>MX681-IS-SBO</v>
          </cell>
          <cell r="B2486" t="str">
            <v>MMT SCORING WEDGE 105 S-FLEX (0.355 TAPER)</v>
          </cell>
          <cell r="C2486">
            <v>115</v>
          </cell>
        </row>
        <row r="2487">
          <cell r="A2487" t="str">
            <v>MX721-IS-4AO</v>
          </cell>
          <cell r="B2487" t="str">
            <v>MMT TAPER IRON 125 S-FLEX 38.5</v>
          </cell>
          <cell r="C2487">
            <v>125</v>
          </cell>
        </row>
        <row r="2488">
          <cell r="A2488" t="str">
            <v>MX721-IS-5AO</v>
          </cell>
          <cell r="B2488" t="str">
            <v>MMT TAPER IRON 125 S-FLEX 38.0</v>
          </cell>
          <cell r="C2488">
            <v>124</v>
          </cell>
        </row>
        <row r="2489">
          <cell r="A2489" t="str">
            <v>MX721-IS-6AO</v>
          </cell>
          <cell r="B2489" t="str">
            <v>MMT TAPER IRON 125 S-FLEX 37.5</v>
          </cell>
          <cell r="C2489">
            <v>125.5</v>
          </cell>
        </row>
        <row r="2490">
          <cell r="A2490" t="str">
            <v>MX721-IS-7AO</v>
          </cell>
          <cell r="B2490" t="str">
            <v>MMT TAPER IRON 125 S-FLEX 37.0</v>
          </cell>
          <cell r="C2490">
            <v>124</v>
          </cell>
        </row>
        <row r="2491">
          <cell r="A2491" t="str">
            <v>MX721-IS-8AO</v>
          </cell>
          <cell r="B2491" t="str">
            <v>MMT TAPER IRON 125 S-FLEX 36.5</v>
          </cell>
          <cell r="C2491">
            <v>124</v>
          </cell>
        </row>
        <row r="2492">
          <cell r="A2492" t="str">
            <v>MX721-IS-9AO</v>
          </cell>
          <cell r="B2492" t="str">
            <v>MMT TAPER IRON 125 S-FLEX 36.0</v>
          </cell>
          <cell r="C2492">
            <v>125.5</v>
          </cell>
        </row>
        <row r="2493">
          <cell r="A2493" t="str">
            <v>MX721-IS-PAO</v>
          </cell>
          <cell r="B2493" t="str">
            <v>MMT TAPER IRON 125 S-FLEX 35.5</v>
          </cell>
          <cell r="C2493">
            <v>125</v>
          </cell>
        </row>
        <row r="2494">
          <cell r="A2494" t="str">
            <v>MX721-ITXSBO</v>
          </cell>
          <cell r="B2494" t="str">
            <v>MMT SCORING WEDGE 125 TX-FLEX (0.355 TAPER)</v>
          </cell>
          <cell r="C2494">
            <v>129</v>
          </cell>
        </row>
        <row r="2495">
          <cell r="A2495" t="str">
            <v>CW166-IA-1AY</v>
          </cell>
          <cell r="B2495" t="str">
            <v>3574T1/SF IR/HY MCA VANQUISH 50 GR R2 DEMO</v>
          </cell>
          <cell r="C2495">
            <v>62</v>
          </cell>
        </row>
        <row r="2496">
          <cell r="A2496" t="str">
            <v>MX890-WS-1AT</v>
          </cell>
          <cell r="B2496" t="str">
            <v>TENSEI 1K Black 75 S-flex (DEMO)</v>
          </cell>
          <cell r="C2496">
            <v>76.5</v>
          </cell>
        </row>
        <row r="2497">
          <cell r="A2497" t="str">
            <v>SF299-WX-1B</v>
          </cell>
          <cell r="B2497" t="str">
            <v>N3407101/SHD Diamana Black 2025 TM60 X</v>
          </cell>
          <cell r="C2497">
            <v>63.5</v>
          </cell>
        </row>
        <row r="2498">
          <cell r="A2498" t="str">
            <v>YR185-IL-6A</v>
          </cell>
          <cell r="B2498" t="str">
            <v>LI251-30365/2025 LADIES IRON M30 #6</v>
          </cell>
          <cell r="C2498">
            <v>40.5</v>
          </cell>
        </row>
        <row r="2499">
          <cell r="A2499" t="str">
            <v>YR185-IL-7A</v>
          </cell>
          <cell r="B2499" t="str">
            <v>LI251-30360/2026 LADIES IRON M30 #7</v>
          </cell>
          <cell r="C2499">
            <v>40.5</v>
          </cell>
        </row>
        <row r="2500">
          <cell r="A2500" t="str">
            <v>YR185-IL-8A</v>
          </cell>
          <cell r="B2500" t="str">
            <v>LI251-30355/2027 LADIES IRON M30 #8</v>
          </cell>
          <cell r="C2500">
            <v>41</v>
          </cell>
        </row>
        <row r="2501">
          <cell r="A2501" t="str">
            <v>YR185-IL-9A</v>
          </cell>
          <cell r="B2501" t="str">
            <v>LI251-30350/2028 LADIES IRON M30 #9</v>
          </cell>
          <cell r="C2501">
            <v>42</v>
          </cell>
        </row>
        <row r="2502">
          <cell r="A2502" t="str">
            <v>YR185-ILA6A</v>
          </cell>
          <cell r="B2502" t="str">
            <v>LI251-34365/2025 LADIES IRON M34 #6</v>
          </cell>
          <cell r="C2502">
            <v>42</v>
          </cell>
        </row>
        <row r="2503">
          <cell r="A2503" t="str">
            <v>YR185-ILA7A</v>
          </cell>
          <cell r="B2503" t="str">
            <v>LI251-34360/2026 LADIES IRON M34 #7</v>
          </cell>
          <cell r="C2503">
            <v>42</v>
          </cell>
        </row>
        <row r="2504">
          <cell r="A2504" t="str">
            <v>YR185-ILA8A</v>
          </cell>
          <cell r="B2504" t="str">
            <v>LI251-34355/2027 LADIES IRON M34 #8</v>
          </cell>
          <cell r="C2504">
            <v>43</v>
          </cell>
        </row>
        <row r="2505">
          <cell r="A2505" t="str">
            <v>YR185-ILA9A</v>
          </cell>
          <cell r="B2505" t="str">
            <v>LI251-34350/2028 LADIES IRON M34 #9</v>
          </cell>
          <cell r="C2505">
            <v>44</v>
          </cell>
        </row>
        <row r="2506">
          <cell r="A2506" t="str">
            <v>YR185-IL-AA</v>
          </cell>
          <cell r="B2506" t="str">
            <v>LI251-30340/2030 LADIES IRON M30 #A</v>
          </cell>
          <cell r="C2506">
            <v>43</v>
          </cell>
        </row>
        <row r="2507">
          <cell r="A2507" t="str">
            <v>YR185-ILAAA</v>
          </cell>
          <cell r="B2507" t="str">
            <v>LI251-34340/2030 LADIES IRON M34 #A</v>
          </cell>
          <cell r="C2507">
            <v>44.5</v>
          </cell>
        </row>
        <row r="2508">
          <cell r="A2508" t="str">
            <v>YR185-ILAPA</v>
          </cell>
          <cell r="B2508" t="str">
            <v>LI251-34345/2029 LADIES IRON M34 #P</v>
          </cell>
          <cell r="C2508">
            <v>44</v>
          </cell>
        </row>
        <row r="2509">
          <cell r="A2509" t="str">
            <v>YR185-IL-PA</v>
          </cell>
          <cell r="B2509" t="str">
            <v>LI251-30345/2029 LADIES IRON M30 #P</v>
          </cell>
          <cell r="C2509">
            <v>42</v>
          </cell>
        </row>
        <row r="2510">
          <cell r="A2510" t="str">
            <v>YR185-UL-4A</v>
          </cell>
          <cell r="B2510" t="str">
            <v>LU251-30D/2025 LADIES UT M30</v>
          </cell>
          <cell r="C2510">
            <v>39.5</v>
          </cell>
        </row>
        <row r="2511">
          <cell r="A2511" t="str">
            <v>YR185-ULA4A</v>
          </cell>
          <cell r="B2511" t="str">
            <v>LU251-34D/2025 LADIES UT M34</v>
          </cell>
          <cell r="C2511">
            <v>41</v>
          </cell>
        </row>
        <row r="2512">
          <cell r="A2512" t="str">
            <v>YR185-WL-1A</v>
          </cell>
          <cell r="B2512" t="str">
            <v>LD251-30A/2025 LADIES DRIVER M30</v>
          </cell>
          <cell r="C2512">
            <v>39.5</v>
          </cell>
        </row>
        <row r="2513">
          <cell r="A2513" t="str">
            <v>YR185-WL-3A</v>
          </cell>
          <cell r="B2513" t="str">
            <v>LF251-30C/2025 LADIES FW M30</v>
          </cell>
          <cell r="C2513">
            <v>39.5</v>
          </cell>
        </row>
        <row r="2514">
          <cell r="A2514" t="str">
            <v>YR185-WLA1A</v>
          </cell>
          <cell r="B2514" t="str">
            <v>LD251-34A/2025 LADIES DRIVER M34</v>
          </cell>
          <cell r="C2514">
            <v>42</v>
          </cell>
        </row>
        <row r="2515">
          <cell r="A2515" t="str">
            <v>YR185-WLA3A</v>
          </cell>
          <cell r="B2515" t="str">
            <v>LF251-34C/2025 LADIES FW M34</v>
          </cell>
          <cell r="C2515">
            <v>42</v>
          </cell>
        </row>
        <row r="2516">
          <cell r="A2516" t="str">
            <v>CW173-WL-1A</v>
          </cell>
          <cell r="B2516" t="str">
            <v>3577F1/SF WD MCA ELDIO 40 GR LDY JV</v>
          </cell>
          <cell r="C2516">
            <v>40.5</v>
          </cell>
        </row>
        <row r="2517">
          <cell r="A2517" t="str">
            <v>MX889-WS-1AT</v>
          </cell>
          <cell r="B2517" t="str">
            <v>TENSEI 1K Black 65 S-flex (DEMO)</v>
          </cell>
          <cell r="C2517">
            <v>68.5</v>
          </cell>
        </row>
        <row r="2518">
          <cell r="A2518" t="str">
            <v>MX889-WX-1AT</v>
          </cell>
          <cell r="B2518" t="str">
            <v>TENSEI 1K Black 65 X-flex (DEMO)</v>
          </cell>
          <cell r="C2518">
            <v>70.5</v>
          </cell>
        </row>
        <row r="2519">
          <cell r="A2519" t="str">
            <v>MX891-WS-1AT</v>
          </cell>
          <cell r="B2519" t="str">
            <v>TENSEI 1K Black 85 S-flex (DEMO)</v>
          </cell>
          <cell r="C2519">
            <v>91</v>
          </cell>
        </row>
        <row r="2520">
          <cell r="A2520" t="str">
            <v>MX891-WX-1AT</v>
          </cell>
          <cell r="B2520" t="str">
            <v>TENSEI 1K Black 85 X-flex (DEMO)</v>
          </cell>
          <cell r="C2520">
            <v>92</v>
          </cell>
        </row>
        <row r="2521">
          <cell r="A2521" t="str">
            <v>MX933-IS-1AT</v>
          </cell>
          <cell r="B2521" t="str">
            <v>TENSEI 1K Black Hybrid 85 S-Flex (DEMO)</v>
          </cell>
          <cell r="C2521">
            <v>88</v>
          </cell>
        </row>
        <row r="2522">
          <cell r="A2522" t="str">
            <v>MX933-IX-1AT</v>
          </cell>
          <cell r="B2522" t="str">
            <v>TENSEI 1K Black Hybrid 85 X-Flex (DEMO)</v>
          </cell>
          <cell r="C2522">
            <v>91.5</v>
          </cell>
        </row>
        <row r="2523">
          <cell r="A2523" t="str">
            <v>MX934-IX-1AT</v>
          </cell>
          <cell r="B2523" t="str">
            <v>TENSEI 1K Black Hybrid 95 X-Flex (DEMO)</v>
          </cell>
          <cell r="C2523">
            <v>103</v>
          </cell>
        </row>
        <row r="2524">
          <cell r="A2524" t="str">
            <v>MX759-WS-1C</v>
          </cell>
          <cell r="B2524" t="str">
            <v>KAI’LI™ DARK WAVES BLUE 60 S-FLEX</v>
          </cell>
          <cell r="C2524">
            <v>66.5</v>
          </cell>
        </row>
        <row r="2525">
          <cell r="A2525" t="str">
            <v>MX936-WS-1B</v>
          </cell>
          <cell r="B2525" t="str">
            <v>KAI’LI™ DARK WAVES RED 50 S-FLEX</v>
          </cell>
          <cell r="C2525">
            <v>55.5</v>
          </cell>
        </row>
        <row r="2526">
          <cell r="A2526" t="str">
            <v>SX148-IR-1AR</v>
          </cell>
          <cell r="B2526" t="str">
            <v>WORKTEC HISHO IRON FLEX-R</v>
          </cell>
          <cell r="C2526">
            <v>55</v>
          </cell>
        </row>
        <row r="2527">
          <cell r="A2527" t="str">
            <v>SX148-IS-1AR</v>
          </cell>
          <cell r="B2527" t="str">
            <v>WORKTEC HISHO IRON FLEX-S</v>
          </cell>
          <cell r="C2527">
            <v>59</v>
          </cell>
        </row>
        <row r="2528">
          <cell r="A2528" t="str">
            <v>SX148-WR-1AR</v>
          </cell>
          <cell r="B2528" t="str">
            <v>WORKTEC HISHO FLEX-R</v>
          </cell>
          <cell r="C2528">
            <v>55.5</v>
          </cell>
        </row>
        <row r="2529">
          <cell r="A2529" t="str">
            <v>SX148-WS-1AR</v>
          </cell>
          <cell r="B2529" t="str">
            <v>WORKTEC HISHO FLEX-S</v>
          </cell>
          <cell r="C2529">
            <v>60.5</v>
          </cell>
        </row>
        <row r="2530">
          <cell r="A2530" t="str">
            <v>SX148-WSR1AR</v>
          </cell>
          <cell r="B2530" t="str">
            <v>WORKTEC HISHO FLEX-SR</v>
          </cell>
          <cell r="C2530">
            <v>58</v>
          </cell>
        </row>
        <row r="2531">
          <cell r="A2531" t="str">
            <v>CW173-IL-2A</v>
          </cell>
          <cell r="B2531" t="str">
            <v>3576L1/SF IR/HY MCA ELDIO 40 GR LDY JV</v>
          </cell>
          <cell r="C2531">
            <v>43</v>
          </cell>
        </row>
        <row r="2532">
          <cell r="A2532" t="str">
            <v>YR187-IS-5A</v>
          </cell>
          <cell r="B2532" t="str">
            <v>DIAM-43390/DIAM-IRONS FLEX-S</v>
          </cell>
          <cell r="C2532">
            <v>70</v>
          </cell>
        </row>
        <row r="2533">
          <cell r="A2533" t="str">
            <v>YR187-IS-6A</v>
          </cell>
          <cell r="B2533" t="str">
            <v>DIAM-43385/DIAM-IRONS FLEX-S</v>
          </cell>
          <cell r="C2533">
            <v>70</v>
          </cell>
        </row>
        <row r="2534">
          <cell r="A2534" t="str">
            <v>YR187-IS-7A</v>
          </cell>
          <cell r="B2534" t="str">
            <v>DIAM-43380/DIAM-IRONS FLEX-S</v>
          </cell>
          <cell r="C2534">
            <v>71</v>
          </cell>
        </row>
        <row r="2535">
          <cell r="A2535" t="str">
            <v>YR187-IS-8A</v>
          </cell>
          <cell r="B2535" t="str">
            <v>DIAM-43375/DIAM-IRONS FLEX-S</v>
          </cell>
          <cell r="C2535">
            <v>71.5</v>
          </cell>
        </row>
        <row r="2536">
          <cell r="A2536" t="str">
            <v>YR187-IS-9A</v>
          </cell>
          <cell r="B2536" t="str">
            <v>DIAM-43370/DIAM-IRONS FLEX-S</v>
          </cell>
          <cell r="C2536">
            <v>73</v>
          </cell>
        </row>
        <row r="2537">
          <cell r="A2537" t="str">
            <v>YR187-IS-AA</v>
          </cell>
          <cell r="B2537" t="str">
            <v>DIAM-43360/DIAM-IRONS FLEX-S</v>
          </cell>
          <cell r="C2537">
            <v>73</v>
          </cell>
        </row>
        <row r="2538">
          <cell r="A2538" t="str">
            <v>YR187-IS-PA</v>
          </cell>
          <cell r="B2538" t="str">
            <v>DIAM-43365/DIAM-IRONS FLEX-S</v>
          </cell>
          <cell r="C2538">
            <v>73</v>
          </cell>
        </row>
        <row r="2539">
          <cell r="A2539" t="str">
            <v>YR187-ISR5A</v>
          </cell>
          <cell r="B2539" t="str">
            <v>DIAM-40390/DIAM-IRONS FLEX-SR</v>
          </cell>
          <cell r="C2539">
            <v>54</v>
          </cell>
        </row>
        <row r="2540">
          <cell r="A2540" t="str">
            <v>YR187-ISR6A</v>
          </cell>
          <cell r="B2540" t="str">
            <v>DIAM-40385/DIAM-IRONS FLEX-SR</v>
          </cell>
          <cell r="C2540">
            <v>54.5</v>
          </cell>
        </row>
        <row r="2541">
          <cell r="A2541" t="str">
            <v>YR187-ISR7A</v>
          </cell>
          <cell r="B2541" t="str">
            <v>DIAM-40380/DIAM-IRONS FLEX-SR</v>
          </cell>
          <cell r="C2541">
            <v>55.5</v>
          </cell>
        </row>
        <row r="2542">
          <cell r="A2542" t="str">
            <v>YR187-ISR8A</v>
          </cell>
          <cell r="B2542" t="str">
            <v>DIAM-40375/DIAM-IRONS FLEX-SR</v>
          </cell>
          <cell r="C2542">
            <v>57.5</v>
          </cell>
        </row>
        <row r="2543">
          <cell r="A2543" t="str">
            <v>YR187-ISR9A</v>
          </cell>
          <cell r="B2543" t="str">
            <v>DIAM-40370/DIAM-IRONS FLEX-SR</v>
          </cell>
          <cell r="C2543">
            <v>58</v>
          </cell>
        </row>
        <row r="2544">
          <cell r="A2544" t="str">
            <v>YR187-ISRAA</v>
          </cell>
          <cell r="B2544" t="str">
            <v>DIAM-40360/DIAM-IRONS FLEX-SR</v>
          </cell>
          <cell r="C2544">
            <v>59</v>
          </cell>
        </row>
        <row r="2545">
          <cell r="A2545" t="str">
            <v>YR187-ISRPA</v>
          </cell>
          <cell r="B2545" t="str">
            <v>DIAM-40365/DIAM-IRONS FLEX-SR</v>
          </cell>
          <cell r="C2545">
            <v>58</v>
          </cell>
        </row>
        <row r="2546">
          <cell r="A2546" t="str">
            <v>YR187-ISRSA</v>
          </cell>
          <cell r="B2546" t="str">
            <v>DIAM-40355/DIAM-IRONS FLEX-SR</v>
          </cell>
          <cell r="C2546">
            <v>62</v>
          </cell>
        </row>
        <row r="2547">
          <cell r="A2547" t="str">
            <v>YR187-IS-SA</v>
          </cell>
          <cell r="B2547" t="str">
            <v>DIAM-43355/DIAM-IRONS FLEX-S</v>
          </cell>
          <cell r="C2547">
            <v>77</v>
          </cell>
        </row>
        <row r="2548">
          <cell r="A2548" t="str">
            <v>AU231-ILL7A</v>
          </cell>
          <cell r="B2548" t="str">
            <v>2775907/MMT AMC RED 45 R4 #7</v>
          </cell>
          <cell r="C2548">
            <v>40.5</v>
          </cell>
        </row>
        <row r="2549">
          <cell r="A2549" t="str">
            <v>MX681-ITX3AO</v>
          </cell>
          <cell r="B2549" t="str">
            <v>MMT 105 TX #3 39.0</v>
          </cell>
          <cell r="C2549">
            <v>114.5</v>
          </cell>
        </row>
        <row r="2550">
          <cell r="A2550" t="str">
            <v>MX981-WR-1A</v>
          </cell>
          <cell r="B2550" t="str">
            <v>KAI’LI™ DARK WAVES CB BLUE 60 R-FLEX</v>
          </cell>
          <cell r="C2550">
            <v>62.5</v>
          </cell>
        </row>
        <row r="2551">
          <cell r="A2551" t="str">
            <v>MX981-WS-1A</v>
          </cell>
          <cell r="B2551" t="str">
            <v>KAI’LI™ DARK WAVES CB BLUE 60 S-FLEX</v>
          </cell>
          <cell r="C2551">
            <v>64.5</v>
          </cell>
        </row>
        <row r="2552">
          <cell r="A2552" t="str">
            <v>MX981-WX-1A</v>
          </cell>
          <cell r="B2552" t="str">
            <v>KAI’LI™ DARK WAVES CB BLUE 60 X-FLEX</v>
          </cell>
          <cell r="C2552">
            <v>66.5</v>
          </cell>
        </row>
        <row r="2553">
          <cell r="A2553" t="str">
            <v>HI007-IX-3F</v>
          </cell>
          <cell r="B2553" t="str">
            <v>70082/Whiz 95 Graphite - Lime X-FLEX</v>
          </cell>
          <cell r="C2553">
            <v>98.5</v>
          </cell>
        </row>
        <row r="2554">
          <cell r="A2554" t="str">
            <v>MX982-WS-1A</v>
          </cell>
          <cell r="B2554" t="str">
            <v>KAI’LI™ DARK WAVES CB BLUE 70 S-FLEX</v>
          </cell>
          <cell r="C2554">
            <v>74.5</v>
          </cell>
        </row>
        <row r="2555">
          <cell r="A2555" t="str">
            <v>MX982-WX-1A</v>
          </cell>
          <cell r="B2555" t="str">
            <v>KAI’LI™ DARK WAVES CB BLUE 70 X-FLEX</v>
          </cell>
          <cell r="C2555">
            <v>76.5</v>
          </cell>
        </row>
        <row r="2556">
          <cell r="A2556" t="str">
            <v>MX759-WR-1CO</v>
          </cell>
          <cell r="B2556" t="str">
            <v>SF WD MCA KAILI Dark Waves BLU 60R</v>
          </cell>
          <cell r="C2556">
            <v>64.5</v>
          </cell>
        </row>
        <row r="2557">
          <cell r="A2557" t="str">
            <v>MX759-WS-1CO</v>
          </cell>
          <cell r="B2557" t="str">
            <v>KAI’LI BLUE 60 S-Flex (DEMO)</v>
          </cell>
          <cell r="C2557">
            <v>66.5</v>
          </cell>
        </row>
        <row r="2558">
          <cell r="A2558" t="str">
            <v>MX759-WX-1CO</v>
          </cell>
          <cell r="B2558" t="str">
            <v>KAI’LI BLUE 60 X-Flex (DEMO)</v>
          </cell>
          <cell r="C2558">
            <v>68.5</v>
          </cell>
        </row>
        <row r="2559">
          <cell r="A2559" t="str">
            <v>MX760-WS-1CO</v>
          </cell>
          <cell r="B2559" t="str">
            <v>KAI’LI BLUE 70 S-Flex (DEMO)</v>
          </cell>
          <cell r="C2559">
            <v>74.5</v>
          </cell>
        </row>
        <row r="2560">
          <cell r="A2560" t="str">
            <v>MX760-WX-1CO</v>
          </cell>
          <cell r="B2560" t="str">
            <v>KAI’LI BLUE 70 X-Flex (DEMO)</v>
          </cell>
          <cell r="C2560">
            <v>73.5</v>
          </cell>
        </row>
        <row r="2561">
          <cell r="A2561" t="str">
            <v>MX783-WS-1CO</v>
          </cell>
          <cell r="B2561" t="str">
            <v>SF WD MCA KAILI Dark Waves WHT 60S</v>
          </cell>
          <cell r="C2561">
            <v>68</v>
          </cell>
        </row>
        <row r="2562">
          <cell r="A2562" t="str">
            <v>MX783-WX-1CO</v>
          </cell>
          <cell r="B2562" t="str">
            <v>SF WD MCA KAILI Dark Waves WHT 60X</v>
          </cell>
          <cell r="C2562">
            <v>69.5</v>
          </cell>
        </row>
        <row r="2563">
          <cell r="A2563" t="str">
            <v>MX784-WS-1DO</v>
          </cell>
          <cell r="B2563" t="str">
            <v>SF WD MCA KAILI Dark Waves WHT 70S</v>
          </cell>
          <cell r="C2563">
            <v>75.5</v>
          </cell>
        </row>
        <row r="2564">
          <cell r="A2564" t="str">
            <v>MX784-WX-1DO</v>
          </cell>
          <cell r="B2564" t="str">
            <v>SF WD MCA KAILI Dark Waves WHT 70X</v>
          </cell>
          <cell r="C2564">
            <v>77.5</v>
          </cell>
        </row>
        <row r="2565">
          <cell r="A2565" t="str">
            <v>MX824-WR-1CO</v>
          </cell>
          <cell r="B2565" t="str">
            <v>SF WD MCA KAILI Dark Waves BLU 50R</v>
          </cell>
          <cell r="C2565">
            <v>55</v>
          </cell>
        </row>
        <row r="2566">
          <cell r="A2566" t="str">
            <v>MX876-WR-1BO</v>
          </cell>
          <cell r="B2566" t="str">
            <v>SF WD MCA KAILI Dark Waves RED 60R</v>
          </cell>
          <cell r="C2566">
            <v>64</v>
          </cell>
        </row>
        <row r="2567">
          <cell r="A2567" t="str">
            <v>MX876-WS-1BO</v>
          </cell>
          <cell r="B2567" t="str">
            <v>SF WD MCA KAILI Dark Waves RED 60S</v>
          </cell>
          <cell r="C2567">
            <v>66</v>
          </cell>
        </row>
        <row r="2568">
          <cell r="A2568" t="str">
            <v>MX877-WS-1BO</v>
          </cell>
          <cell r="B2568" t="str">
            <v>SF WD MCA KAILI Dark Waves RED 70S</v>
          </cell>
          <cell r="C2568">
            <v>69.5</v>
          </cell>
        </row>
        <row r="2569">
          <cell r="A2569" t="str">
            <v>MX877-WX-1BO</v>
          </cell>
          <cell r="B2569" t="str">
            <v>SF WD MCA KAILI Dark Waves RED 70X</v>
          </cell>
          <cell r="C2569">
            <v>71.5</v>
          </cell>
        </row>
        <row r="2570">
          <cell r="A2570" t="str">
            <v>MX936-WR-1BO</v>
          </cell>
          <cell r="B2570" t="str">
            <v>SF WD MCA KAILI Dark Waves RED 50R</v>
          </cell>
          <cell r="C2570">
            <v>53.5</v>
          </cell>
        </row>
        <row r="2571">
          <cell r="A2571" t="str">
            <v>MX981-WR-1AO</v>
          </cell>
          <cell r="B2571" t="str">
            <v>SF WD MCA KAILI Dark Waves CB 60R</v>
          </cell>
          <cell r="C2571">
            <v>62.5</v>
          </cell>
        </row>
        <row r="2572">
          <cell r="A2572" t="str">
            <v>MX981-WS-1AO</v>
          </cell>
          <cell r="B2572" t="str">
            <v>SF WD MCA KAILI Dark Waves CB 60S</v>
          </cell>
          <cell r="C2572">
            <v>64.5</v>
          </cell>
        </row>
        <row r="2573">
          <cell r="A2573" t="str">
            <v>MX981-WX-1AO</v>
          </cell>
          <cell r="B2573" t="str">
            <v>SF WD MCA KAILI Dark Waves CB 60X</v>
          </cell>
          <cell r="C2573">
            <v>66.5</v>
          </cell>
        </row>
        <row r="2574">
          <cell r="A2574" t="str">
            <v>MX982-WS-1AO</v>
          </cell>
          <cell r="B2574" t="str">
            <v>SF WD MCA KAILI Dark Waves CB 70S</v>
          </cell>
          <cell r="C2574">
            <v>74.5</v>
          </cell>
        </row>
        <row r="2575">
          <cell r="A2575" t="str">
            <v>MX982-WX-1AO</v>
          </cell>
          <cell r="B2575" t="str">
            <v>SF WD MCA KAILI Dark Waves CB 70X</v>
          </cell>
          <cell r="C2575">
            <v>76.5</v>
          </cell>
        </row>
        <row r="2576">
          <cell r="A2576" t="str">
            <v>MX991-WS-1AO</v>
          </cell>
          <cell r="B2576" t="str">
            <v>SF WD MCA TENSEI 1K Blue 55 S FIT</v>
          </cell>
          <cell r="C2576">
            <v>59</v>
          </cell>
        </row>
        <row r="2577">
          <cell r="A2577" t="str">
            <v>MX991-WR-1AO</v>
          </cell>
          <cell r="B2577" t="str">
            <v>SF WD MCA TENSEI 1K Blue 55 R FIT</v>
          </cell>
          <cell r="C2577">
            <v>57.5</v>
          </cell>
        </row>
        <row r="2578">
          <cell r="A2578" t="str">
            <v>MX992-WR-1AO</v>
          </cell>
          <cell r="B2578" t="str">
            <v>TENSEI 1K Blue 65 R-Flex</v>
          </cell>
          <cell r="C2578">
            <v>63.5</v>
          </cell>
        </row>
        <row r="2579">
          <cell r="A2579" t="str">
            <v>AX173-IA-3VC</v>
          </cell>
          <cell r="B2579" t="str">
            <v>70217/WHIZ 60H - SHADOW BLACK - SHAFT HYBRID</v>
          </cell>
          <cell r="C2579">
            <v>58</v>
          </cell>
        </row>
        <row r="2580">
          <cell r="A2580" t="str">
            <v>AX187-WA-1VC</v>
          </cell>
          <cell r="B2580" t="str">
            <v>70223/WHIZ 55W - SHADOW BLACK - SHAFT WOOD</v>
          </cell>
          <cell r="C2580">
            <v>55.5</v>
          </cell>
        </row>
        <row r="2581">
          <cell r="A2581" t="str">
            <v>AX188-WR-1VC</v>
          </cell>
          <cell r="B2581" t="str">
            <v>70225/WHIZ 65W - SHADOW BLACK - SHAFT WOOD</v>
          </cell>
          <cell r="C2581">
            <v>65</v>
          </cell>
        </row>
        <row r="2582">
          <cell r="A2582" t="str">
            <v>AX173-IA-3VF</v>
          </cell>
          <cell r="B2582" t="str">
            <v>70218/WHIZ 60H - OCEAN BLUE - SHAFT HYBRID</v>
          </cell>
          <cell r="C2582">
            <v>59.5</v>
          </cell>
        </row>
        <row r="2583">
          <cell r="A2583" t="str">
            <v>AX173-IR-3VF</v>
          </cell>
          <cell r="B2583" t="str">
            <v>70220/WHIZ 70H - OCEAN BLUE - SHAFT HYBRID</v>
          </cell>
          <cell r="C2583">
            <v>69.5</v>
          </cell>
        </row>
        <row r="2584">
          <cell r="A2584" t="str">
            <v>AX187-WA-1VF</v>
          </cell>
          <cell r="B2584" t="str">
            <v>70224/WHIZ 55W - OCEAN BLUE - SHAFT WOOD</v>
          </cell>
          <cell r="C2584">
            <v>57</v>
          </cell>
        </row>
        <row r="2585">
          <cell r="A2585" t="str">
            <v>AX191-WS-1VF</v>
          </cell>
          <cell r="B2585" t="str">
            <v>70232/WHIZ 80W+ - OCEAN BLUE - SHAFT WOOD</v>
          </cell>
          <cell r="C2585">
            <v>80.5</v>
          </cell>
        </row>
        <row r="2586">
          <cell r="A2586" t="str">
            <v>AX189-WA-1VF</v>
          </cell>
          <cell r="B2586" t="str">
            <v>70228/WHIZ 55W+ - OCEAN BLUE - SHAFT WOOD</v>
          </cell>
          <cell r="C2586">
            <v>57.5</v>
          </cell>
        </row>
        <row r="2587">
          <cell r="A2587" t="str">
            <v>AX190-WR-1VC</v>
          </cell>
          <cell r="B2587" t="str">
            <v>70229/WHIZ 65W+- SHADOW BLACK - SHAFT WOOD</v>
          </cell>
          <cell r="C2587">
            <v>66.5</v>
          </cell>
        </row>
        <row r="2588">
          <cell r="A2588" t="str">
            <v>AX190-WR-1VF</v>
          </cell>
          <cell r="B2588" t="str">
            <v>70230/WHIZ 65W+ - OCEAN BLUE - SHAFT WOOD</v>
          </cell>
          <cell r="C2588">
            <v>68</v>
          </cell>
        </row>
        <row r="2589">
          <cell r="A2589" t="str">
            <v>AX196-WA-1VC</v>
          </cell>
          <cell r="B2589" t="str">
            <v>70221/WHIZ 40W - SHADOW BLACK - SHAFT WOOD</v>
          </cell>
          <cell r="C2589">
            <v>42</v>
          </cell>
        </row>
        <row r="2590">
          <cell r="A2590" t="str">
            <v>AX198-IL-1VC</v>
          </cell>
          <cell r="B2590" t="str">
            <v>70215/WHIZ 50H - SHADOW BLACK - SHAFT HYBRID</v>
          </cell>
          <cell r="C2590">
            <v>49.5</v>
          </cell>
        </row>
        <row r="2591">
          <cell r="A2591" t="str">
            <v>CW116-IS-3AY</v>
          </cell>
          <cell r="B2591" t="str">
            <v>3579T3/SF WD HY MITSUBISHI MMT 80 GR STF FIT</v>
          </cell>
          <cell r="C2591">
            <v>85</v>
          </cell>
        </row>
        <row r="2592">
          <cell r="A2592" t="str">
            <v>CW116-IX-3AY</v>
          </cell>
          <cell r="B2592" t="str">
            <v>3579T4/SF WD HY MITSUBISHI MMT 80 GR XST FIT</v>
          </cell>
          <cell r="C2592">
            <v>88.5</v>
          </cell>
        </row>
        <row r="2593">
          <cell r="A2593" t="str">
            <v>AU232-IR-7A</v>
          </cell>
          <cell r="B2593" t="str">
            <v>2775957/MMT AMC BLUE 85 R #7</v>
          </cell>
          <cell r="C2593">
            <v>81</v>
          </cell>
        </row>
        <row r="2594">
          <cell r="A2594" t="str">
            <v>AU232-IS-7A</v>
          </cell>
          <cell r="B2594" t="str">
            <v>2775967/MMT AMC BLUE 85 S #7</v>
          </cell>
          <cell r="C2594">
            <v>85</v>
          </cell>
        </row>
        <row r="2595">
          <cell r="A2595" t="str">
            <v>MX759-WR-1C</v>
          </cell>
          <cell r="B2595" t="str">
            <v>KAI’LI™ DARK WAVES BLUE 60 R-FLEX</v>
          </cell>
          <cell r="C2595">
            <v>64.5</v>
          </cell>
        </row>
        <row r="2596">
          <cell r="A2596" t="str">
            <v>MX759-WX-1C</v>
          </cell>
          <cell r="B2596" t="str">
            <v>KAI’LI™ DARK WAVES BLUE 60 X-FLEX</v>
          </cell>
          <cell r="C2596">
            <v>68.5</v>
          </cell>
        </row>
        <row r="2597">
          <cell r="A2597" t="str">
            <v>MX760-WX-1C</v>
          </cell>
          <cell r="B2597" t="str">
            <v>KAI’LI™ DARK WAVES BLUE 70 X-FLEX</v>
          </cell>
          <cell r="C2597">
            <v>73.5</v>
          </cell>
        </row>
        <row r="2598">
          <cell r="A2598" t="str">
            <v>MX783-WR-1C</v>
          </cell>
          <cell r="B2598" t="str">
            <v>KAI’LI™ DARK WAVES WHITE 60 R-FLEX</v>
          </cell>
          <cell r="C2598">
            <v>65.5</v>
          </cell>
        </row>
        <row r="2599">
          <cell r="A2599" t="str">
            <v>MX783-WX-1C</v>
          </cell>
          <cell r="B2599" t="str">
            <v>KAI’LI™ DARK WAVES WHITE 60 X-FLEX</v>
          </cell>
          <cell r="C2599">
            <v>69.5</v>
          </cell>
        </row>
        <row r="2600">
          <cell r="A2600" t="str">
            <v>MX784-WS-1D</v>
          </cell>
          <cell r="B2600" t="str">
            <v>KAI’LI™ DARK WAVES WHITE 70 S-FLEX</v>
          </cell>
          <cell r="C2600">
            <v>75.5</v>
          </cell>
        </row>
        <row r="2601">
          <cell r="A2601" t="str">
            <v>MX824-WR-1C</v>
          </cell>
          <cell r="B2601" t="str">
            <v>KAI’LI™ DARK WAVES BLUE 50 R-FLEX</v>
          </cell>
          <cell r="C2601">
            <v>55</v>
          </cell>
        </row>
        <row r="2602">
          <cell r="A2602" t="str">
            <v>MX876-WX-1B</v>
          </cell>
          <cell r="B2602" t="str">
            <v>KAI’LI™ DARK WAVES RED 60 X-FLEX</v>
          </cell>
          <cell r="C2602">
            <v>68</v>
          </cell>
        </row>
        <row r="2603">
          <cell r="A2603" t="str">
            <v>MX876-WR-1B</v>
          </cell>
          <cell r="B2603" t="str">
            <v>KAI’LI™ DARK WAVES RED 60 R-FLEX</v>
          </cell>
          <cell r="C2603">
            <v>64</v>
          </cell>
        </row>
        <row r="2604">
          <cell r="A2604" t="str">
            <v>MX936-WA-1B</v>
          </cell>
          <cell r="B2604" t="str">
            <v>KAI’LI™ DARK WAVES RED 50 R2-FLEX</v>
          </cell>
          <cell r="C2604">
            <v>51.5</v>
          </cell>
        </row>
        <row r="2605">
          <cell r="A2605" t="str">
            <v>MX982-WR-1A</v>
          </cell>
          <cell r="B2605" t="str">
            <v>KAI’LI™ DARK WAVES CB BLUE 70 R-FLEX</v>
          </cell>
          <cell r="C2605">
            <v>72.5</v>
          </cell>
        </row>
        <row r="2606">
          <cell r="A2606" t="str">
            <v>MX877-WS-1B</v>
          </cell>
          <cell r="B2606" t="str">
            <v>KAI’LI™ DARK WAVES RED 70 S-FLEX</v>
          </cell>
          <cell r="C2606">
            <v>69.5</v>
          </cell>
        </row>
        <row r="2607">
          <cell r="A2607" t="str">
            <v>SF245-WS-1K</v>
          </cell>
          <cell r="B2607" t="str">
            <v>N9531101/SHM DIAMANA SV 2024 TM55 SR</v>
          </cell>
          <cell r="C2607">
            <v>56.5</v>
          </cell>
        </row>
        <row r="2608">
          <cell r="A2608" t="str">
            <v>SF245-WX-1K</v>
          </cell>
          <cell r="B2608" t="str">
            <v>N9531001/SHM DIAMANA SV 2024 TM55 S</v>
          </cell>
          <cell r="C2608">
            <v>59</v>
          </cell>
        </row>
        <row r="2609">
          <cell r="A2609" t="str">
            <v>MX726-IR-7C</v>
          </cell>
          <cell r="B2609" t="str">
            <v>MMT™ TAPER IRON 85 R-FLEX (0.355 TAPER) W/TIP PREP</v>
          </cell>
          <cell r="C2609">
            <v>81</v>
          </cell>
        </row>
        <row r="2610">
          <cell r="A2610" t="str">
            <v>MX728-IA-7C</v>
          </cell>
          <cell r="B2610" t="str">
            <v>MMT™ TAPER IRON 55 A-FLEX (0.355 TAPER) W/TIP PREP</v>
          </cell>
          <cell r="C2610">
            <v>61</v>
          </cell>
        </row>
        <row r="2611">
          <cell r="A2611" t="str">
            <v>MX729-IR-7C</v>
          </cell>
          <cell r="B2611" t="str">
            <v>MMT™ TAPER IRON 65 R-FLEX (0.355 TAPER) W/TIP PREP</v>
          </cell>
          <cell r="C2611">
            <v>63</v>
          </cell>
        </row>
        <row r="2612">
          <cell r="A2612" t="str">
            <v>AX173-IR-3VC</v>
          </cell>
          <cell r="B2612" t="str">
            <v>70219/WHIZ 70H - SHADOW BLACK - SHAFT HYBRID</v>
          </cell>
          <cell r="C2612">
            <v>68</v>
          </cell>
        </row>
        <row r="2613">
          <cell r="A2613" t="str">
            <v>AX188-WR-1VF</v>
          </cell>
          <cell r="B2613" t="str">
            <v>70219/WHIZ 70H - SHADOW BLACK - SHAFT HYBRID</v>
          </cell>
          <cell r="C2613">
            <v>66.5</v>
          </cell>
        </row>
        <row r="2614">
          <cell r="A2614" t="str">
            <v>AX189-WA-1VC</v>
          </cell>
          <cell r="B2614" t="str">
            <v>70227/WHIZ 55W+ - SHADOW BLACK - SHAFT WOOD</v>
          </cell>
          <cell r="C2614">
            <v>56</v>
          </cell>
        </row>
        <row r="2615">
          <cell r="A2615" t="str">
            <v>AX191-WS-1VC</v>
          </cell>
          <cell r="B2615" t="str">
            <v>70231/WHIZ 80W+ - SHADOW BLACK - SHAFT WOOD</v>
          </cell>
          <cell r="C2615">
            <v>79</v>
          </cell>
        </row>
        <row r="2616">
          <cell r="A2616" t="str">
            <v>AX196-WA-1VF</v>
          </cell>
          <cell r="B2616" t="str">
            <v>70222/WHIZ 40W - OCEAN BLUE - SHAFT WOOD</v>
          </cell>
          <cell r="C2616">
            <v>43.5</v>
          </cell>
        </row>
        <row r="2617">
          <cell r="A2617" t="str">
            <v>AX198-IL-1VF</v>
          </cell>
          <cell r="B2617" t="str">
            <v>70216/WHIZ 50H - OCEAN BLUE - SHAFT HYBRID</v>
          </cell>
          <cell r="C2617">
            <v>51</v>
          </cell>
        </row>
        <row r="2618">
          <cell r="A2618" t="str">
            <v>MX760-WS-1C</v>
          </cell>
          <cell r="B2618" t="str">
            <v>KAI’LI™ DARK WAVES BLUE 70 S-FLEX</v>
          </cell>
          <cell r="C2618">
            <v>71.5</v>
          </cell>
        </row>
        <row r="2619">
          <cell r="A2619" t="str">
            <v>MX783-WS-1C</v>
          </cell>
          <cell r="B2619" t="str">
            <v>KAI’LI™ DARK WAVES WHITE 60 S-FLEX</v>
          </cell>
          <cell r="C2619">
            <v>68</v>
          </cell>
        </row>
        <row r="2620">
          <cell r="A2620" t="str">
            <v>MX784-WX-1D</v>
          </cell>
          <cell r="B2620" t="str">
            <v>KAI’LI™ DARK WAVES WHITE 70 X-FLEX</v>
          </cell>
          <cell r="C2620">
            <v>77.5</v>
          </cell>
        </row>
        <row r="2621">
          <cell r="A2621" t="str">
            <v>MX824-WS-1C</v>
          </cell>
          <cell r="B2621" t="str">
            <v>KAI’LI™ DARK WAVES BLUE 50 S-FLEX</v>
          </cell>
          <cell r="C2621">
            <v>57</v>
          </cell>
        </row>
        <row r="2622">
          <cell r="A2622" t="str">
            <v>MX876-WS-1B</v>
          </cell>
          <cell r="B2622" t="str">
            <v>KAI’LI™ DARK WAVES RED 60 S-FLEX</v>
          </cell>
          <cell r="C2622">
            <v>66</v>
          </cell>
        </row>
        <row r="2623">
          <cell r="A2623" t="str">
            <v>MX877-WX-1B</v>
          </cell>
          <cell r="B2623" t="str">
            <v>KAI’LI™ DARK WAVES RED 70 X-FLEX</v>
          </cell>
          <cell r="C2623">
            <v>71.5</v>
          </cell>
        </row>
        <row r="2624">
          <cell r="A2624" t="str">
            <v>MX936-WR-1B</v>
          </cell>
          <cell r="B2624" t="str">
            <v>KAI’LI™ DARK WAVES RED 50 R-FLEX</v>
          </cell>
          <cell r="C2624">
            <v>53.5</v>
          </cell>
        </row>
        <row r="2625">
          <cell r="A2625" t="str">
            <v>YR187-IR-5A</v>
          </cell>
          <cell r="B2625" t="str">
            <v>DIAM-37390/DIAM-IRONS FLEX-R</v>
          </cell>
          <cell r="C2625">
            <v>49.5</v>
          </cell>
        </row>
        <row r="2626">
          <cell r="A2626" t="str">
            <v>YR187-IR-6A</v>
          </cell>
          <cell r="B2626" t="str">
            <v>DIAM-37385/DIAM-IRONS FLEX-R</v>
          </cell>
          <cell r="C2626">
            <v>50</v>
          </cell>
        </row>
        <row r="2627">
          <cell r="A2627" t="str">
            <v>YR187-IR-7A</v>
          </cell>
          <cell r="B2627" t="str">
            <v>DIAM-37380/DIAM-IRONS FLEX-R</v>
          </cell>
          <cell r="C2627">
            <v>50</v>
          </cell>
        </row>
        <row r="2628">
          <cell r="A2628" t="str">
            <v>YR187-IR-8A</v>
          </cell>
          <cell r="B2628" t="str">
            <v>DIAM-37375/DIAM-IRONS FLEX-R</v>
          </cell>
          <cell r="C2628">
            <v>51</v>
          </cell>
        </row>
        <row r="2629">
          <cell r="A2629" t="str">
            <v>YR187-IR-9A</v>
          </cell>
          <cell r="B2629" t="str">
            <v>DIAM-37370/DIAM-IRONS FLEX-R</v>
          </cell>
          <cell r="C2629">
            <v>51</v>
          </cell>
        </row>
        <row r="2630">
          <cell r="A2630" t="str">
            <v>YR187-IR-AA</v>
          </cell>
          <cell r="B2630" t="str">
            <v>DIAM-37360/DIAM-IRONS FLEX-R</v>
          </cell>
          <cell r="C2630">
            <v>53.5</v>
          </cell>
        </row>
        <row r="2631">
          <cell r="A2631" t="str">
            <v>YR187-IR-PA</v>
          </cell>
          <cell r="B2631" t="str">
            <v>DIAM-37365/DIAM-IRONS FLEX-R</v>
          </cell>
          <cell r="C2631">
            <v>51.5</v>
          </cell>
        </row>
        <row r="2632">
          <cell r="A2632" t="str">
            <v>YR187-IR-SA</v>
          </cell>
          <cell r="B2632" t="str">
            <v>DIAM-37355/DIAM-IRONS FLEX-R</v>
          </cell>
          <cell r="C2632">
            <v>56.5</v>
          </cell>
        </row>
        <row r="2633">
          <cell r="A2633" t="str">
            <v>HI007-IR-3D</v>
          </cell>
          <cell r="B2633" t="str">
            <v>70072/Whiz 60 Graphite - Black R-FLEX</v>
          </cell>
          <cell r="C2633">
            <v>64</v>
          </cell>
        </row>
        <row r="2634">
          <cell r="A2634" t="str">
            <v>YR187-IA-5A</v>
          </cell>
          <cell r="B2634" t="str">
            <v>DIAM-35385/DIAM-IRONS FLEX-A</v>
          </cell>
          <cell r="C2634">
            <v>45.5</v>
          </cell>
        </row>
        <row r="2635">
          <cell r="A2635" t="str">
            <v>YR187-IA-6A</v>
          </cell>
          <cell r="B2635" t="str">
            <v>DIAM-35385/DIAM-IRONS FLEX-A</v>
          </cell>
          <cell r="C2635">
            <v>46</v>
          </cell>
        </row>
        <row r="2636">
          <cell r="A2636" t="str">
            <v>YR187-IA-7A</v>
          </cell>
          <cell r="B2636" t="str">
            <v>DIAM-35375/DIAM-IRONS FLEX-A</v>
          </cell>
          <cell r="C2636">
            <v>46.5</v>
          </cell>
        </row>
        <row r="2637">
          <cell r="A2637" t="str">
            <v>YR187-IA-8A</v>
          </cell>
          <cell r="B2637" t="str">
            <v>DIAM-35370/DIAM-IRONS FLEX-A</v>
          </cell>
          <cell r="C2637">
            <v>47</v>
          </cell>
        </row>
        <row r="2638">
          <cell r="A2638" t="str">
            <v>YR187-IA-9A</v>
          </cell>
          <cell r="B2638" t="str">
            <v>DIAM-35370/DIAM-IRONS FLEX-A</v>
          </cell>
          <cell r="C2638">
            <v>47</v>
          </cell>
        </row>
        <row r="2639">
          <cell r="A2639" t="str">
            <v>YR187-IA-AA</v>
          </cell>
          <cell r="B2639" t="str">
            <v>DIAM-35355/DIAM-IRONS FLEX-A</v>
          </cell>
          <cell r="C2639">
            <v>50</v>
          </cell>
        </row>
        <row r="2640">
          <cell r="A2640" t="str">
            <v>YR187-IA-PA</v>
          </cell>
          <cell r="B2640" t="str">
            <v>DIAM-35360/DIAM-IRONS FLEX-A</v>
          </cell>
          <cell r="C2640">
            <v>48.5</v>
          </cell>
        </row>
        <row r="2641">
          <cell r="A2641" t="str">
            <v>YR187-IA-SA</v>
          </cell>
          <cell r="B2641" t="str">
            <v>DIAM-35350/DIAM-IRONS FLEX-A</v>
          </cell>
          <cell r="C2641">
            <v>51.5</v>
          </cell>
        </row>
        <row r="2642">
          <cell r="A2642" t="str">
            <v>SP397-IR-3A</v>
          </cell>
          <cell r="B2642" t="str">
            <v>OBGBIRM/BG-100 IRON FLEX-R</v>
          </cell>
          <cell r="C2642">
            <v>62</v>
          </cell>
        </row>
        <row r="2643">
          <cell r="A2643" t="str">
            <v>SP397-UR-1A</v>
          </cell>
          <cell r="B2643" t="str">
            <v>OBGBURM/BG-100 UTILITY FLEX-R</v>
          </cell>
          <cell r="C2643">
            <v>58.5</v>
          </cell>
        </row>
        <row r="2644">
          <cell r="A2644" t="str">
            <v>SP397-US-1A</v>
          </cell>
          <cell r="B2644" t="str">
            <v>OBGBUSM/BG-100 UTILITY FLEX-S</v>
          </cell>
          <cell r="C2644">
            <v>60.5</v>
          </cell>
        </row>
        <row r="2645">
          <cell r="A2645" t="str">
            <v>SP397-WR-1A</v>
          </cell>
          <cell r="B2645" t="str">
            <v>OBGBWRM/BG-100 WOOD FLEX-R</v>
          </cell>
          <cell r="C2645">
            <v>55</v>
          </cell>
        </row>
        <row r="2646">
          <cell r="A2646" t="str">
            <v>SP397-WS-1A</v>
          </cell>
          <cell r="B2646" t="str">
            <v>OBGBWSM/BG-100 WOOD FLEX-S</v>
          </cell>
          <cell r="C2646">
            <v>58.5</v>
          </cell>
        </row>
        <row r="2647">
          <cell r="A2647" t="str">
            <v>MX550-WTX1AR</v>
          </cell>
          <cell r="B2647" t="str">
            <v>KURO KAGE Silver Dual Core TiNi 60 TX-Flex</v>
          </cell>
          <cell r="C2647">
            <v>66.5</v>
          </cell>
        </row>
        <row r="2648">
          <cell r="A2648" t="str">
            <v>DS011-WA-1A</v>
          </cell>
          <cell r="B2648" t="str">
            <v>/KAILI RED 50 R2-FLEX (A)</v>
          </cell>
          <cell r="C2648">
            <v>51.5</v>
          </cell>
        </row>
        <row r="2649">
          <cell r="A2649" t="str">
            <v>DS011-WR-1A</v>
          </cell>
          <cell r="B2649" t="str">
            <v>/KAILI RED 60 R-FLEX</v>
          </cell>
          <cell r="C2649">
            <v>64</v>
          </cell>
        </row>
        <row r="2650">
          <cell r="A2650" t="str">
            <v>DS011-WS-1A</v>
          </cell>
          <cell r="B2650" t="str">
            <v>/KAILI RED 60 S-FLEX</v>
          </cell>
          <cell r="C2650">
            <v>66</v>
          </cell>
        </row>
        <row r="2651">
          <cell r="A2651" t="str">
            <v>MX729-IR-7AO</v>
          </cell>
          <cell r="B2651" t="str">
            <v>MMT Taper Iron 65 R-FLEX #7</v>
          </cell>
          <cell r="C2651">
            <v>63</v>
          </cell>
        </row>
        <row r="2652">
          <cell r="A2652" t="str">
            <v>MX729-IR-8AO</v>
          </cell>
          <cell r="B2652" t="str">
            <v>MMT Taper Iron 65 R-FLEX #8</v>
          </cell>
          <cell r="C2652">
            <v>63</v>
          </cell>
        </row>
        <row r="2653">
          <cell r="A2653" t="str">
            <v>MX729-IR-6AO</v>
          </cell>
          <cell r="B2653" t="str">
            <v>MMT Taper Iron 65 R-FLEX #6</v>
          </cell>
          <cell r="C2653">
            <v>63</v>
          </cell>
        </row>
        <row r="2654">
          <cell r="A2654" t="str">
            <v>MX729-IR-9AO</v>
          </cell>
          <cell r="B2654" t="str">
            <v>MMT Taper Iron 65 R-FLEX #9</v>
          </cell>
          <cell r="C2654">
            <v>63</v>
          </cell>
        </row>
        <row r="2655">
          <cell r="A2655" t="str">
            <v>MX729-IR-5AO</v>
          </cell>
          <cell r="B2655" t="str">
            <v>MMT Taper Iron 65 R-FLEX #5</v>
          </cell>
          <cell r="C2655">
            <v>64</v>
          </cell>
        </row>
        <row r="2656">
          <cell r="A2656" t="str">
            <v>HI007-IA-3F</v>
          </cell>
          <cell r="B2656" t="str">
            <v>70079/Whiz 45 Graphite - Lime A-FLEX</v>
          </cell>
          <cell r="C2656">
            <v>48.5</v>
          </cell>
        </row>
        <row r="2657">
          <cell r="A2657" t="str">
            <v>HI007-IA-3D</v>
          </cell>
          <cell r="B2657" t="str">
            <v>70071/Whiz 45 Graphite - Black A-FLEX</v>
          </cell>
          <cell r="C2657">
            <v>47.5</v>
          </cell>
        </row>
        <row r="2658">
          <cell r="A2658" t="str">
            <v>HI007-IX-3D</v>
          </cell>
          <cell r="B2658" t="str">
            <v>70074/Whiz 95 Graphite - Black X-FLEX</v>
          </cell>
          <cell r="C2658">
            <v>97.5</v>
          </cell>
        </row>
        <row r="2659">
          <cell r="A2659" t="str">
            <v>MX783-WR-1CO</v>
          </cell>
          <cell r="B2659" t="str">
            <v>KAILI DARK WAVE WHITE 60 R-FLEX</v>
          </cell>
          <cell r="C2659">
            <v>65.5</v>
          </cell>
        </row>
        <row r="2660">
          <cell r="A2660" t="str">
            <v>HI007-IR-3F</v>
          </cell>
          <cell r="B2660" t="str">
            <v>70080/Whiz 60 Graphite - Lime R-FLEX</v>
          </cell>
          <cell r="C2660">
            <v>64</v>
          </cell>
        </row>
        <row r="2661">
          <cell r="A2661" t="str">
            <v>HI007-IS-3F</v>
          </cell>
          <cell r="B2661" t="str">
            <v>70081/Whiz 75 Graphite - Lime S-FLEX</v>
          </cell>
          <cell r="C2661">
            <v>74.5</v>
          </cell>
        </row>
        <row r="2662">
          <cell r="A2662" t="str">
            <v>HI007-IS-3D</v>
          </cell>
          <cell r="B2662" t="str">
            <v>70073/Whiz 75 Graphite - Black S-FLEX</v>
          </cell>
          <cell r="C2662">
            <v>73.5</v>
          </cell>
        </row>
        <row r="2663">
          <cell r="A2663" t="str">
            <v>MY001-IR-2A</v>
          </cell>
          <cell r="B2663" t="str">
            <v>TENSEI 1K BLUE HYBRID 65 R-FLEX</v>
          </cell>
          <cell r="C2663">
            <v>65.5</v>
          </cell>
        </row>
        <row r="2664">
          <cell r="A2664" t="str">
            <v>MY001-IS-2A</v>
          </cell>
          <cell r="B2664" t="str">
            <v>TENSEI 1K BLUE HYBRID 65 S-FLEX</v>
          </cell>
          <cell r="C2664">
            <v>68.5</v>
          </cell>
        </row>
        <row r="2665">
          <cell r="A2665" t="str">
            <v>MY002-IR-2A</v>
          </cell>
          <cell r="B2665" t="str">
            <v>TENSEI 1K BLUE HYBRID 75 R-FLEX</v>
          </cell>
          <cell r="C2665">
            <v>75.5</v>
          </cell>
        </row>
        <row r="2666">
          <cell r="A2666" t="str">
            <v>MY002-IS-2A</v>
          </cell>
          <cell r="B2666" t="str">
            <v>TENSEI 1K BLUE HYBRID 75 S-FLEX</v>
          </cell>
          <cell r="C2666">
            <v>78.5</v>
          </cell>
        </row>
        <row r="2667">
          <cell r="A2667" t="str">
            <v>MY003-IS-2A</v>
          </cell>
          <cell r="B2667" t="str">
            <v>TENSEI 1K BLUE HYBRID 85G S</v>
          </cell>
          <cell r="C2667">
            <v>88.5</v>
          </cell>
        </row>
        <row r="2668">
          <cell r="A2668" t="str">
            <v>MY003-IX-2A</v>
          </cell>
          <cell r="B2668" t="str">
            <v>TENSEI 1K BLUE HYBRID 85G X</v>
          </cell>
          <cell r="C2668">
            <v>91.5</v>
          </cell>
        </row>
        <row r="2669">
          <cell r="A2669" t="str">
            <v>SF301-WR-1B</v>
          </cell>
          <cell r="B2669" t="str">
            <v>N9538601/SHM 25 DS REAX JPAS R</v>
          </cell>
          <cell r="C2669">
            <v>48.5</v>
          </cell>
        </row>
        <row r="2670">
          <cell r="A2670" t="str">
            <v>SF301-WS-1B</v>
          </cell>
          <cell r="B2670" t="str">
            <v>N9538401/SHM 25 DS REAX JPAS S</v>
          </cell>
          <cell r="C2670">
            <v>53</v>
          </cell>
        </row>
        <row r="2671">
          <cell r="A2671" t="str">
            <v>SF301-WSR1B</v>
          </cell>
          <cell r="B2671" t="str">
            <v>N9538501/SHM 25 DS REAX JPAS SR</v>
          </cell>
          <cell r="C2671">
            <v>49.5</v>
          </cell>
        </row>
        <row r="2672">
          <cell r="A2672" t="str">
            <v>MX726-IS-3AO</v>
          </cell>
          <cell r="B2672" t="str">
            <v>MMT 85 TAPER GS 39.0</v>
          </cell>
          <cell r="C2672">
            <v>88</v>
          </cell>
        </row>
        <row r="2673">
          <cell r="A2673" t="str">
            <v>MX968-WR-1AO</v>
          </cell>
          <cell r="B2673" t="str">
            <v>VANQUISH PL 4 R-Flex</v>
          </cell>
          <cell r="C2673">
            <v>44.5</v>
          </cell>
        </row>
        <row r="2674">
          <cell r="A2674" t="str">
            <v>MX984-IR-1AO</v>
          </cell>
          <cell r="B2674" t="str">
            <v>VANQUISH PL HY/IR 5 R-flex</v>
          </cell>
          <cell r="C2674">
            <v>62</v>
          </cell>
        </row>
        <row r="2675">
          <cell r="A2675" t="str">
            <v>MX984-IS-1AO</v>
          </cell>
          <cell r="B2675" t="str">
            <v>Vanquish PL HYB/IR 5 S</v>
          </cell>
          <cell r="C2675">
            <v>66.5</v>
          </cell>
        </row>
        <row r="2676">
          <cell r="A2676" t="str">
            <v>CW139-IL-2B</v>
          </cell>
          <cell r="B2676" t="str">
            <v>3582T1355/SF WG MCA ELDIO BLU/WHT 40GR TTIP LDY JV</v>
          </cell>
          <cell r="C2676">
            <v>43</v>
          </cell>
        </row>
        <row r="2677">
          <cell r="A2677" t="str">
            <v>AU228-IA-4A</v>
          </cell>
          <cell r="B2677" t="str">
            <v>2775924/MMT AMC RED 65 R2 #4</v>
          </cell>
          <cell r="C2677">
            <v>55.5</v>
          </cell>
        </row>
        <row r="2678">
          <cell r="A2678" t="str">
            <v>AU228-IA-5A</v>
          </cell>
          <cell r="B2678" t="str">
            <v>2775925/MMT AMC RED 65 R2 #5</v>
          </cell>
          <cell r="C2678">
            <v>55.5</v>
          </cell>
        </row>
        <row r="2679">
          <cell r="A2679" t="str">
            <v>AU228-IA-6A</v>
          </cell>
          <cell r="B2679" t="str">
            <v>2775926/MMT AMC RED 65 R2 #6</v>
          </cell>
          <cell r="C2679">
            <v>55.5</v>
          </cell>
        </row>
        <row r="2680">
          <cell r="A2680" t="str">
            <v>AU228-IA-8A</v>
          </cell>
          <cell r="B2680" t="str">
            <v>2775928/MMT AMC RED 65 R2 #8</v>
          </cell>
          <cell r="C2680">
            <v>57.5</v>
          </cell>
        </row>
        <row r="2681">
          <cell r="A2681" t="str">
            <v>AU228-IA-9A</v>
          </cell>
          <cell r="B2681" t="str">
            <v>2775929/MMT AMC RED 65 R2 #9</v>
          </cell>
          <cell r="C2681">
            <v>60</v>
          </cell>
        </row>
        <row r="2682">
          <cell r="A2682" t="str">
            <v>AU228-IA-PA</v>
          </cell>
          <cell r="B2682" t="str">
            <v>2775930/MMT AMC RED 65 R2 #W</v>
          </cell>
          <cell r="C2682">
            <v>62</v>
          </cell>
        </row>
        <row r="2683">
          <cell r="A2683" t="str">
            <v>AU228-IR-4A</v>
          </cell>
          <cell r="B2683" t="str">
            <v>2775934/MMT AMC RED 65 R #4</v>
          </cell>
          <cell r="C2683">
            <v>57</v>
          </cell>
        </row>
        <row r="2684">
          <cell r="A2684" t="str">
            <v>AU228-IR-5A</v>
          </cell>
          <cell r="B2684" t="str">
            <v>2775935/MMT AMC RED 65 R #5</v>
          </cell>
          <cell r="C2684">
            <v>57</v>
          </cell>
        </row>
        <row r="2685">
          <cell r="A2685" t="str">
            <v>AU228-IR-6A</v>
          </cell>
          <cell r="B2685" t="str">
            <v>2775936/MMT AMC RED 65 R #6</v>
          </cell>
          <cell r="C2685">
            <v>57</v>
          </cell>
        </row>
        <row r="2686">
          <cell r="A2686" t="str">
            <v>AU228-IR-8A</v>
          </cell>
          <cell r="B2686" t="str">
            <v>2775938/MMT AMC RED 65 R #8</v>
          </cell>
          <cell r="C2686">
            <v>59</v>
          </cell>
        </row>
        <row r="2687">
          <cell r="A2687" t="str">
            <v>AU228-IR-9A</v>
          </cell>
          <cell r="B2687" t="str">
            <v>2775939/MMT AMC RED 65 R #9</v>
          </cell>
          <cell r="C2687">
            <v>61</v>
          </cell>
        </row>
        <row r="2688">
          <cell r="A2688" t="str">
            <v>AU228-IR-PA</v>
          </cell>
          <cell r="B2688" t="str">
            <v>2775940/MMT AMC RED 65 R #W</v>
          </cell>
          <cell r="C2688">
            <v>62.5</v>
          </cell>
        </row>
        <row r="2689">
          <cell r="A2689" t="str">
            <v>AU228-IS-4A</v>
          </cell>
          <cell r="B2689" t="str">
            <v>2775944/MMT AMC RED 65 S #4</v>
          </cell>
          <cell r="C2689">
            <v>60</v>
          </cell>
        </row>
        <row r="2690">
          <cell r="A2690" t="str">
            <v>AU228-IS-5A</v>
          </cell>
          <cell r="B2690" t="str">
            <v>2775945/MMT AMC RED 65 S #5</v>
          </cell>
          <cell r="C2690">
            <v>60</v>
          </cell>
        </row>
        <row r="2691">
          <cell r="A2691" t="str">
            <v>AU228-IS-6A</v>
          </cell>
          <cell r="B2691" t="str">
            <v>2775946/MMT AMC RED 65 S #6</v>
          </cell>
          <cell r="C2691">
            <v>60</v>
          </cell>
        </row>
        <row r="2692">
          <cell r="A2692" t="str">
            <v>AU228-IS-8A</v>
          </cell>
          <cell r="B2692" t="str">
            <v>2775948/MMT AMC RED 65 S #8</v>
          </cell>
          <cell r="C2692">
            <v>62</v>
          </cell>
        </row>
        <row r="2693">
          <cell r="A2693" t="str">
            <v>AU228-IS-9A</v>
          </cell>
          <cell r="B2693" t="str">
            <v>2775949/MMT AMC RED 65 S #9</v>
          </cell>
          <cell r="C2693">
            <v>65</v>
          </cell>
        </row>
        <row r="2694">
          <cell r="A2694" t="str">
            <v>AU228-IS-PA</v>
          </cell>
          <cell r="B2694" t="str">
            <v>2775950/MMT AMC RED 65 S #W</v>
          </cell>
          <cell r="C2694">
            <v>66</v>
          </cell>
        </row>
        <row r="2695">
          <cell r="A2695" t="str">
            <v>AU230-IL-4A</v>
          </cell>
          <cell r="B2695" t="str">
            <v>2775914/MMT AMC RED 55 R3 #4</v>
          </cell>
          <cell r="C2695">
            <v>48</v>
          </cell>
        </row>
        <row r="2696">
          <cell r="A2696" t="str">
            <v>AU230-IL-5A</v>
          </cell>
          <cell r="B2696" t="str">
            <v>2775915/MMT AMC RED 55 R3 #5</v>
          </cell>
          <cell r="C2696">
            <v>48</v>
          </cell>
        </row>
        <row r="2697">
          <cell r="A2697" t="str">
            <v>AU230-IL-6A</v>
          </cell>
          <cell r="B2697" t="str">
            <v>2775916/MMT AMC RED 55 R3 #6</v>
          </cell>
          <cell r="C2697">
            <v>48</v>
          </cell>
        </row>
        <row r="2698">
          <cell r="A2698" t="str">
            <v>AU230-IL-8A</v>
          </cell>
          <cell r="B2698" t="str">
            <v>2775918/MMT AMC RED 55 R3 #8</v>
          </cell>
          <cell r="C2698">
            <v>50</v>
          </cell>
        </row>
        <row r="2699">
          <cell r="A2699" t="str">
            <v>AU230-IL-9A</v>
          </cell>
          <cell r="B2699" t="str">
            <v>2775919/MMT AMC RED 55 R3 #9</v>
          </cell>
          <cell r="C2699">
            <v>51.5</v>
          </cell>
        </row>
        <row r="2700">
          <cell r="A2700" t="str">
            <v>AU230-IL-PA</v>
          </cell>
          <cell r="B2700" t="str">
            <v>2775920/MMT AMC RED 55 R3 #W</v>
          </cell>
          <cell r="C2700">
            <v>54</v>
          </cell>
        </row>
        <row r="2701">
          <cell r="A2701" t="str">
            <v>AU231-ILL5A</v>
          </cell>
          <cell r="B2701" t="str">
            <v>2775905/MMT AMC RED 45 R4 #5</v>
          </cell>
          <cell r="C2701">
            <v>40.5</v>
          </cell>
        </row>
        <row r="2702">
          <cell r="A2702" t="str">
            <v>AU231-ILL6A</v>
          </cell>
          <cell r="B2702" t="str">
            <v>2775906/MMT AMC RED 45 R4 #6</v>
          </cell>
          <cell r="C2702">
            <v>40.5</v>
          </cell>
        </row>
        <row r="2703">
          <cell r="A2703" t="str">
            <v>AU231-ILLPA</v>
          </cell>
          <cell r="B2703" t="str">
            <v>2775910/MMT AMC RED 45 R4 #W</v>
          </cell>
          <cell r="C2703">
            <v>46</v>
          </cell>
        </row>
        <row r="2704">
          <cell r="A2704" t="str">
            <v>AU231-ILL8A</v>
          </cell>
          <cell r="B2704" t="str">
            <v>2775908/MMT AMC RED 45 R4 #8</v>
          </cell>
          <cell r="C2704">
            <v>42.5</v>
          </cell>
        </row>
        <row r="2705">
          <cell r="A2705" t="str">
            <v>AU231-ILL9A</v>
          </cell>
          <cell r="B2705" t="str">
            <v>2775909/MMT AMC RED 45 R4 #9</v>
          </cell>
          <cell r="C2705">
            <v>44.5</v>
          </cell>
        </row>
        <row r="2706">
          <cell r="A2706" t="str">
            <v>MX669-IS-7CO</v>
          </cell>
          <cell r="B2706" t="str">
            <v>MMT TAPER IRON 95 S-FLEX #7</v>
          </cell>
          <cell r="C2706">
            <v>93</v>
          </cell>
        </row>
        <row r="2707">
          <cell r="A2707" t="str">
            <v>MX721-ITX7CO</v>
          </cell>
          <cell r="B2707" t="str">
            <v>MMT TAPER IRON 125 TX-FLEX #7</v>
          </cell>
          <cell r="C2707">
            <v>124</v>
          </cell>
        </row>
        <row r="2708">
          <cell r="A2708" t="str">
            <v>MX721-ITXPCO</v>
          </cell>
          <cell r="B2708" t="str">
            <v>MMT TAPER IRON 125 TX-FLEX #W</v>
          </cell>
          <cell r="C2708">
            <v>125</v>
          </cell>
        </row>
        <row r="2709">
          <cell r="A2709" t="str">
            <v>AU228-IR-3A</v>
          </cell>
          <cell r="B2709" t="str">
            <v>2775933/MMT AMC RED 65 R #3</v>
          </cell>
          <cell r="C2709">
            <v>57</v>
          </cell>
        </row>
        <row r="2710">
          <cell r="A2710" t="str">
            <v>AU228-IS-3A</v>
          </cell>
          <cell r="B2710" t="str">
            <v>2775943/MMT AMC RED 65 S #3</v>
          </cell>
          <cell r="C2710">
            <v>60</v>
          </cell>
        </row>
        <row r="2711">
          <cell r="A2711" t="str">
            <v>DS011-WL-1A</v>
          </cell>
          <cell r="B2711" t="str">
            <v>7014651/KAILI TEAL 40 L-FLEX</v>
          </cell>
          <cell r="C2711">
            <v>42</v>
          </cell>
        </row>
        <row r="2712">
          <cell r="A2712" t="str">
            <v>MX729-IR-4AO</v>
          </cell>
          <cell r="B2712" t="str">
            <v>MMT Taper Iron 65 R-FLEX #4</v>
          </cell>
          <cell r="C2712">
            <v>64</v>
          </cell>
        </row>
        <row r="2713">
          <cell r="A2713" t="str">
            <v>AU232-IS-2A</v>
          </cell>
          <cell r="B2713" t="str">
            <v>2775962/MMT AMC BLUE 85 S #2</v>
          </cell>
          <cell r="C2713">
            <v>76.5</v>
          </cell>
        </row>
        <row r="2714">
          <cell r="A2714" t="str">
            <v>AU232-IS-3A</v>
          </cell>
          <cell r="B2714" t="str">
            <v>2775963/MMT AMC BLUE 85 S #3</v>
          </cell>
          <cell r="C2714">
            <v>78.5</v>
          </cell>
        </row>
        <row r="2715">
          <cell r="A2715" t="str">
            <v>AU232-IS-4A</v>
          </cell>
          <cell r="B2715" t="str">
            <v>2775964/MMT AMC BLUE 85 S #4</v>
          </cell>
          <cell r="C2715">
            <v>79.5</v>
          </cell>
        </row>
        <row r="2716">
          <cell r="A2716" t="str">
            <v>AU232-IS-5A</v>
          </cell>
          <cell r="B2716" t="str">
            <v>2775965/MMT AMC BLUE 85 S #5</v>
          </cell>
          <cell r="C2716">
            <v>80.5</v>
          </cell>
        </row>
        <row r="2717">
          <cell r="A2717" t="str">
            <v>AU232-IS-6A</v>
          </cell>
          <cell r="B2717" t="str">
            <v>2775966/MMT AMC BLUE 85 S #6</v>
          </cell>
          <cell r="C2717">
            <v>84.5</v>
          </cell>
        </row>
        <row r="2718">
          <cell r="A2718" t="str">
            <v>AU232-IS-8A</v>
          </cell>
          <cell r="B2718" t="str">
            <v>2775968/MMT AMC BLUE 85 S #8</v>
          </cell>
          <cell r="C2718">
            <v>87</v>
          </cell>
        </row>
        <row r="2719">
          <cell r="A2719" t="str">
            <v>AU232-IS-9A</v>
          </cell>
          <cell r="B2719" t="str">
            <v>2775969/MMT AMC BLUE 85 S #9</v>
          </cell>
          <cell r="C2719">
            <v>89.5</v>
          </cell>
        </row>
        <row r="2720">
          <cell r="A2720" t="str">
            <v>AU232-IS-PA</v>
          </cell>
          <cell r="B2720" t="str">
            <v>2775970/MMT AMC BLUE 85 S #W</v>
          </cell>
          <cell r="C2720">
            <v>90.5</v>
          </cell>
        </row>
        <row r="2721">
          <cell r="A2721" t="str">
            <v>MX793-IR-1A</v>
          </cell>
          <cell r="B2721" t="str">
            <v>MMT™ Hybrid 70 R-FLEX</v>
          </cell>
          <cell r="C2721">
            <v>72</v>
          </cell>
        </row>
        <row r="2722">
          <cell r="A2722" t="str">
            <v>MX794-IS-1A</v>
          </cell>
          <cell r="B2722" t="str">
            <v>MMT™ Hybrid 80 S-FLEX</v>
          </cell>
          <cell r="C2722">
            <v>85</v>
          </cell>
        </row>
        <row r="2723">
          <cell r="A2723" t="str">
            <v>MX794-IX-1A</v>
          </cell>
          <cell r="B2723" t="str">
            <v>MMT™ Hybrid 80 X-FLEX</v>
          </cell>
          <cell r="C2723">
            <v>88.5</v>
          </cell>
        </row>
        <row r="2724">
          <cell r="A2724" t="str">
            <v>MX795-ITX1A</v>
          </cell>
          <cell r="B2724" t="str">
            <v>MMT™ Hybrid 90 TX-FLEX</v>
          </cell>
          <cell r="C2724">
            <v>101.5</v>
          </cell>
        </row>
        <row r="2725">
          <cell r="A2725" t="str">
            <v>MX796-ITX1A</v>
          </cell>
          <cell r="B2725" t="str">
            <v>MMT™ Hybrid 100 TX-FLEX</v>
          </cell>
          <cell r="C2725">
            <v>109.5</v>
          </cell>
        </row>
        <row r="2726">
          <cell r="A2726" t="str">
            <v>YR193-IA-5A</v>
          </cell>
          <cell r="B2726" t="str">
            <v>EI251-3705/YR193-IA-5A</v>
          </cell>
          <cell r="C2726">
            <v>45</v>
          </cell>
        </row>
        <row r="2727">
          <cell r="A2727" t="str">
            <v>YR193-IA-6A</v>
          </cell>
          <cell r="B2727" t="str">
            <v>EI251-3706/YR193-IA-6A</v>
          </cell>
          <cell r="C2727">
            <v>45</v>
          </cell>
        </row>
        <row r="2728">
          <cell r="A2728" t="str">
            <v>YR193-IA-7A</v>
          </cell>
          <cell r="B2728" t="str">
            <v>EI251-3707/YR193-IA-7A</v>
          </cell>
          <cell r="C2728">
            <v>46</v>
          </cell>
        </row>
        <row r="2729">
          <cell r="A2729" t="str">
            <v>YR193-IA-8A</v>
          </cell>
          <cell r="B2729" t="str">
            <v>EI251-3708/YR193-IA-8A</v>
          </cell>
          <cell r="C2729">
            <v>47</v>
          </cell>
        </row>
        <row r="2730">
          <cell r="A2730" t="str">
            <v>YR193-IA-9A</v>
          </cell>
          <cell r="B2730" t="str">
            <v>EI251-3709/YR193-IA-9A</v>
          </cell>
          <cell r="C2730">
            <v>48.5</v>
          </cell>
        </row>
        <row r="2731">
          <cell r="A2731" t="str">
            <v>YR193-IA-PA</v>
          </cell>
          <cell r="B2731" t="str">
            <v>EI251-37W1/YR193-IA-PA</v>
          </cell>
          <cell r="C2731">
            <v>50.5</v>
          </cell>
        </row>
        <row r="2732">
          <cell r="A2732" t="str">
            <v>YR193-IA-AA</v>
          </cell>
          <cell r="B2732" t="str">
            <v>EI251-37W2/YR193-IA-AA</v>
          </cell>
          <cell r="C2732">
            <v>55.5</v>
          </cell>
        </row>
        <row r="2733">
          <cell r="A2733" t="str">
            <v>YR193-IA-SA</v>
          </cell>
          <cell r="B2733" t="str">
            <v>EI251-37W3/YR193-IA-SA</v>
          </cell>
          <cell r="C2733">
            <v>61</v>
          </cell>
        </row>
        <row r="2734">
          <cell r="A2734" t="str">
            <v>YR193-IL-6A</v>
          </cell>
          <cell r="B2734" t="str">
            <v>EI251L3006/YR193-IL-6A</v>
          </cell>
          <cell r="C2734">
            <v>42.5</v>
          </cell>
        </row>
        <row r="2735">
          <cell r="A2735" t="str">
            <v>YR193-IL-7A</v>
          </cell>
          <cell r="B2735" t="str">
            <v>EI251L3007/YR193-IL-7A</v>
          </cell>
          <cell r="C2735">
            <v>43</v>
          </cell>
        </row>
        <row r="2736">
          <cell r="A2736" t="str">
            <v>YR193-IL-8A</v>
          </cell>
          <cell r="B2736" t="str">
            <v>EI251L3008/YR193-IL-8A</v>
          </cell>
          <cell r="C2736">
            <v>44.5</v>
          </cell>
        </row>
        <row r="2737">
          <cell r="A2737" t="str">
            <v>YR193-IL-9A</v>
          </cell>
          <cell r="B2737" t="str">
            <v>EI251L3009/YR193-IL-9A</v>
          </cell>
          <cell r="C2737">
            <v>45.5</v>
          </cell>
        </row>
        <row r="2738">
          <cell r="A2738" t="str">
            <v>YR193-IL-PA</v>
          </cell>
          <cell r="B2738" t="str">
            <v>EI251L30W1/YR193-IL-PA</v>
          </cell>
          <cell r="C2738">
            <v>46.5</v>
          </cell>
        </row>
        <row r="2739">
          <cell r="A2739" t="str">
            <v>YR193-IL-AA</v>
          </cell>
          <cell r="B2739" t="str">
            <v>EI251L30W2/YR193-IL-AA</v>
          </cell>
          <cell r="C2739">
            <v>46.5</v>
          </cell>
        </row>
        <row r="2740">
          <cell r="A2740" t="str">
            <v>YR193-IL-SA</v>
          </cell>
          <cell r="B2740" t="str">
            <v>EI251L30W3/YR193-IL-SA</v>
          </cell>
          <cell r="C2740">
            <v>48</v>
          </cell>
        </row>
        <row r="2741">
          <cell r="A2741" t="str">
            <v>YR193-IR-5A</v>
          </cell>
          <cell r="B2741" t="str">
            <v>EI251-4005/YR193-IR-5A</v>
          </cell>
          <cell r="C2741">
            <v>45.5</v>
          </cell>
        </row>
        <row r="2742">
          <cell r="A2742" t="str">
            <v>YR193-IR-6A</v>
          </cell>
          <cell r="B2742" t="str">
            <v>EI251-4006/YR193-IR-6A</v>
          </cell>
          <cell r="C2742">
            <v>45.5</v>
          </cell>
        </row>
        <row r="2743">
          <cell r="A2743" t="str">
            <v>YR193-IR-7A</v>
          </cell>
          <cell r="B2743" t="str">
            <v>EI251-4007/YR193-IR-7A</v>
          </cell>
          <cell r="C2743">
            <v>46.5</v>
          </cell>
        </row>
        <row r="2744">
          <cell r="A2744" t="str">
            <v>YR193-IR-8A</v>
          </cell>
          <cell r="B2744" t="str">
            <v>EI251-4008/YR193-IR-8A</v>
          </cell>
          <cell r="C2744">
            <v>47.5</v>
          </cell>
        </row>
        <row r="2745">
          <cell r="A2745" t="str">
            <v>YR193-IR-9A</v>
          </cell>
          <cell r="B2745" t="str">
            <v>EI251-4009/YR193-IR-9A</v>
          </cell>
          <cell r="C2745">
            <v>49.5</v>
          </cell>
        </row>
        <row r="2746">
          <cell r="A2746" t="str">
            <v>YR193-IR-PA</v>
          </cell>
          <cell r="B2746" t="str">
            <v>EI251-40W1/YR193-IR-PA</v>
          </cell>
          <cell r="C2746">
            <v>52.5</v>
          </cell>
        </row>
        <row r="2747">
          <cell r="A2747" t="str">
            <v>YR193-IR-AA</v>
          </cell>
          <cell r="B2747" t="str">
            <v>EI251-40W2/YR193-IR-AA</v>
          </cell>
          <cell r="C2747">
            <v>57</v>
          </cell>
        </row>
        <row r="2748">
          <cell r="A2748" t="str">
            <v>YR193-IR-SA</v>
          </cell>
          <cell r="B2748" t="str">
            <v>EI251-40W3/YR193-IR-SA</v>
          </cell>
          <cell r="C2748">
            <v>61</v>
          </cell>
        </row>
        <row r="2749">
          <cell r="A2749" t="str">
            <v>CW158-IS-2B</v>
          </cell>
          <cell r="B2749" t="str">
            <v>3582Y3/SF WD MCA TENSEI BLK/SLV 70 GR STF JV</v>
          </cell>
          <cell r="C2749">
            <v>69.5</v>
          </cell>
        </row>
        <row r="2750">
          <cell r="A2750" t="str">
            <v>CW158-ISR2B</v>
          </cell>
          <cell r="B2750" t="str">
            <v>3582Y5/SF WD MCA TENSEI BLK/SLV 70 GR SR JV</v>
          </cell>
          <cell r="C2750">
            <v>68</v>
          </cell>
        </row>
        <row r="2751">
          <cell r="A2751" t="str">
            <v>AU231-ILL4A</v>
          </cell>
          <cell r="B2751" t="str">
            <v>2775904/MMT AMC RED 45 R4 #4</v>
          </cell>
          <cell r="C2751">
            <v>40.5</v>
          </cell>
        </row>
        <row r="2752">
          <cell r="A2752" t="str">
            <v>YM130-IR-5A</v>
          </cell>
          <cell r="B2752" t="str">
            <v>26RMX IRON #5 R</v>
          </cell>
          <cell r="C2752">
            <v>52</v>
          </cell>
        </row>
        <row r="2753">
          <cell r="A2753" t="str">
            <v>YM130-IR-6A</v>
          </cell>
          <cell r="B2753" t="str">
            <v>26RMX IRON #6 R</v>
          </cell>
          <cell r="C2753">
            <v>53</v>
          </cell>
        </row>
        <row r="2754">
          <cell r="A2754" t="str">
            <v>YM130-IR-7A</v>
          </cell>
          <cell r="B2754" t="str">
            <v>26RMX IRON #7 R</v>
          </cell>
          <cell r="C2754">
            <v>54</v>
          </cell>
        </row>
        <row r="2755">
          <cell r="A2755" t="str">
            <v>YM130-IR-8A</v>
          </cell>
          <cell r="B2755" t="str">
            <v>26RMX IRON #8 R</v>
          </cell>
          <cell r="C2755">
            <v>54</v>
          </cell>
        </row>
        <row r="2756">
          <cell r="A2756" t="str">
            <v>YM130-IR-9A</v>
          </cell>
          <cell r="B2756" t="str">
            <v>26RMX IRON #9 R</v>
          </cell>
          <cell r="C2756">
            <v>55</v>
          </cell>
        </row>
        <row r="2757">
          <cell r="A2757" t="str">
            <v>YM130-IR-PA</v>
          </cell>
          <cell r="B2757" t="str">
            <v>26RMX IRON #10 R</v>
          </cell>
          <cell r="C2757">
            <v>56.5</v>
          </cell>
        </row>
        <row r="2758">
          <cell r="A2758" t="str">
            <v>YM130-ISR5A</v>
          </cell>
          <cell r="B2758" t="str">
            <v>26RMX IRON #5 SR</v>
          </cell>
          <cell r="C2758">
            <v>54</v>
          </cell>
        </row>
        <row r="2759">
          <cell r="A2759" t="str">
            <v>YM130-ISR6A</v>
          </cell>
          <cell r="B2759" t="str">
            <v>26RMX IRON #6 SR</v>
          </cell>
          <cell r="C2759">
            <v>54</v>
          </cell>
        </row>
        <row r="2760">
          <cell r="A2760" t="str">
            <v>YM130-ISR7A</v>
          </cell>
          <cell r="B2760" t="str">
            <v>26RMX IRON #7 SR</v>
          </cell>
          <cell r="C2760">
            <v>55.5</v>
          </cell>
        </row>
        <row r="2761">
          <cell r="A2761" t="str">
            <v>YM130-ISR8A</v>
          </cell>
          <cell r="B2761" t="str">
            <v>26RMX IRON #8 SR</v>
          </cell>
          <cell r="C2761">
            <v>56</v>
          </cell>
        </row>
        <row r="2762">
          <cell r="A2762" t="str">
            <v>YM130-ISR9A</v>
          </cell>
          <cell r="B2762" t="str">
            <v>26RMX IRON #9 SR</v>
          </cell>
          <cell r="C2762">
            <v>56.5</v>
          </cell>
        </row>
        <row r="2763">
          <cell r="A2763" t="str">
            <v>YM130-ISRPA</v>
          </cell>
          <cell r="B2763" t="str">
            <v>26RMX IRON #10 SR</v>
          </cell>
          <cell r="C2763">
            <v>58</v>
          </cell>
        </row>
        <row r="2764">
          <cell r="A2764" t="str">
            <v>CW177-IA-3A</v>
          </cell>
          <cell r="B2764" t="str">
            <v>3583N1/SF WD HY MITSUBISHI MMT 60 GR LGT</v>
          </cell>
          <cell r="C2764">
            <v>64.5</v>
          </cell>
        </row>
        <row r="2765">
          <cell r="A2765" t="str">
            <v>CW178-IR-3A</v>
          </cell>
          <cell r="B2765" t="str">
            <v>3582H2/SF IR MCA MMT 80 PTIP GR REG</v>
          </cell>
          <cell r="C2765">
            <v>83.5</v>
          </cell>
        </row>
        <row r="2766">
          <cell r="A2766" t="str">
            <v>CW179-IS-3A</v>
          </cell>
          <cell r="B2766" t="str">
            <v>3582I3/SF IR MCA MMT 90 PTIP GR STF</v>
          </cell>
          <cell r="C2766">
            <v>99.5</v>
          </cell>
        </row>
        <row r="2767">
          <cell r="A2767" t="str">
            <v>CW179-IS-3AC</v>
          </cell>
          <cell r="B2767" t="str">
            <v>3582X3/SF IR MCA MMT 90 PTIP GR STF (DEMO)</v>
          </cell>
          <cell r="C2767">
            <v>99.5</v>
          </cell>
        </row>
        <row r="2768">
          <cell r="A2768" t="str">
            <v>CW178-IR-3AC</v>
          </cell>
          <cell r="B2768" t="str">
            <v>3582W2/SF IR MCA MMT 80 PTIP GR REG (DEMO)</v>
          </cell>
          <cell r="C2768">
            <v>83.5</v>
          </cell>
        </row>
        <row r="2769">
          <cell r="A2769" t="str">
            <v>SP415-IR-3A</v>
          </cell>
          <cell r="B2769" t="str">
            <v>MX2BIRM/BX2HT IRON FLEX-R</v>
          </cell>
          <cell r="C2769">
            <v>62.5</v>
          </cell>
        </row>
        <row r="2770">
          <cell r="A2770" t="str">
            <v>SP415-IS-3A</v>
          </cell>
          <cell r="B2770" t="str">
            <v>MX2BISM/BX2HT IRON FLEX-S</v>
          </cell>
          <cell r="C2770">
            <v>64.5</v>
          </cell>
        </row>
        <row r="2771">
          <cell r="A2771" t="str">
            <v>SP415-UR-1A</v>
          </cell>
          <cell r="B2771" t="str">
            <v>MX2BURM/BX2HT HY FLEX-R</v>
          </cell>
          <cell r="C2771">
            <v>60</v>
          </cell>
        </row>
        <row r="2772">
          <cell r="A2772" t="str">
            <v>SP415-US-1A</v>
          </cell>
          <cell r="B2772" t="str">
            <v>MX2BUSM/BX2HT HY FLEX-S</v>
          </cell>
          <cell r="C2772">
            <v>63.5</v>
          </cell>
        </row>
        <row r="2773">
          <cell r="A2773" t="str">
            <v>SP415-USR1A</v>
          </cell>
          <cell r="B2773" t="str">
            <v>MX2BUMM/BX2HT HY FLEX-SR</v>
          </cell>
          <cell r="C2773">
            <v>62</v>
          </cell>
        </row>
        <row r="2774">
          <cell r="A2774" t="str">
            <v>SP415-WR-1A</v>
          </cell>
          <cell r="B2774" t="str">
            <v>MX2BWRM/BX2HT WOOD FLEX-R</v>
          </cell>
          <cell r="C2774">
            <v>53.5</v>
          </cell>
        </row>
        <row r="2775">
          <cell r="A2775" t="str">
            <v>SP415-WS-1A</v>
          </cell>
          <cell r="B2775" t="str">
            <v>MX2BWSM/BX2HT WOOD FLEX-S</v>
          </cell>
          <cell r="C2775">
            <v>57.5</v>
          </cell>
        </row>
        <row r="2776">
          <cell r="A2776" t="str">
            <v>SP415-WSR1A</v>
          </cell>
          <cell r="B2776" t="str">
            <v>MX2BWMM/BX2HT WOOD FLEX-SR</v>
          </cell>
          <cell r="C2776">
            <v>56</v>
          </cell>
        </row>
        <row r="2777">
          <cell r="A2777" t="str">
            <v>MX998-IW-1AO</v>
          </cell>
          <cell r="B2777" t="str">
            <v>Vanquish PL HYB/IR 4 R3</v>
          </cell>
          <cell r="C2777">
            <v>50</v>
          </cell>
        </row>
        <row r="2778">
          <cell r="A2778" t="str">
            <v>AU232-IR-3A</v>
          </cell>
          <cell r="B2778" t="str">
            <v>2775953/MMT AMC BLUE 85 R #3</v>
          </cell>
          <cell r="C2778">
            <v>73</v>
          </cell>
        </row>
        <row r="2779">
          <cell r="A2779" t="str">
            <v>AU232-IR-4A</v>
          </cell>
          <cell r="B2779" t="str">
            <v>2775954/MMT AMC BLUE 85 R #4</v>
          </cell>
          <cell r="C2779">
            <v>74.5</v>
          </cell>
        </row>
        <row r="2780">
          <cell r="A2780" t="str">
            <v>AU232-IR-5A</v>
          </cell>
          <cell r="B2780" t="str">
            <v>2775955/MMT AMC BLUE 85 R #5</v>
          </cell>
          <cell r="C2780">
            <v>76</v>
          </cell>
        </row>
        <row r="2781">
          <cell r="A2781" t="str">
            <v>AU232-IR-6A</v>
          </cell>
          <cell r="B2781" t="str">
            <v>2775956/MMT AMC BLUE 85 R #6</v>
          </cell>
          <cell r="C2781">
            <v>79.5</v>
          </cell>
        </row>
        <row r="2782">
          <cell r="A2782" t="str">
            <v>AU232-IR-8A</v>
          </cell>
          <cell r="B2782" t="str">
            <v>2775958/MMT AMC BLUE 85 R #8</v>
          </cell>
          <cell r="C2782">
            <v>83</v>
          </cell>
        </row>
        <row r="2783">
          <cell r="A2783" t="str">
            <v>AU232-IR-9A</v>
          </cell>
          <cell r="B2783" t="str">
            <v>2775959/MMT AMC BLUE 85 R #9</v>
          </cell>
          <cell r="C2783">
            <v>84</v>
          </cell>
        </row>
        <row r="2784">
          <cell r="A2784" t="str">
            <v>AU232-IR-PA</v>
          </cell>
          <cell r="B2784" t="str">
            <v>2775960/MMT AMC BLUE 85 R #W</v>
          </cell>
          <cell r="C2784">
            <v>86</v>
          </cell>
        </row>
        <row r="2785">
          <cell r="A2785" t="str">
            <v>MX669-IS-3CO</v>
          </cell>
          <cell r="B2785" t="str">
            <v>MMT TAPER IRON 95 S-FLEX #3</v>
          </cell>
          <cell r="C2785">
            <v>94</v>
          </cell>
        </row>
        <row r="2786">
          <cell r="A2786" t="str">
            <v>MX669-IS-4CO</v>
          </cell>
          <cell r="B2786" t="str">
            <v>MMT TAPER IRON 95 S-FLEX #4</v>
          </cell>
          <cell r="C2786">
            <v>94</v>
          </cell>
        </row>
        <row r="2787">
          <cell r="A2787" t="str">
            <v>MX669-IS-5CO</v>
          </cell>
          <cell r="B2787" t="str">
            <v>MMT TAPER IRON 95 S-FLEX #5</v>
          </cell>
          <cell r="C2787">
            <v>94</v>
          </cell>
        </row>
        <row r="2788">
          <cell r="A2788" t="str">
            <v>MX669-IS-6CO</v>
          </cell>
          <cell r="B2788" t="str">
            <v>MMT TAPER IRON 95 S-FLEX #6</v>
          </cell>
          <cell r="C2788">
            <v>93</v>
          </cell>
        </row>
        <row r="2789">
          <cell r="A2789" t="str">
            <v>MX669-IS-8CO</v>
          </cell>
          <cell r="B2789" t="str">
            <v>MMT TAPER IRON 95 S-FLEX #8</v>
          </cell>
          <cell r="C2789">
            <v>93</v>
          </cell>
        </row>
        <row r="2790">
          <cell r="A2790" t="str">
            <v>MX669-IS-9CO</v>
          </cell>
          <cell r="B2790" t="str">
            <v>MMT TAPER IRON 95 S-FLEX #9</v>
          </cell>
          <cell r="C2790">
            <v>93</v>
          </cell>
        </row>
        <row r="2791">
          <cell r="A2791" t="str">
            <v>MX669-IS-PCO</v>
          </cell>
          <cell r="B2791" t="str">
            <v>MMT TAPER IRON 95 S-FLEX #W</v>
          </cell>
          <cell r="C2791">
            <v>94</v>
          </cell>
        </row>
        <row r="2792">
          <cell r="A2792" t="str">
            <v>MX681-IS-3CO</v>
          </cell>
          <cell r="B2792" t="str">
            <v>MMT TAPER IRON 105 S-FLEX #3</v>
          </cell>
          <cell r="C2792">
            <v>109</v>
          </cell>
        </row>
        <row r="2793">
          <cell r="A2793" t="str">
            <v>MX681-IS-4CO</v>
          </cell>
          <cell r="B2793" t="str">
            <v>MMT TAPER IRON 105 S-FLEX #4</v>
          </cell>
          <cell r="C2793">
            <v>109.5</v>
          </cell>
        </row>
        <row r="2794">
          <cell r="A2794" t="str">
            <v>MX681-IS-5CO</v>
          </cell>
          <cell r="B2794" t="str">
            <v>MMT TAPER IRON 105 S-FLEX #5</v>
          </cell>
          <cell r="C2794">
            <v>108</v>
          </cell>
        </row>
        <row r="2795">
          <cell r="A2795" t="str">
            <v>MX681-IS-6CO</v>
          </cell>
          <cell r="B2795" t="str">
            <v>MMT TAPER IRON 105 S-FLEX #6</v>
          </cell>
          <cell r="C2795">
            <v>109.5</v>
          </cell>
        </row>
        <row r="2796">
          <cell r="A2796" t="str">
            <v>MX681-IS-7CO</v>
          </cell>
          <cell r="B2796" t="str">
            <v>MMT TAPER IRON 105 S-FLEX #7</v>
          </cell>
          <cell r="C2796">
            <v>109</v>
          </cell>
        </row>
        <row r="2797">
          <cell r="A2797" t="str">
            <v>MX681-IS-8CO</v>
          </cell>
          <cell r="B2797" t="str">
            <v>MMT TAPER IRON 105 S-FLEX #8</v>
          </cell>
          <cell r="C2797">
            <v>110</v>
          </cell>
        </row>
        <row r="2798">
          <cell r="A2798" t="str">
            <v>MX681-IS-9CO</v>
          </cell>
          <cell r="B2798" t="str">
            <v>MMT TAPER IRON 105 S-FLEX #9</v>
          </cell>
          <cell r="C2798">
            <v>112</v>
          </cell>
        </row>
        <row r="2799">
          <cell r="A2799" t="str">
            <v>MX681-IS-PCO</v>
          </cell>
          <cell r="B2799" t="str">
            <v>MMT TAPER IRON 105 S-FLEX #W</v>
          </cell>
          <cell r="C2799">
            <v>110</v>
          </cell>
        </row>
        <row r="2800">
          <cell r="A2800" t="str">
            <v>MX681-ITX3CO</v>
          </cell>
          <cell r="B2800" t="str">
            <v>MMT TAPER IRON 105 TX-FLEX #3</v>
          </cell>
          <cell r="C2800">
            <v>114.5</v>
          </cell>
        </row>
        <row r="2801">
          <cell r="A2801" t="str">
            <v>MX681-ITX4CO</v>
          </cell>
          <cell r="B2801" t="str">
            <v>MMT TAPER IRON 105 TX-FLEX #4</v>
          </cell>
          <cell r="C2801">
            <v>114.5</v>
          </cell>
        </row>
        <row r="2802">
          <cell r="A2802" t="str">
            <v>MX681-ITX5CO</v>
          </cell>
          <cell r="B2802" t="str">
            <v>MMT TAPER IRON 105 TX-FLEX #5</v>
          </cell>
          <cell r="C2802">
            <v>117</v>
          </cell>
        </row>
        <row r="2803">
          <cell r="A2803" t="str">
            <v>MX681-ITX6CO</v>
          </cell>
          <cell r="B2803" t="str">
            <v>MMT TAPER IRON 105 TX-FLEX #6</v>
          </cell>
          <cell r="C2803">
            <v>116</v>
          </cell>
        </row>
        <row r="2804">
          <cell r="A2804" t="str">
            <v>MX681-ITX7CO</v>
          </cell>
          <cell r="B2804" t="str">
            <v>MMT TAPER IRON 105 TX-FLEX #7</v>
          </cell>
          <cell r="C2804">
            <v>117</v>
          </cell>
        </row>
        <row r="2805">
          <cell r="A2805" t="str">
            <v>MX681-ITX8CO</v>
          </cell>
          <cell r="B2805" t="str">
            <v>MMT TAPER IRON 105 TX-FLEX #8</v>
          </cell>
          <cell r="C2805">
            <v>117</v>
          </cell>
        </row>
        <row r="2806">
          <cell r="A2806" t="str">
            <v>MX681-ITX9CO</v>
          </cell>
          <cell r="B2806" t="str">
            <v>MMT TAPER IRON 105 TX-FLEX #9</v>
          </cell>
          <cell r="C2806">
            <v>117</v>
          </cell>
        </row>
        <row r="2807">
          <cell r="A2807" t="str">
            <v>MX681-ITXPCO</v>
          </cell>
          <cell r="B2807" t="str">
            <v>MMT TAPER IRON 105 TX-FLEX #W</v>
          </cell>
          <cell r="C2807">
            <v>115</v>
          </cell>
        </row>
        <row r="2808">
          <cell r="A2808" t="str">
            <v>MX721-ITX3CO</v>
          </cell>
          <cell r="B2808" t="str">
            <v>MMT TAPER IRON 125 TX-FLEX #3</v>
          </cell>
          <cell r="C2808">
            <v>126.5</v>
          </cell>
        </row>
        <row r="2809">
          <cell r="A2809" t="str">
            <v>MX721-ITX4CO</v>
          </cell>
          <cell r="B2809" t="str">
            <v>MMT TAPER IRON 125 TX-FLEX #4</v>
          </cell>
          <cell r="C2809">
            <v>124.5</v>
          </cell>
        </row>
        <row r="2810">
          <cell r="A2810" t="str">
            <v>MX721-ITX5CO</v>
          </cell>
          <cell r="B2810" t="str">
            <v>MMT TAPER IRON 125 TX-FLEX #5</v>
          </cell>
          <cell r="C2810">
            <v>124</v>
          </cell>
        </row>
        <row r="2811">
          <cell r="A2811" t="str">
            <v>MX721-ITX6CO</v>
          </cell>
          <cell r="B2811" t="str">
            <v>MMT TAPER IRON 125 TX-FLEX #6</v>
          </cell>
          <cell r="C2811">
            <v>125</v>
          </cell>
        </row>
        <row r="2812">
          <cell r="A2812" t="str">
            <v>MX721-ITX8CO</v>
          </cell>
          <cell r="B2812" t="str">
            <v>MMT TAPER IRON 125 TX-FLEX #8</v>
          </cell>
          <cell r="C2812">
            <v>125</v>
          </cell>
        </row>
        <row r="2813">
          <cell r="A2813" t="str">
            <v>MX721-ITX9CO</v>
          </cell>
          <cell r="B2813" t="str">
            <v>MMT TAPER IRON 125 TX-FLEX #9</v>
          </cell>
          <cell r="C2813">
            <v>126</v>
          </cell>
        </row>
        <row r="2814">
          <cell r="A2814" t="str">
            <v>MX795-IX-1A</v>
          </cell>
          <cell r="B2814" t="str">
            <v>MMT™ Hybrid 90 X-FLEX</v>
          </cell>
          <cell r="C2814">
            <v>101</v>
          </cell>
        </row>
        <row r="2815">
          <cell r="A2815" t="str">
            <v>MX794-IS-1AO</v>
          </cell>
          <cell r="B2815" t="str">
            <v>MMT™ Hybrid 80 S-FLEX</v>
          </cell>
          <cell r="C2815">
            <v>85</v>
          </cell>
        </row>
        <row r="2816">
          <cell r="A2816" t="str">
            <v>TE056-WA-1A</v>
          </cell>
          <cell r="B2816" t="str">
            <v>YD2WGA01/MCA VANQUISH PL40 4R2 WOOD SHAFT A-FLEX</v>
          </cell>
          <cell r="C2816">
            <v>43.5</v>
          </cell>
        </row>
        <row r="2817">
          <cell r="A2817" t="str">
            <v>TE056-WR-1A</v>
          </cell>
          <cell r="B2817" t="str">
            <v>YD2WGR01/MCA VANQUISH PL40 4R WOOD SHAFT R-FLEX</v>
          </cell>
          <cell r="C2817">
            <v>44.5</v>
          </cell>
        </row>
        <row r="2818">
          <cell r="A2818" t="str">
            <v>TE056-WW-1A</v>
          </cell>
          <cell r="B2818" t="str">
            <v>YD2WGL01/MCA VANQUISH PL40 R3 WOOD SHAFT L-FLEX</v>
          </cell>
          <cell r="C2818">
            <v>42.5</v>
          </cell>
        </row>
        <row r="2819">
          <cell r="A2819" t="str">
            <v>TE057-WS-1A</v>
          </cell>
          <cell r="B2819" t="str">
            <v>YD2WGS01/MCA VANQUISH PL40 5S WOOD SHAFT S-FLEX</v>
          </cell>
          <cell r="C2819">
            <v>57.5</v>
          </cell>
        </row>
        <row r="2820">
          <cell r="A2820" t="str">
            <v>YM130-UR-2A</v>
          </cell>
          <cell r="B2820" t="str">
            <v>26RMX UT #2 R</v>
          </cell>
          <cell r="C2820">
            <v>53.5</v>
          </cell>
        </row>
        <row r="2821">
          <cell r="A2821" t="str">
            <v>YM130-US-2A</v>
          </cell>
          <cell r="B2821" t="str">
            <v>26RMX UT #2 S</v>
          </cell>
          <cell r="C2821">
            <v>56.5</v>
          </cell>
        </row>
        <row r="2822">
          <cell r="A2822" t="str">
            <v>YM130-USR2A</v>
          </cell>
          <cell r="B2822" t="str">
            <v>26RMX UT #2 SR</v>
          </cell>
          <cell r="C2822">
            <v>55.5</v>
          </cell>
        </row>
        <row r="2823">
          <cell r="A2823" t="str">
            <v>YM130-WR-1A</v>
          </cell>
          <cell r="B2823" t="str">
            <v>26RMX WOOD #1 R</v>
          </cell>
          <cell r="C2823">
            <v>50</v>
          </cell>
        </row>
        <row r="2824">
          <cell r="A2824" t="str">
            <v>YM130-WR-3A</v>
          </cell>
          <cell r="B2824" t="str">
            <v>26RMX WOOD #3 R</v>
          </cell>
          <cell r="C2824">
            <v>51</v>
          </cell>
        </row>
        <row r="2825">
          <cell r="A2825" t="str">
            <v>YM130-WS-1A</v>
          </cell>
          <cell r="B2825" t="str">
            <v>26RMX WOOD #1 S</v>
          </cell>
          <cell r="C2825">
            <v>53</v>
          </cell>
        </row>
        <row r="2826">
          <cell r="A2826" t="str">
            <v>YM130-WS-3A</v>
          </cell>
          <cell r="B2826" t="str">
            <v>26RMX WOOD #3 S</v>
          </cell>
          <cell r="C2826">
            <v>54</v>
          </cell>
        </row>
        <row r="2827">
          <cell r="A2827" t="str">
            <v>YM130-WSR1A</v>
          </cell>
          <cell r="B2827" t="str">
            <v>26RMX WOOD #1 SR</v>
          </cell>
          <cell r="C2827">
            <v>51.5</v>
          </cell>
        </row>
        <row r="2828">
          <cell r="A2828" t="str">
            <v>YM130-WSR3A</v>
          </cell>
          <cell r="B2828" t="str">
            <v>26RMX WOOD #3 SR</v>
          </cell>
          <cell r="C2828">
            <v>52.5</v>
          </cell>
        </row>
        <row r="2829">
          <cell r="A2829" t="str">
            <v>YM131-US-2A</v>
          </cell>
          <cell r="B2829" t="str">
            <v>26RMX HEAVY UT #2 S</v>
          </cell>
          <cell r="C2829">
            <v>70.599999999999994</v>
          </cell>
        </row>
        <row r="2830">
          <cell r="A2830" t="str">
            <v>YM131-WS-1A</v>
          </cell>
          <cell r="B2830" t="str">
            <v>26RMX HEAVY WOOD #1 S</v>
          </cell>
          <cell r="C2830">
            <v>60</v>
          </cell>
        </row>
        <row r="2831">
          <cell r="A2831" t="str">
            <v>YM131-WS-3A</v>
          </cell>
          <cell r="B2831" t="str">
            <v>26RMX HEAVY WOOD #3 S</v>
          </cell>
          <cell r="C2831">
            <v>61.5</v>
          </cell>
        </row>
        <row r="2832">
          <cell r="A2832" t="str">
            <v>CB047-WS-1A</v>
          </cell>
          <cell r="B2832" t="str">
            <v>SD22GS228460/SH DF MCA TENSEI AV2 XLINK BU 65 GS 460</v>
          </cell>
          <cell r="C2832">
            <v>67.5</v>
          </cell>
        </row>
        <row r="2833">
          <cell r="A2833" t="str">
            <v>MX728-IA-4AO</v>
          </cell>
          <cell r="B2833" t="str">
            <v>SH IR MCA MMT 55 TAPER GA 395</v>
          </cell>
          <cell r="C2833">
            <v>62</v>
          </cell>
        </row>
        <row r="2834">
          <cell r="A2834" t="str">
            <v>MX728-IA-5AO</v>
          </cell>
          <cell r="B2834" t="str">
            <v>SH IR MCA MMT 55 TAPER GA 390</v>
          </cell>
          <cell r="C2834">
            <v>62</v>
          </cell>
        </row>
        <row r="2835">
          <cell r="A2835" t="str">
            <v>MX728-IA-6AO</v>
          </cell>
          <cell r="B2835" t="str">
            <v>SH IR MCA MMT 55 TAPER GA 385</v>
          </cell>
          <cell r="C2835">
            <v>61</v>
          </cell>
        </row>
        <row r="2836">
          <cell r="A2836" t="str">
            <v>MX728-IA-7AO</v>
          </cell>
          <cell r="B2836" t="str">
            <v>SH IR MCA MMT 55 TAPER GA 380</v>
          </cell>
          <cell r="C2836">
            <v>61</v>
          </cell>
        </row>
        <row r="2837">
          <cell r="A2837" t="str">
            <v>MX728-IA-8AO</v>
          </cell>
          <cell r="B2837" t="str">
            <v>SH IR MCA MMT 55 TAPER GA 375</v>
          </cell>
          <cell r="C2837">
            <v>61</v>
          </cell>
        </row>
        <row r="2838">
          <cell r="A2838" t="str">
            <v>MX728-IA-9AO</v>
          </cell>
          <cell r="B2838" t="str">
            <v>SH IR MCA MMT 55 TAPER GA 370</v>
          </cell>
          <cell r="C2838">
            <v>61</v>
          </cell>
        </row>
        <row r="2839">
          <cell r="A2839" t="str">
            <v>MX728-IA-PAO</v>
          </cell>
          <cell r="B2839" t="str">
            <v>SH IR MCA MMT 55 TAPER GA 365</v>
          </cell>
          <cell r="C2839">
            <v>61</v>
          </cell>
        </row>
        <row r="2840">
          <cell r="A2840" t="str">
            <v>CB050-WR-1A</v>
          </cell>
          <cell r="B2840" t="str">
            <v>SD22GR150460/SH DF MCA KAILI DW BU 60 GR 460</v>
          </cell>
          <cell r="C2840">
            <v>64.5</v>
          </cell>
        </row>
        <row r="2841">
          <cell r="A2841" t="str">
            <v>CB050-WS-1A</v>
          </cell>
          <cell r="B2841" t="str">
            <v>SD22GS258460/SH DF MCA KAILI DW BU 60 GS 460</v>
          </cell>
          <cell r="C2841">
            <v>66.5</v>
          </cell>
        </row>
        <row r="2842">
          <cell r="A2842" t="str">
            <v>CB050-WX-1A</v>
          </cell>
          <cell r="B2842" t="str">
            <v>SD22GX225460/SH DF MCA KAILI DW BU 60 GX 460</v>
          </cell>
          <cell r="C2842">
            <v>68.5</v>
          </cell>
        </row>
        <row r="2843">
          <cell r="A2843" t="str">
            <v>CB052-WS-1A</v>
          </cell>
          <cell r="B2843" t="str">
            <v>SD22GS256460/SH DF MCA KAILI DW WT 60 GS 460</v>
          </cell>
          <cell r="C2843">
            <v>68</v>
          </cell>
        </row>
        <row r="2844">
          <cell r="A2844" t="str">
            <v>CB052-WX-1A</v>
          </cell>
          <cell r="B2844" t="str">
            <v>SD22GX223460/SH DF MCA KAILI DW WT 60 GX 460</v>
          </cell>
          <cell r="C2844">
            <v>69.5</v>
          </cell>
        </row>
        <row r="2845">
          <cell r="A2845" t="str">
            <v>CB054-WA-1A</v>
          </cell>
          <cell r="B2845" t="str">
            <v>SD22GA029460/SH DF MCA KAILI DW RD 50 GA 460</v>
          </cell>
          <cell r="C2845">
            <v>51.5</v>
          </cell>
        </row>
        <row r="2846">
          <cell r="A2846" t="str">
            <v>CB054-WR-1A</v>
          </cell>
          <cell r="B2846" t="str">
            <v>SD22GR151460/SH DF MCA KAILI DW RD 50 GR 460</v>
          </cell>
          <cell r="C2846">
            <v>53.5</v>
          </cell>
        </row>
        <row r="2847">
          <cell r="A2847" t="str">
            <v>CB054-WS-1A</v>
          </cell>
          <cell r="B2847" t="str">
            <v>SD22GS260460/SH DF MCA KAILI DW RD 50 GS 460</v>
          </cell>
          <cell r="C2847">
            <v>55.5</v>
          </cell>
        </row>
        <row r="2848">
          <cell r="A2848" t="str">
            <v>MX793-IR-1AO</v>
          </cell>
          <cell r="B2848" t="str">
            <v>MMT™ Hybrid 70 R-FLEX</v>
          </cell>
          <cell r="C2848">
            <v>72</v>
          </cell>
        </row>
        <row r="2849">
          <cell r="A2849" t="str">
            <v>MX794-IX-1AO</v>
          </cell>
          <cell r="B2849" t="str">
            <v>MMT™ Hybrid 80 X-FLEX</v>
          </cell>
          <cell r="C2849">
            <v>88.5</v>
          </cell>
        </row>
        <row r="2850">
          <cell r="A2850" t="str">
            <v>CB044-WW-1A</v>
          </cell>
          <cell r="B2850" t="str">
            <v>VANQUISH OEM WOOD 40 GRAM W</v>
          </cell>
          <cell r="C2850">
            <v>42.5</v>
          </cell>
        </row>
        <row r="2851">
          <cell r="A2851" t="str">
            <v>XG015-WL-1C</v>
          </cell>
          <cell r="B2851" t="str">
            <v>MCA DIAMANA V3 PXG 40L</v>
          </cell>
          <cell r="C2851">
            <v>50.5</v>
          </cell>
        </row>
        <row r="2852">
          <cell r="A2852" t="str">
            <v>XG015-WR-1C</v>
          </cell>
          <cell r="B2852" t="str">
            <v>MCA DIAMANA V3PXG 50R</v>
          </cell>
          <cell r="C2852">
            <v>54.5</v>
          </cell>
        </row>
        <row r="2853">
          <cell r="A2853" t="str">
            <v>XG015-WS-1C</v>
          </cell>
          <cell r="B2853" t="str">
            <v>MCA DIAMANA V3 PXG 50S</v>
          </cell>
          <cell r="C2853">
            <v>58</v>
          </cell>
        </row>
        <row r="2854">
          <cell r="A2854" t="str">
            <v>XG016-WR-1C</v>
          </cell>
          <cell r="B2854" t="str">
            <v>MCA DIAMANA V3 PXG 60R</v>
          </cell>
          <cell r="C2854">
            <v>60</v>
          </cell>
        </row>
        <row r="2855">
          <cell r="A2855" t="str">
            <v>XG016-WS-1C</v>
          </cell>
          <cell r="B2855" t="str">
            <v>MCA DIAMANA V3 PXG 60S</v>
          </cell>
          <cell r="C2855">
            <v>62</v>
          </cell>
        </row>
        <row r="2856">
          <cell r="A2856" t="str">
            <v>XG018-IL-1C</v>
          </cell>
          <cell r="B2856" t="str">
            <v>MCA DIAMANA V3 PXG HYBRID 50L</v>
          </cell>
          <cell r="C2856">
            <v>51.5</v>
          </cell>
        </row>
        <row r="2857">
          <cell r="A2857" t="str">
            <v>XG018-IR-1C</v>
          </cell>
          <cell r="B2857" t="str">
            <v>MCA DIAMANA V3 PXG HYBRID 60R</v>
          </cell>
          <cell r="C2857">
            <v>65</v>
          </cell>
        </row>
        <row r="2858">
          <cell r="A2858" t="str">
            <v>XG018-IS-1C</v>
          </cell>
          <cell r="B2858" t="str">
            <v>S-DIAMANA-PXG-V3-HYB-60S/MCA DIAMANA V3 PXG HYBRID 60 S</v>
          </cell>
          <cell r="C2858">
            <v>67</v>
          </cell>
        </row>
        <row r="2859">
          <cell r="A2859" t="str">
            <v>XG019-IL-1C</v>
          </cell>
          <cell r="B2859" t="str">
            <v>MCA DIAMANA V3 PXG IRON 50L</v>
          </cell>
          <cell r="C2859">
            <v>57</v>
          </cell>
        </row>
        <row r="2860">
          <cell r="A2860" t="str">
            <v>XG020-IR-1C</v>
          </cell>
          <cell r="B2860" t="str">
            <v>MCA DIAMANA V3 PXG IRON 60R</v>
          </cell>
          <cell r="C2860">
            <v>63.5</v>
          </cell>
        </row>
        <row r="2861">
          <cell r="A2861" t="str">
            <v>XG020-IS-1C</v>
          </cell>
          <cell r="B2861" t="str">
            <v>S-DIAMANA-PXG-V3-IRON-60S/MCA DIAMANA V3 PXG IRON 60 S</v>
          </cell>
          <cell r="C2861">
            <v>64.5</v>
          </cell>
        </row>
        <row r="2862">
          <cell r="A2862" t="str">
            <v>XG021-IS-1C</v>
          </cell>
          <cell r="B2862" t="str">
            <v>S-DIAMANA-PXG-V3-IRON-70S/MCA DIAMANA V3 PXG IRON 70 S</v>
          </cell>
          <cell r="C2862">
            <v>72.5</v>
          </cell>
        </row>
        <row r="2863">
          <cell r="A2863" t="str">
            <v>XG022-IS-1C</v>
          </cell>
          <cell r="B2863" t="str">
            <v>MCA DIAMANA V3 PXG IRON 80-S</v>
          </cell>
          <cell r="C2863">
            <v>83</v>
          </cell>
        </row>
        <row r="2864">
          <cell r="A2864" t="str">
            <v>XG049-IR-1C</v>
          </cell>
          <cell r="B2864" t="str">
            <v>MCA DIAMANA V3　PXG　HYBRID 　70R</v>
          </cell>
          <cell r="C2864">
            <v>73</v>
          </cell>
        </row>
        <row r="2865">
          <cell r="A2865" t="str">
            <v>XG050-IS-1C</v>
          </cell>
          <cell r="B2865" t="str">
            <v>MCA DIAMANA V3　PXG　HYBRID 　80S</v>
          </cell>
          <cell r="C2865">
            <v>83.5</v>
          </cell>
        </row>
        <row r="2866">
          <cell r="A2866" t="str">
            <v>XG051-IS-1C</v>
          </cell>
          <cell r="B2866" t="str">
            <v>MCA DIAMANA V3　PXG　HYBRID 　90S</v>
          </cell>
          <cell r="C2866">
            <v>89</v>
          </cell>
        </row>
        <row r="2867">
          <cell r="A2867" t="str">
            <v>CB053-WS-1A</v>
          </cell>
          <cell r="B2867" t="str">
            <v>SD22GS257460/SH DF MCA KAILI DW WT 70 GS 460</v>
          </cell>
          <cell r="C2867">
            <v>75.5</v>
          </cell>
        </row>
        <row r="2868">
          <cell r="A2868" t="str">
            <v>SP416-IR-4A</v>
          </cell>
          <cell r="B2868" t="str">
            <v>MVJBIRM/BASSARA B50Ⅱ V300Ⅹ Iron Flex-R</v>
          </cell>
          <cell r="C2868">
            <v>58</v>
          </cell>
        </row>
        <row r="2869">
          <cell r="A2869" t="str">
            <v>MX836-WS-1AO</v>
          </cell>
          <cell r="B2869" t="str">
            <v>TENSEI AV BLUE 75 S-FLEX WITH XLINK</v>
          </cell>
          <cell r="C2869">
            <v>77.5</v>
          </cell>
        </row>
        <row r="2870">
          <cell r="A2870" t="str">
            <v>SP397-IR-3C</v>
          </cell>
          <cell r="B2870" t="str">
            <v>OKGBIRM/KUROKAGE GR IRON FLEX R</v>
          </cell>
          <cell r="C2870">
            <v>61</v>
          </cell>
        </row>
        <row r="2871">
          <cell r="A2871" t="str">
            <v>SP397-UR-1C</v>
          </cell>
          <cell r="B2871" t="str">
            <v>OKGBURM/KUROKAGE GR UTILITY FLEX R</v>
          </cell>
          <cell r="C2871">
            <v>57.5</v>
          </cell>
        </row>
        <row r="2872">
          <cell r="A2872" t="str">
            <v>SP397-US-1C</v>
          </cell>
          <cell r="B2872" t="str">
            <v>OKGBUSM/KUROKAGE GR UTILITY FLEX-S</v>
          </cell>
          <cell r="C2872">
            <v>59.5</v>
          </cell>
        </row>
        <row r="2873">
          <cell r="A2873" t="str">
            <v>SP397-WR-1C</v>
          </cell>
          <cell r="B2873" t="str">
            <v>OKGBWRM/KUROKAGE GR WOOD FLEX R</v>
          </cell>
          <cell r="C2873">
            <v>53.5</v>
          </cell>
        </row>
        <row r="2874">
          <cell r="A2874" t="str">
            <v>SP397-WS-1C</v>
          </cell>
          <cell r="B2874" t="str">
            <v>OKGBWSM/KUROKAGE GR WOOD FLEX-R</v>
          </cell>
          <cell r="C2874">
            <v>57</v>
          </cell>
        </row>
        <row r="2875">
          <cell r="A2875" t="str">
            <v>MX792-IR-1A</v>
          </cell>
          <cell r="B2875" t="str">
            <v>MMT™ Hybrid 60 R-FLEX</v>
          </cell>
          <cell r="C2875">
            <v>66.5</v>
          </cell>
        </row>
        <row r="2876">
          <cell r="A2876" t="str">
            <v>MX946-WA-1A</v>
          </cell>
          <cell r="B2876" t="str">
            <v>DIAMANA™ BB-SERIES 43 R2-FLEX</v>
          </cell>
          <cell r="C2876">
            <v>43.5</v>
          </cell>
        </row>
        <row r="2877">
          <cell r="A2877" t="str">
            <v>MX947-WS-1A</v>
          </cell>
          <cell r="B2877" t="str">
            <v>DIAMANA™ BB-SERIES 53 S-FLEX</v>
          </cell>
          <cell r="C2877">
            <v>53.5</v>
          </cell>
        </row>
        <row r="2878">
          <cell r="A2878" t="str">
            <v>MX948-WX-1A</v>
          </cell>
          <cell r="B2878" t="str">
            <v>DIAMANA™ BB-SERIES 63 X-FLEX</v>
          </cell>
          <cell r="C2878">
            <v>61.5</v>
          </cell>
        </row>
        <row r="2879">
          <cell r="A2879" t="str">
            <v>MX949-WS-1A</v>
          </cell>
          <cell r="B2879" t="str">
            <v>DIAMANA™ BB-SERIES 73 S-FLEX</v>
          </cell>
          <cell r="C2879">
            <v>70</v>
          </cell>
        </row>
        <row r="2880">
          <cell r="A2880" t="str">
            <v>MX949-WTX1A</v>
          </cell>
          <cell r="B2880" t="str">
            <v>DIAMANA™ BB-SERIES 73 TX-FLEX</v>
          </cell>
          <cell r="C2880">
            <v>72</v>
          </cell>
        </row>
        <row r="2881">
          <cell r="A2881" t="str">
            <v>MX949-WX-1A</v>
          </cell>
          <cell r="B2881" t="str">
            <v>DIAMANA™ BB-SERIES 73 X-FLEX</v>
          </cell>
          <cell r="C2881">
            <v>70.5</v>
          </cell>
        </row>
        <row r="2882">
          <cell r="A2882" t="str">
            <v>MX955-WX-1A</v>
          </cell>
          <cell r="B2882" t="str">
            <v>6TH GEN. DIAMANA™ WB-SERIES 73 X-FLEX</v>
          </cell>
          <cell r="C2882">
            <v>72</v>
          </cell>
        </row>
        <row r="2883">
          <cell r="A2883" t="str">
            <v>MX948-WS-1AO</v>
          </cell>
          <cell r="B2883" t="str">
            <v>DIAMANA™ BB-SERIES 63 S-FLEX</v>
          </cell>
          <cell r="C2883">
            <v>61</v>
          </cell>
        </row>
        <row r="2884">
          <cell r="A2884" t="str">
            <v>MX948-WX-1AO</v>
          </cell>
          <cell r="B2884" t="str">
            <v>DIAMANA™ BB-SERIES 63 X-FLEX</v>
          </cell>
          <cell r="C2884">
            <v>61.5</v>
          </cell>
        </row>
        <row r="2885">
          <cell r="A2885" t="str">
            <v>MX954-WX-1AO</v>
          </cell>
          <cell r="B2885" t="str">
            <v>DIAMANA™ WB-SERIES 63 X-FLEX</v>
          </cell>
          <cell r="C2885">
            <v>63.5</v>
          </cell>
        </row>
        <row r="2886">
          <cell r="A2886" t="str">
            <v>MX955-WTX1AO</v>
          </cell>
          <cell r="B2886" t="str">
            <v>DIAMANA™ WB-SERIES 73 TX-FLEX</v>
          </cell>
          <cell r="C2886">
            <v>73</v>
          </cell>
        </row>
        <row r="2887">
          <cell r="A2887" t="str">
            <v>CW158-IR-2B</v>
          </cell>
          <cell r="B2887" t="str">
            <v>3582Y2/SF WD MCA TENSEI BLK/SLV 70 GR REG JV</v>
          </cell>
          <cell r="C2887">
            <v>66.5</v>
          </cell>
        </row>
        <row r="2888">
          <cell r="A2888" t="str">
            <v>MX949-WX-1AO</v>
          </cell>
          <cell r="B2888" t="str">
            <v>DIAMANA™ BB-SERIES 73 X-FLEX</v>
          </cell>
          <cell r="C2888">
            <v>70.5</v>
          </cell>
        </row>
        <row r="2889">
          <cell r="A2889" t="str">
            <v>MX955-WX-1AO</v>
          </cell>
          <cell r="B2889" t="str">
            <v>DIAMANA™ WB-SERIES 73 X-FLEX</v>
          </cell>
          <cell r="C2889">
            <v>72</v>
          </cell>
        </row>
        <row r="2890">
          <cell r="A2890" t="str">
            <v>MX960-WX-1AO</v>
          </cell>
          <cell r="B2890" t="str">
            <v>DIAMANA RB-SERIES 63 X-FLEX</v>
          </cell>
          <cell r="C2890">
            <v>63.5</v>
          </cell>
        </row>
        <row r="2891">
          <cell r="A2891" t="str">
            <v>CB051-WS-1A</v>
          </cell>
          <cell r="B2891" t="str">
            <v>SD22GS259460/SH DF MCA KAILI DW BU 70 GS 460</v>
          </cell>
          <cell r="C2891">
            <v>71.5</v>
          </cell>
        </row>
        <row r="2892">
          <cell r="A2892" t="str">
            <v>CB051-WX-1A</v>
          </cell>
          <cell r="B2892" t="str">
            <v>SD22GX226460/SH DF MCA KAILI DW BU 70 GX 460</v>
          </cell>
          <cell r="C2892">
            <v>73.5</v>
          </cell>
        </row>
        <row r="2893">
          <cell r="A2893" t="str">
            <v>CB053-WX-1A</v>
          </cell>
          <cell r="B2893" t="str">
            <v>SD22GX224460/SH DF MCA KAILI DW WT 70 GX 460</v>
          </cell>
          <cell r="C2893">
            <v>77.5</v>
          </cell>
        </row>
        <row r="2894">
          <cell r="A2894" t="str">
            <v>AX202-WA-1EB</v>
          </cell>
          <cell r="B2894" t="str">
            <v>YA8WGA01/ASCENT Blue 50 A-FLEX WOOD</v>
          </cell>
          <cell r="C2894">
            <v>58</v>
          </cell>
        </row>
        <row r="2895">
          <cell r="A2895" t="str">
            <v>AX202-WL-1EB</v>
          </cell>
          <cell r="B2895" t="str">
            <v>YA8WGL01/ASCENT White 45 L-FLEX WOOD</v>
          </cell>
          <cell r="C2895">
            <v>56</v>
          </cell>
        </row>
        <row r="2896">
          <cell r="A2896" t="str">
            <v>AX202-WR-1EB</v>
          </cell>
          <cell r="B2896" t="str">
            <v>YA8WGR01/ASCENT Blue 50 R-FLEX WOOD</v>
          </cell>
          <cell r="C2896">
            <v>60</v>
          </cell>
        </row>
        <row r="2897">
          <cell r="A2897" t="str">
            <v>AX202-WS-1EB</v>
          </cell>
          <cell r="B2897" t="str">
            <v>YA8WGS01/ASCENT Blue 55 S-FLEX WOOD</v>
          </cell>
          <cell r="C2897">
            <v>62</v>
          </cell>
        </row>
        <row r="2898">
          <cell r="A2898" t="str">
            <v>AX203-IA-1EB</v>
          </cell>
          <cell r="B2898" t="str">
            <v>YA8IGA01/ASCENT Blue 55 A-FLEX HY/IRON</v>
          </cell>
          <cell r="C2898">
            <v>57</v>
          </cell>
        </row>
        <row r="2899">
          <cell r="A2899" t="str">
            <v>AX203-IL-1EB</v>
          </cell>
          <cell r="B2899" t="str">
            <v>YA8IGL01/ASCENT White 50 L-FLEX HY/IRON</v>
          </cell>
          <cell r="C2899">
            <v>55</v>
          </cell>
        </row>
        <row r="2900">
          <cell r="A2900" t="str">
            <v>AX203-IR-1EB</v>
          </cell>
          <cell r="B2900" t="str">
            <v>YA8IGR01/ASCENT Blue 55 R-FLEX HY/IRON</v>
          </cell>
          <cell r="C2900">
            <v>58.5</v>
          </cell>
        </row>
        <row r="2901">
          <cell r="A2901" t="str">
            <v>AX203-IS-1EB</v>
          </cell>
          <cell r="B2901" t="str">
            <v>YA8IGS01/ASCENT Blue 60 S-FLEX HY/IRON</v>
          </cell>
          <cell r="C2901">
            <v>59.5</v>
          </cell>
        </row>
        <row r="2902">
          <cell r="A2902" t="str">
            <v>LB001-IS-TA</v>
          </cell>
          <cell r="B2902" t="str">
            <v>LB001-IS-TA/DIAMANA 12K PUTTER SHAFT - LAB LOGO / BLACK / MA</v>
          </cell>
          <cell r="C2902">
            <v>143</v>
          </cell>
        </row>
        <row r="2903">
          <cell r="A2903" t="str">
            <v>LB002-IS-TA</v>
          </cell>
          <cell r="B2903" t="str">
            <v>LB002-IS-TA/DIAMANA PUTTER SHAFT - LAB LOGO / BLACK / MATTE</v>
          </cell>
          <cell r="C2903">
            <v>141</v>
          </cell>
        </row>
        <row r="2904">
          <cell r="A2904" t="str">
            <v>MX954-WTX1AO</v>
          </cell>
          <cell r="B2904" t="str">
            <v>DIAMANA™ WB-SERIES 63 TX-FLEX</v>
          </cell>
          <cell r="C2904">
            <v>65</v>
          </cell>
        </row>
        <row r="2905">
          <cell r="A2905" t="str">
            <v>SF328-WS-1A</v>
          </cell>
          <cell r="B2905" t="str">
            <v>N9545401/SHM-26 REAX LR 60 S</v>
          </cell>
          <cell r="C2905">
            <v>62.5</v>
          </cell>
        </row>
        <row r="2906">
          <cell r="A2906" t="str">
            <v>SF328-WX-1A</v>
          </cell>
          <cell r="B2906" t="str">
            <v>M5302001/SHM-26 REAX LR 60 X</v>
          </cell>
          <cell r="C2906">
            <v>64</v>
          </cell>
        </row>
        <row r="2907">
          <cell r="A2907" t="str">
            <v>SF329-WS-1A</v>
          </cell>
          <cell r="B2907" t="str">
            <v>N9545501/SHM-26 REAX MR 60 S</v>
          </cell>
          <cell r="C2907">
            <v>60.5</v>
          </cell>
        </row>
        <row r="2908">
          <cell r="A2908" t="str">
            <v>SF329-WX-1A</v>
          </cell>
          <cell r="B2908" t="str">
            <v>M5302101/SHM-26 REAX MR 60 X</v>
          </cell>
          <cell r="C2908">
            <v>62.5</v>
          </cell>
        </row>
        <row r="2909">
          <cell r="A2909" t="str">
            <v>SF330-WS-1A</v>
          </cell>
          <cell r="B2909" t="str">
            <v>N9545601/SHM-26 REAX MR 50 S</v>
          </cell>
          <cell r="C2909">
            <v>56.5</v>
          </cell>
        </row>
        <row r="2910">
          <cell r="A2910" t="str">
            <v>SF332-WA-1A</v>
          </cell>
          <cell r="B2910" t="str">
            <v>M5300501/SHM-26 REAX MR 40 A</v>
          </cell>
          <cell r="C2910">
            <v>49</v>
          </cell>
        </row>
        <row r="2911">
          <cell r="A2911" t="str">
            <v>SF332-WA-1B</v>
          </cell>
          <cell r="B2911" t="str">
            <v>M5303601/SHM-26 REAX 40 A</v>
          </cell>
          <cell r="C2911">
            <v>49</v>
          </cell>
        </row>
        <row r="2912">
          <cell r="A2912" t="str">
            <v>SF332-WL-1A</v>
          </cell>
          <cell r="B2912" t="str">
            <v>M5300601/SHM-26 REAX MR 40 L</v>
          </cell>
          <cell r="C2912">
            <v>44.5</v>
          </cell>
        </row>
        <row r="2913">
          <cell r="A2913" t="str">
            <v>SF332-WL-1B</v>
          </cell>
          <cell r="B2913" t="str">
            <v>M5303701/SHM-26 REAX 40 L</v>
          </cell>
          <cell r="C2913">
            <v>44.5</v>
          </cell>
        </row>
        <row r="2914">
          <cell r="A2914" t="str">
            <v>SF332-WR-1A</v>
          </cell>
          <cell r="B2914" t="str">
            <v>M5300401/SHM-26 REAX MR 40 R</v>
          </cell>
          <cell r="C2914">
            <v>43</v>
          </cell>
        </row>
        <row r="2915">
          <cell r="A2915" t="str">
            <v>SF332-WR-1B</v>
          </cell>
          <cell r="B2915" t="str">
            <v>M5303501/SHM-26 REAX 45 R</v>
          </cell>
          <cell r="C2915">
            <v>43</v>
          </cell>
        </row>
        <row r="2916">
          <cell r="A2916" t="str">
            <v>SF332-WS-1A</v>
          </cell>
          <cell r="B2916" t="str">
            <v>M5300201/SHM-26 REAX MR 40 S</v>
          </cell>
          <cell r="C2916">
            <v>45</v>
          </cell>
        </row>
        <row r="2917">
          <cell r="A2917" t="str">
            <v>SF332-WS-1B</v>
          </cell>
          <cell r="B2917" t="str">
            <v>M5303301/SHM-26 REAX 45 S</v>
          </cell>
          <cell r="C2917">
            <v>45</v>
          </cell>
        </row>
        <row r="2918">
          <cell r="A2918" t="str">
            <v>SF332-WSR1A</v>
          </cell>
          <cell r="B2918" t="str">
            <v>M5300301/SHM-26 REAX MR 40 SR</v>
          </cell>
          <cell r="C2918">
            <v>44</v>
          </cell>
        </row>
        <row r="2919">
          <cell r="A2919" t="str">
            <v>SF332-WSR1B</v>
          </cell>
          <cell r="B2919" t="str">
            <v>M5303401/SHM-26 REAX 45 SR</v>
          </cell>
          <cell r="C2919">
            <v>44</v>
          </cell>
        </row>
        <row r="2920">
          <cell r="A2920" t="str">
            <v>SF333-WS-1A</v>
          </cell>
          <cell r="B2920" t="str">
            <v>M5302301/SHM-26 REAX 75 S</v>
          </cell>
          <cell r="C2920">
            <v>68.5</v>
          </cell>
        </row>
        <row r="2921">
          <cell r="A2921" t="str">
            <v>SF333-WSR1A</v>
          </cell>
          <cell r="B2921" t="str">
            <v>M5302401/SHM-26 REAX 75 SR</v>
          </cell>
          <cell r="C2921">
            <v>66.5</v>
          </cell>
        </row>
        <row r="2922">
          <cell r="A2922" t="str">
            <v>SF333-WX-1A</v>
          </cell>
          <cell r="B2922" t="str">
            <v>M5302201/SHM-26 REAX 75 X</v>
          </cell>
          <cell r="C2922">
            <v>70</v>
          </cell>
        </row>
        <row r="2923">
          <cell r="A2923" t="str">
            <v>SF334-WS-1A</v>
          </cell>
          <cell r="B2923" t="str">
            <v>M5303101/SHM-26 REAX 65 S</v>
          </cell>
          <cell r="C2923">
            <v>62.5</v>
          </cell>
        </row>
        <row r="2924">
          <cell r="A2924" t="str">
            <v>SF334-WSR1A</v>
          </cell>
          <cell r="B2924" t="str">
            <v>M5303201/SHM-26 REAX 65 SR</v>
          </cell>
          <cell r="C2924">
            <v>60.5</v>
          </cell>
        </row>
        <row r="2925">
          <cell r="A2925" t="str">
            <v>SF334-WX-1A</v>
          </cell>
          <cell r="B2925" t="str">
            <v>M5302501/SHM-26 REAX 65 X</v>
          </cell>
          <cell r="C2925">
            <v>64</v>
          </cell>
        </row>
        <row r="2926">
          <cell r="A2926" t="str">
            <v>SF335-WS-1A</v>
          </cell>
          <cell r="B2926" t="str">
            <v>M5300901/SHM-26 REAX 55 S</v>
          </cell>
          <cell r="C2926">
            <v>56.5</v>
          </cell>
        </row>
        <row r="2927">
          <cell r="A2927" t="str">
            <v>SF340-IA-1A</v>
          </cell>
          <cell r="B2927" t="str">
            <v>N9541201/SHI REAX 40 A</v>
          </cell>
          <cell r="C2927">
            <v>55.5</v>
          </cell>
        </row>
        <row r="2928">
          <cell r="A2928" t="str">
            <v>SF340-IL-1A</v>
          </cell>
          <cell r="B2928" t="str">
            <v>N9541301/SHI REAX 40 L</v>
          </cell>
          <cell r="C2928">
            <v>52.5</v>
          </cell>
        </row>
        <row r="2929">
          <cell r="A2929" t="str">
            <v>SF313-WS-1A</v>
          </cell>
          <cell r="B2929" t="str">
            <v>N3714701/SHM-REAX 60 MR S</v>
          </cell>
          <cell r="C2929">
            <v>65</v>
          </cell>
        </row>
        <row r="2930">
          <cell r="A2930" t="str">
            <v>SF314-WA-1A</v>
          </cell>
          <cell r="B2930" t="str">
            <v>N3712301/SHM-REAX 50 HR A</v>
          </cell>
          <cell r="C2930">
            <v>54.5</v>
          </cell>
        </row>
        <row r="2931">
          <cell r="A2931" t="str">
            <v>SF314-WS-1A</v>
          </cell>
          <cell r="B2931" t="str">
            <v>N3712101/SHM-REAX 50 HR S</v>
          </cell>
          <cell r="C2931">
            <v>66.5</v>
          </cell>
        </row>
        <row r="2932">
          <cell r="A2932" t="str">
            <v>SF314-WX-1A</v>
          </cell>
          <cell r="B2932" t="str">
            <v>N3712001/SHM-REAX 50 HR X</v>
          </cell>
          <cell r="C2932">
            <v>67</v>
          </cell>
        </row>
        <row r="2933">
          <cell r="A2933" t="str">
            <v>SF325-WR-1A</v>
          </cell>
          <cell r="B2933" t="str">
            <v>N3721301/SHM-REAX 65 R</v>
          </cell>
          <cell r="C2933">
            <v>63</v>
          </cell>
        </row>
        <row r="2934">
          <cell r="A2934" t="str">
            <v>SF325-WX-1A</v>
          </cell>
          <cell r="B2934" t="str">
            <v>N3721101/SHM-REAX 75 X</v>
          </cell>
          <cell r="C2934">
            <v>80</v>
          </cell>
        </row>
        <row r="2935">
          <cell r="A2935" t="str">
            <v>SF341-WA-1A</v>
          </cell>
          <cell r="B2935" t="str">
            <v>M2538101/SHM-REAX 40 MR A</v>
          </cell>
          <cell r="C2935">
            <v>44</v>
          </cell>
        </row>
        <row r="2936">
          <cell r="A2936" t="str">
            <v>SF341-WL-1A</v>
          </cell>
          <cell r="B2936" t="str">
            <v>M2538201/SHM-REAX 40 MR L</v>
          </cell>
          <cell r="C2936">
            <v>43</v>
          </cell>
        </row>
        <row r="2937">
          <cell r="A2937" t="str">
            <v>SF341-WR-1A</v>
          </cell>
          <cell r="B2937" t="str">
            <v>M2538001/SHM-REAX 40 MR R</v>
          </cell>
          <cell r="C2937">
            <v>45</v>
          </cell>
        </row>
        <row r="2938">
          <cell r="A2938" t="str">
            <v>CW159-IW-1C</v>
          </cell>
          <cell r="B2938" t="str">
            <v>3586R1/SF IR/HY MCA ELDIO WHT/SLV 40 GR WMS</v>
          </cell>
          <cell r="C2938">
            <v>51</v>
          </cell>
        </row>
        <row r="2939">
          <cell r="A2939" t="str">
            <v>CW159-WW-1C</v>
          </cell>
          <cell r="B2939" t="str">
            <v>3585Y1/SF WD MCA ELDIO WHT/SLV 40 GR WMS</v>
          </cell>
          <cell r="C2939">
            <v>43.5</v>
          </cell>
        </row>
        <row r="2940">
          <cell r="A2940" t="str">
            <v>SF312-WS-1A</v>
          </cell>
          <cell r="B2940" t="str">
            <v>N3714401/SHM-REAX 60 LR S</v>
          </cell>
          <cell r="C2940">
            <v>67.5</v>
          </cell>
        </row>
        <row r="2941">
          <cell r="A2941" t="str">
            <v>SF312-WX-1A</v>
          </cell>
          <cell r="B2941" t="str">
            <v>N3714301/SHM-REAX 60 LR X</v>
          </cell>
          <cell r="C2941">
            <v>70.5</v>
          </cell>
        </row>
        <row r="2942">
          <cell r="A2942" t="str">
            <v>SF327-IA-1A</v>
          </cell>
          <cell r="B2942" t="str">
            <v>N3766301/SHI-REAX 45 A</v>
          </cell>
          <cell r="C2942">
            <v>63</v>
          </cell>
        </row>
        <row r="2943">
          <cell r="A2943" t="str">
            <v>SF327-IL-1A</v>
          </cell>
          <cell r="B2943" t="str">
            <v>N3766401/SHI-REAX 45 HY/IR (MCA) L</v>
          </cell>
          <cell r="C2943">
            <v>51</v>
          </cell>
        </row>
        <row r="2944">
          <cell r="A2944" t="str">
            <v>SF341-WA-1B</v>
          </cell>
          <cell r="B2944" t="str">
            <v>N3764901/SHM-REAX FW 45 A</v>
          </cell>
          <cell r="C2944">
            <v>44</v>
          </cell>
        </row>
        <row r="2945">
          <cell r="A2945" t="str">
            <v>SF341-WL-1B</v>
          </cell>
          <cell r="B2945" t="str">
            <v>N3765001/SHM-REAX FW 40 L</v>
          </cell>
          <cell r="C2945">
            <v>43</v>
          </cell>
        </row>
        <row r="2946">
          <cell r="A2946" t="str">
            <v>SF341-WR-1B</v>
          </cell>
          <cell r="B2946" t="str">
            <v>N3764801/SHM-REAX FW 45 R</v>
          </cell>
          <cell r="C2946">
            <v>45</v>
          </cell>
        </row>
        <row r="2947">
          <cell r="A2947" t="str">
            <v>CW180-WS-1A</v>
          </cell>
          <cell r="B2947" t="str">
            <v>3588W3/SF WD MCA TENSEI GRAY 60 GR STF JV</v>
          </cell>
          <cell r="C2947">
            <v>63.5</v>
          </cell>
        </row>
        <row r="2948">
          <cell r="A2948" t="str">
            <v>CW159-IW-1CY</v>
          </cell>
          <cell r="B2948" t="str">
            <v>3589M1/SF IR/HY MCA ELDIO WHT/SLV 40 GR WMS (DEMO)</v>
          </cell>
          <cell r="C2948">
            <v>51</v>
          </cell>
        </row>
        <row r="2949">
          <cell r="A2949" t="str">
            <v>SF327-IR-1A</v>
          </cell>
          <cell r="B2949" t="str">
            <v>N3766201/SHI-REAX 45 R</v>
          </cell>
          <cell r="C2949">
            <v>63</v>
          </cell>
        </row>
        <row r="2950">
          <cell r="A2950" t="str">
            <v>AU226-WTX1A</v>
          </cell>
          <cell r="B2950" t="str">
            <v>2693635/TENSEI 1K Blue w/X-Link 75 TX-Flex</v>
          </cell>
          <cell r="C2950">
            <v>77</v>
          </cell>
        </row>
        <row r="2951">
          <cell r="A2951" t="str">
            <v>MX946-WS-1A</v>
          </cell>
          <cell r="B2951" t="str">
            <v>DIAMANA™ BB-SERIES 43 S-FLEX</v>
          </cell>
          <cell r="C2951">
            <v>48</v>
          </cell>
        </row>
        <row r="2952">
          <cell r="A2952" t="str">
            <v>MX952-WR-1A</v>
          </cell>
          <cell r="B2952" t="str">
            <v>DIAMANA™ WB-SERIES 43 R-FLEX</v>
          </cell>
          <cell r="C2952">
            <v>44.5</v>
          </cell>
        </row>
        <row r="2953">
          <cell r="A2953" t="str">
            <v>MX960-WS-1AO</v>
          </cell>
          <cell r="B2953" t="str">
            <v>DIAMANA™ RB-SERIES 63 S-FLEX</v>
          </cell>
          <cell r="C2953">
            <v>62</v>
          </cell>
        </row>
        <row r="2954">
          <cell r="A2954" t="str">
            <v>MX697-IL-1AO</v>
          </cell>
          <cell r="B2954" t="str">
            <v>MMT™ Iron 40 L-flex (Parallel)</v>
          </cell>
          <cell r="C2954">
            <v>49.5</v>
          </cell>
        </row>
        <row r="2955">
          <cell r="A2955" t="str">
            <v>MX954-WS-1AO</v>
          </cell>
          <cell r="B2955" t="str">
            <v>DIAMANA™ WB-SERIES 63 S-FLEX</v>
          </cell>
          <cell r="C2955">
            <v>61</v>
          </cell>
        </row>
        <row r="2956">
          <cell r="A2956" t="str">
            <v>MX955-WS-1AO</v>
          </cell>
          <cell r="B2956" t="str">
            <v>DIAMANA™ WB-SERIES 73 S-FLEX</v>
          </cell>
          <cell r="C2956">
            <v>70</v>
          </cell>
        </row>
        <row r="2957">
          <cell r="A2957" t="str">
            <v>MX961-WS-1AO</v>
          </cell>
          <cell r="B2957" t="str">
            <v>DIAMANA™ RB-SERIES 73 S-FLEX</v>
          </cell>
          <cell r="C2957">
            <v>73.5</v>
          </cell>
        </row>
        <row r="2958">
          <cell r="A2958" t="str">
            <v>XG052-WR-1A</v>
          </cell>
          <cell r="B2958" t="str">
            <v>S-MC-KAILI-BLU-60-R/KAILI DARK WAVES BLUE 60-R</v>
          </cell>
          <cell r="C2958">
            <v>64.5</v>
          </cell>
        </row>
        <row r="2959">
          <cell r="A2959" t="str">
            <v>XG052-WS-1A</v>
          </cell>
          <cell r="B2959" t="str">
            <v>S-MC-KAILI-BLU-60-S/KAILI DARK WAVES BLUE 60-S</v>
          </cell>
          <cell r="C2959">
            <v>66.5</v>
          </cell>
        </row>
        <row r="2960">
          <cell r="A2960" t="str">
            <v>XG052-WX-1A</v>
          </cell>
          <cell r="B2960" t="str">
            <v>S-MC-KAILI-BLU-60-X/KAILI DARK WAVES BLUE 60-X</v>
          </cell>
          <cell r="C2960">
            <v>68.5</v>
          </cell>
        </row>
        <row r="2961">
          <cell r="A2961" t="str">
            <v>XG053-WS-1A</v>
          </cell>
          <cell r="B2961" t="str">
            <v>S-MC-KAILI-BLU-70-S//KAILI DARK WAVES BLUE 70-S</v>
          </cell>
          <cell r="C2961">
            <v>71.5</v>
          </cell>
        </row>
        <row r="2962">
          <cell r="A2962" t="str">
            <v>XG053-WX-1A</v>
          </cell>
          <cell r="B2962" t="str">
            <v>S-MC-KAILI-BLU-70-X//KAILI DARK WAVES BLUE 70-X</v>
          </cell>
          <cell r="C2962">
            <v>73.5</v>
          </cell>
        </row>
        <row r="2963">
          <cell r="A2963" t="str">
            <v>XG010-IS-1A</v>
          </cell>
          <cell r="B2963" t="str">
            <v>S-MMT-90-S MMT Parallel IRON 90S</v>
          </cell>
          <cell r="C2963">
            <v>99.5</v>
          </cell>
        </row>
        <row r="2964">
          <cell r="A2964" t="str">
            <v>SF299-WS-1A</v>
          </cell>
          <cell r="B2964" t="str">
            <v>N3302501/SHM-24 Diamana BK TM60 S</v>
          </cell>
          <cell r="C2964">
            <v>62</v>
          </cell>
        </row>
        <row r="2965">
          <cell r="A2965" t="str">
            <v>CW159-WW-1CY</v>
          </cell>
          <cell r="B2965" t="str">
            <v>3589S1/SF WD MCA ELDIO WHT/SLV 40 GR WMS (DEMO)</v>
          </cell>
          <cell r="C2965">
            <v>43.5</v>
          </cell>
        </row>
        <row r="2966">
          <cell r="A2966" t="str">
            <v>MX955-WTX1A</v>
          </cell>
          <cell r="B2966" t="str">
            <v>DIAMANA™ WB-SERIES 73 TX-FLEX</v>
          </cell>
          <cell r="C2966">
            <v>73</v>
          </cell>
        </row>
        <row r="2967">
          <cell r="A2967" t="str">
            <v>MX959-WR-1A</v>
          </cell>
          <cell r="B2967" t="str">
            <v>DIAMANA™ RB-SERIES 53 R-FLEX</v>
          </cell>
          <cell r="C2967">
            <v>50</v>
          </cell>
        </row>
        <row r="2968">
          <cell r="A2968" t="str">
            <v>MX959-WS-1A</v>
          </cell>
          <cell r="B2968" t="str">
            <v>DIAMANA™ RB-SERIES 53 S-FLEX</v>
          </cell>
          <cell r="C2968">
            <v>52</v>
          </cell>
        </row>
        <row r="2969">
          <cell r="A2969" t="str">
            <v>MX960-WS-1A</v>
          </cell>
          <cell r="B2969" t="str">
            <v>DIAMANA™ RB-SERIES 63 S-FLEX</v>
          </cell>
          <cell r="C2969">
            <v>62</v>
          </cell>
        </row>
        <row r="2970">
          <cell r="A2970" t="str">
            <v>MX961-WS-1A</v>
          </cell>
          <cell r="B2970" t="str">
            <v>DIAMANA™ RB-SERIES 73 S-FLEX</v>
          </cell>
          <cell r="C2970">
            <v>73.5</v>
          </cell>
        </row>
        <row r="2971">
          <cell r="A2971" t="str">
            <v>MX961-WX-1A</v>
          </cell>
          <cell r="B2971" t="str">
            <v>DIAMANA™ RB-SERIES 73 X-FLEX</v>
          </cell>
          <cell r="C2971">
            <v>74</v>
          </cell>
        </row>
        <row r="2972">
          <cell r="A2972" t="str">
            <v>MX954-WS-1A</v>
          </cell>
          <cell r="B2972" t="str">
            <v>DIAMANA™ WB-SERIES 63 S-FLEX</v>
          </cell>
          <cell r="C2972">
            <v>61</v>
          </cell>
        </row>
        <row r="2973">
          <cell r="A2973" t="str">
            <v>MX954-WTX1A</v>
          </cell>
          <cell r="B2973" t="str">
            <v>DIAMANA™ WB-SERIES 63 TX-FLEX</v>
          </cell>
          <cell r="C2973">
            <v>65</v>
          </cell>
        </row>
        <row r="2974">
          <cell r="A2974" t="str">
            <v>MX960-WR-1A</v>
          </cell>
          <cell r="B2974" t="str">
            <v>DIAMANA™ RB-SERIES 63 R-FLEX</v>
          </cell>
          <cell r="C2974">
            <v>59.5</v>
          </cell>
        </row>
        <row r="2975">
          <cell r="A2975" t="str">
            <v>SF331-WR-1A</v>
          </cell>
          <cell r="B2975" t="str">
            <v>M5300001/SHM-26 REAX HR 50 R</v>
          </cell>
          <cell r="C2975">
            <v>49</v>
          </cell>
        </row>
        <row r="2976">
          <cell r="A2976" t="str">
            <v>MX699-IA-1C</v>
          </cell>
          <cell r="B2976" t="str">
            <v>MMT PLATINUM IRON 80 R-FLEX</v>
          </cell>
          <cell r="C2976">
            <v>63.5</v>
          </cell>
        </row>
        <row r="2977">
          <cell r="A2977" t="str">
            <v>MX700-IR-1C</v>
          </cell>
          <cell r="B2977" t="str">
            <v>MMT PLATINUM IRON 90 S-FLEX</v>
          </cell>
          <cell r="C2977">
            <v>72.5</v>
          </cell>
        </row>
        <row r="2978">
          <cell r="A2978" t="str">
            <v>MX701-IR-1C</v>
          </cell>
          <cell r="B2978" t="str">
            <v>MMT Platinum Iron 80 R-Flex</v>
          </cell>
          <cell r="C2978">
            <v>83.5</v>
          </cell>
        </row>
        <row r="2979">
          <cell r="A2979" t="str">
            <v>MX727-IS-1C</v>
          </cell>
          <cell r="B2979" t="str">
            <v>MMT Platinum Iron 90 S-Flex</v>
          </cell>
          <cell r="C2979">
            <v>99.5</v>
          </cell>
        </row>
        <row r="2980">
          <cell r="A2980" t="str">
            <v>MX830-WR-1A</v>
          </cell>
          <cell r="B2980" t="str">
            <v>C6™ BLUE 50 R-FLEX</v>
          </cell>
          <cell r="C2980">
            <v>54.5</v>
          </cell>
        </row>
        <row r="2981">
          <cell r="A2981" t="str">
            <v>MX830-WS-1A</v>
          </cell>
          <cell r="B2981" t="str">
            <v>C6™ BLUE 50 S-FLEX</v>
          </cell>
          <cell r="C2981">
            <v>56</v>
          </cell>
        </row>
        <row r="2982">
          <cell r="A2982" t="str">
            <v>MX831-WR-1A</v>
          </cell>
          <cell r="B2982" t="str">
            <v>C6™ BLUE 60 R-FLEX</v>
          </cell>
          <cell r="C2982">
            <v>63.5</v>
          </cell>
        </row>
        <row r="2983">
          <cell r="A2983" t="str">
            <v>MX831-WS-1A</v>
          </cell>
          <cell r="B2983" t="str">
            <v>C6™ BLUE 60 S-FLEX</v>
          </cell>
          <cell r="C2983">
            <v>65.5</v>
          </cell>
        </row>
        <row r="2984">
          <cell r="A2984" t="str">
            <v>MX831-WX-1A</v>
          </cell>
          <cell r="B2984" t="str">
            <v>C6™ BLUE 60 X-FLEX</v>
          </cell>
          <cell r="C2984">
            <v>67</v>
          </cell>
        </row>
        <row r="2985">
          <cell r="A2985" t="str">
            <v>MX832-WS-1A</v>
          </cell>
          <cell r="B2985" t="str">
            <v>C6™ BLUE 70 S-FLEX</v>
          </cell>
          <cell r="C2985">
            <v>72</v>
          </cell>
        </row>
        <row r="2986">
          <cell r="A2986" t="str">
            <v>MX697-IL-1C</v>
          </cell>
          <cell r="B2986" t="str">
            <v>MMT PLATINUM IRON 70 R-FLEX</v>
          </cell>
          <cell r="C2986">
            <v>49.5</v>
          </cell>
        </row>
        <row r="2987">
          <cell r="A2987" t="str">
            <v>CW159-WW-1AY</v>
          </cell>
          <cell r="B2987" t="str">
            <v>3591P1/SF WD MCA VANQUISH 40 GR R3 (DEMO)</v>
          </cell>
          <cell r="C2987">
            <v>42.5</v>
          </cell>
        </row>
        <row r="2988">
          <cell r="A2988" t="str">
            <v>MX847-IL-1A</v>
          </cell>
          <cell r="B2988" t="str">
            <v>C6™ HYB 50 R3-FLEX</v>
          </cell>
          <cell r="C2988">
            <v>56</v>
          </cell>
        </row>
        <row r="2989">
          <cell r="A2989" t="str">
            <v>MX848-IA-1A</v>
          </cell>
          <cell r="B2989" t="str">
            <v>C6™ HYB 60 R2-FLEX</v>
          </cell>
          <cell r="C2989">
            <v>67.5</v>
          </cell>
        </row>
        <row r="2990">
          <cell r="A2990" t="str">
            <v>MX848-IR-1A</v>
          </cell>
          <cell r="B2990" t="str">
            <v>C6™ HYB 60 R-FLEX</v>
          </cell>
          <cell r="C2990">
            <v>70</v>
          </cell>
        </row>
        <row r="2991">
          <cell r="A2991" t="str">
            <v>MX849-IR-1A</v>
          </cell>
          <cell r="B2991" t="str">
            <v>C6™ HYB 70 R-FLEX</v>
          </cell>
          <cell r="C2991">
            <v>78.5</v>
          </cell>
        </row>
        <row r="2992">
          <cell r="A2992" t="str">
            <v>MX850-IS-1A</v>
          </cell>
          <cell r="B2992" t="str">
            <v>C6™ HYB 80 S-FLEX</v>
          </cell>
          <cell r="C2992">
            <v>84</v>
          </cell>
        </row>
        <row r="2993">
          <cell r="A2993" t="str">
            <v>MX851-ILL1A</v>
          </cell>
          <cell r="B2993" t="str">
            <v>C6™ IRON 40 R3-FLEX</v>
          </cell>
          <cell r="C2993">
            <v>49.5</v>
          </cell>
        </row>
        <row r="2994">
          <cell r="A2994" t="str">
            <v>MX852-IL-1A</v>
          </cell>
          <cell r="B2994" t="str">
            <v>C6™ IRON 50 R3-FLEX</v>
          </cell>
          <cell r="C2994">
            <v>56</v>
          </cell>
        </row>
        <row r="2995">
          <cell r="A2995" t="str">
            <v>MX853-IA-1A</v>
          </cell>
          <cell r="B2995" t="str">
            <v>C6™ IRON 60 R2-FLEX</v>
          </cell>
          <cell r="C2995">
            <v>67.5</v>
          </cell>
        </row>
        <row r="2996">
          <cell r="A2996" t="str">
            <v>MX853-IR-1A</v>
          </cell>
          <cell r="B2996" t="str">
            <v>C6™ IRON 60 R-FLEX</v>
          </cell>
          <cell r="C2996">
            <v>70</v>
          </cell>
        </row>
        <row r="2997">
          <cell r="A2997" t="str">
            <v>MX855-IS-1A</v>
          </cell>
          <cell r="B2997" t="str">
            <v>C6™ IRON 80 S-FLEX</v>
          </cell>
          <cell r="C2997">
            <v>84</v>
          </cell>
        </row>
        <row r="2998">
          <cell r="A2998" t="str">
            <v>CW180-WSR1A</v>
          </cell>
          <cell r="B2998" t="str">
            <v>3588W5/SF WD MCA TENSEI GRAY 60 GR SR JV</v>
          </cell>
          <cell r="C2998">
            <v>60.5</v>
          </cell>
        </row>
        <row r="2999">
          <cell r="A2999" t="str">
            <v>CW180-WX-1A</v>
          </cell>
          <cell r="B2999" t="str">
            <v>3588W4/SF WD MCA TENSEI GRAY 60 GR XST JV</v>
          </cell>
          <cell r="C2999">
            <v>66</v>
          </cell>
        </row>
        <row r="3000">
          <cell r="A3000" t="str">
            <v>CW181-WS-1A</v>
          </cell>
          <cell r="B3000" t="str">
            <v>3587U3/SF WD MCA TENSEI GRAY 70 GR STF JV</v>
          </cell>
          <cell r="C3000">
            <v>73</v>
          </cell>
        </row>
        <row r="3001">
          <cell r="A3001" t="str">
            <v>CW181-WSR1A</v>
          </cell>
          <cell r="B3001" t="str">
            <v>3587U5/SF WD MCA TENSEI GRAY 70 GR SR JV</v>
          </cell>
          <cell r="C3001">
            <v>71</v>
          </cell>
        </row>
        <row r="3002">
          <cell r="A3002" t="str">
            <v>CW181-WX-1A</v>
          </cell>
          <cell r="B3002" t="str">
            <v>3591G4/SF WD MCA TENSEI GRAY 70 GR XST JV</v>
          </cell>
          <cell r="C3002">
            <v>75</v>
          </cell>
        </row>
        <row r="3003">
          <cell r="A3003" t="str">
            <v>CB044-WW-1B</v>
          </cell>
          <cell r="B3003" t="str">
            <v>SD22GL005460 /SH DF MCA VANQUISH PL 4 GL 460 (W)</v>
          </cell>
          <cell r="C3003">
            <v>42.5</v>
          </cell>
        </row>
        <row r="3004">
          <cell r="A3004" t="str">
            <v>MX948-WSR1A</v>
          </cell>
          <cell r="B3004" t="str">
            <v>DIAMANA™ BB-SERIES 63 SR-FLEX</v>
          </cell>
          <cell r="C3004">
            <v>60.5</v>
          </cell>
        </row>
        <row r="3005">
          <cell r="A3005" t="str">
            <v>MX956-WTX1A</v>
          </cell>
          <cell r="B3005" t="str">
            <v>DIAMANA™ WB-SERIES 83 TX-FLEX</v>
          </cell>
          <cell r="C3005">
            <v>83.5</v>
          </cell>
        </row>
        <row r="3006">
          <cell r="A3006" t="str">
            <v>MX826-WA-1A</v>
          </cell>
          <cell r="B3006" t="str">
            <v>C6™ RED 40 R2-FLEX</v>
          </cell>
          <cell r="C3006">
            <v>49</v>
          </cell>
        </row>
        <row r="3007">
          <cell r="A3007" t="str">
            <v>MX827-WA-1A</v>
          </cell>
          <cell r="B3007" t="str">
            <v>C6™ RED 50 R2-FLEX</v>
          </cell>
          <cell r="C3007">
            <v>58.5</v>
          </cell>
        </row>
        <row r="3008">
          <cell r="A3008" t="str">
            <v>MX827-WR-1A</v>
          </cell>
          <cell r="B3008" t="str">
            <v>C6™ RED 50 R-FLEX</v>
          </cell>
          <cell r="C3008">
            <v>60.5</v>
          </cell>
        </row>
        <row r="3009">
          <cell r="A3009" t="str">
            <v>MX828-WR-1A</v>
          </cell>
          <cell r="B3009" t="str">
            <v>C6™ RED 60 R-FLEX</v>
          </cell>
          <cell r="C3009">
            <v>63.5</v>
          </cell>
        </row>
        <row r="3010">
          <cell r="A3010" t="str">
            <v>MX828-WS-1A</v>
          </cell>
          <cell r="B3010" t="str">
            <v>C6™ RED 60 S-FLEX</v>
          </cell>
          <cell r="C3010">
            <v>65.5</v>
          </cell>
        </row>
        <row r="3011">
          <cell r="A3011" t="str">
            <v>MX829-WS-1A</v>
          </cell>
          <cell r="B3011" t="str">
            <v>C6™ RED 70 S-FLEX</v>
          </cell>
          <cell r="C3011">
            <v>72.5</v>
          </cell>
        </row>
        <row r="3012">
          <cell r="A3012" t="str">
            <v>MY013-WS-1A</v>
          </cell>
          <cell r="B3012" t="str">
            <v>KAI'LI DARK WAVES CB WHITE 60S</v>
          </cell>
          <cell r="C3012">
            <v>65</v>
          </cell>
        </row>
        <row r="3013">
          <cell r="A3013" t="str">
            <v>MY013-WX-1A</v>
          </cell>
          <cell r="B3013" t="str">
            <v>KAI'LI DARK WAVES CB WHITE 60X</v>
          </cell>
          <cell r="C3013">
            <v>67</v>
          </cell>
        </row>
        <row r="3014">
          <cell r="A3014" t="str">
            <v>MY014-WS-1A</v>
          </cell>
          <cell r="B3014" t="str">
            <v>KAI'LI DARK WAVES CB WHITE 70S</v>
          </cell>
          <cell r="C3014">
            <v>74</v>
          </cell>
        </row>
        <row r="3015">
          <cell r="A3015" t="str">
            <v>MY014-WX-1A</v>
          </cell>
          <cell r="B3015" t="str">
            <v>KAI'LI DARK WAVES CB WHITE 70X</v>
          </cell>
          <cell r="C3015">
            <v>76</v>
          </cell>
        </row>
        <row r="3016">
          <cell r="A3016" t="str">
            <v>MY015-WA-1A</v>
          </cell>
          <cell r="B3016" t="str">
            <v>KAI'LI DARK WAVES CB RED 40R2</v>
          </cell>
          <cell r="C3016">
            <v>45</v>
          </cell>
        </row>
        <row r="3017">
          <cell r="A3017" t="str">
            <v>MY015-WL-1A</v>
          </cell>
          <cell r="B3017" t="str">
            <v>KAI'LI DARK WAVES CB RED 40R3</v>
          </cell>
          <cell r="C3017">
            <v>44</v>
          </cell>
        </row>
        <row r="3018">
          <cell r="A3018" t="str">
            <v>MY015-WR-1A</v>
          </cell>
          <cell r="B3018" t="str">
            <v>KAI'LI DARK WAVES CB RED 40R</v>
          </cell>
          <cell r="C3018">
            <v>46</v>
          </cell>
        </row>
        <row r="3019">
          <cell r="A3019" t="str">
            <v>MY016-WA-1A</v>
          </cell>
          <cell r="B3019" t="str">
            <v>KAI'LI DARK WAVES CB RED 50R2</v>
          </cell>
          <cell r="C3019">
            <v>52</v>
          </cell>
        </row>
        <row r="3020">
          <cell r="A3020" t="str">
            <v>MY016-WR-1A</v>
          </cell>
          <cell r="B3020" t="str">
            <v>KAI'LI DARK WAVES CB RED 50R</v>
          </cell>
          <cell r="C3020">
            <v>53</v>
          </cell>
        </row>
        <row r="3021">
          <cell r="A3021" t="str">
            <v>MY016-WS-1A</v>
          </cell>
          <cell r="B3021" t="str">
            <v>KAI'LI DARK WAVES CB RED 50S</v>
          </cell>
          <cell r="C3021">
            <v>54.5</v>
          </cell>
        </row>
        <row r="3022">
          <cell r="A3022" t="str">
            <v>MY017-WS-1A</v>
          </cell>
          <cell r="B3022" t="str">
            <v>KAI'LI DARK WAVES CB RED 60S</v>
          </cell>
          <cell r="C3022">
            <v>64.5</v>
          </cell>
        </row>
        <row r="3023">
          <cell r="A3023" t="str">
            <v>CB049-WR-1A</v>
          </cell>
          <cell r="B3023" t="str">
            <v>SD22GR154460/SH DF MCA TENSEI 1K BLUE 65 GR 460</v>
          </cell>
          <cell r="C3023">
            <v>63.5</v>
          </cell>
        </row>
        <row r="3024">
          <cell r="A3024" t="str">
            <v>CB049-WS-1A</v>
          </cell>
          <cell r="B3024" t="str">
            <v>SD22GS272460/SH DF MCA TENSEI 1K BLUE 65 GS 460</v>
          </cell>
          <cell r="C3024">
            <v>65.5</v>
          </cell>
        </row>
        <row r="3025">
          <cell r="A3025" t="str">
            <v>MX835-WS-1AO</v>
          </cell>
          <cell r="B3025" t="str">
            <v>TENSEI™ AV BLUE W/XLINK 65 S-Flex</v>
          </cell>
          <cell r="C3025">
            <v>67.5</v>
          </cell>
        </row>
        <row r="3026">
          <cell r="A3026" t="str">
            <v>MX950-WS-1A</v>
          </cell>
          <cell r="B3026" t="str">
            <v>DIAMANA™ BB-SERIES 83 S-FLEX</v>
          </cell>
          <cell r="C3026">
            <v>80</v>
          </cell>
        </row>
        <row r="3027">
          <cell r="A3027" t="str">
            <v>MX952-WA-1A</v>
          </cell>
          <cell r="B3027" t="str">
            <v>DIAMANA™ WB-SERIES 43 A-FLEX</v>
          </cell>
          <cell r="C3027">
            <v>43</v>
          </cell>
        </row>
        <row r="3028">
          <cell r="A3028" t="str">
            <v>MY015-WA-1AC</v>
          </cell>
          <cell r="B3028" t="str">
            <v>KAILI RED CB 40 R2 (DEMO)</v>
          </cell>
          <cell r="C3028">
            <v>45</v>
          </cell>
        </row>
        <row r="3029">
          <cell r="A3029" t="str">
            <v>CW182-WS-1A</v>
          </cell>
          <cell r="B3029" t="str">
            <v>3593Q3/SF WD MCA TENSEI GRAY 50 GR STF JV</v>
          </cell>
          <cell r="C3029">
            <v>54.5</v>
          </cell>
        </row>
        <row r="3030">
          <cell r="A3030" t="str">
            <v>MX794-ITX1A</v>
          </cell>
          <cell r="B3030" t="str">
            <v>MMT™ Hybrid 80 TX-FLEX</v>
          </cell>
          <cell r="C3030">
            <v>92.5</v>
          </cell>
        </row>
        <row r="3031">
          <cell r="A3031" t="str">
            <v>MX948-WS-1AT</v>
          </cell>
          <cell r="B3031" t="str">
            <v>DIAMANA BB 60 S-Flex (DEMO)</v>
          </cell>
          <cell r="C3031">
            <v>61</v>
          </cell>
        </row>
        <row r="3032">
          <cell r="A3032" t="str">
            <v>MX948-WX-1AT</v>
          </cell>
          <cell r="B3032" t="str">
            <v>DIAMANA BB 60 X-Flex (DEMO)</v>
          </cell>
          <cell r="C3032">
            <v>61.5</v>
          </cell>
        </row>
        <row r="3033">
          <cell r="A3033" t="str">
            <v>MX949-WS-1AT</v>
          </cell>
          <cell r="B3033" t="str">
            <v>DIAMANA BB 70 S-Flex (DEMO)</v>
          </cell>
          <cell r="C3033">
            <v>70</v>
          </cell>
        </row>
        <row r="3034">
          <cell r="A3034" t="str">
            <v>MX949-WX-1AT</v>
          </cell>
          <cell r="B3034" t="str">
            <v>DIAMANA BB 70 X-Flex (DEMO)</v>
          </cell>
          <cell r="C3034">
            <v>70.5</v>
          </cell>
        </row>
        <row r="3035">
          <cell r="A3035" t="str">
            <v>MX954-WS-1AT</v>
          </cell>
          <cell r="B3035" t="str">
            <v>DIAMANA WB 63 S-Flex (DEMO)</v>
          </cell>
          <cell r="C3035">
            <v>61</v>
          </cell>
        </row>
        <row r="3036">
          <cell r="A3036" t="str">
            <v>MX954-WX-1AT</v>
          </cell>
          <cell r="B3036" t="str">
            <v>DIAMANA WB 63 TX-Flex (DEMO)</v>
          </cell>
          <cell r="C3036">
            <v>63.5</v>
          </cell>
        </row>
        <row r="3037">
          <cell r="A3037" t="str">
            <v>MX955-WS-1AT</v>
          </cell>
          <cell r="B3037" t="str">
            <v>DIAMANA WB 73 S-Flex (DEMO)</v>
          </cell>
          <cell r="C3037">
            <v>70</v>
          </cell>
        </row>
        <row r="3038">
          <cell r="A3038" t="str">
            <v>MX955-WX-1AT</v>
          </cell>
          <cell r="B3038" t="str">
            <v>DIAMANA WB 73 X-Flex (DEMO)</v>
          </cell>
          <cell r="C3038">
            <v>72</v>
          </cell>
        </row>
        <row r="3039">
          <cell r="A3039" t="str">
            <v>YR194-UA-1A</v>
          </cell>
          <cell r="B3039" t="str">
            <v>EU261-35D/26 SUPER egg Utility A-flex</v>
          </cell>
          <cell r="C3039">
            <v>45.5</v>
          </cell>
        </row>
        <row r="3040">
          <cell r="A3040" t="str">
            <v>YR194-UL-1A</v>
          </cell>
          <cell r="B3040" t="str">
            <v>EU261L30D/26 SUPER egg Utility L-flex</v>
          </cell>
          <cell r="C3040">
            <v>44</v>
          </cell>
        </row>
        <row r="3041">
          <cell r="A3041" t="str">
            <v>YR194-UR-1A</v>
          </cell>
          <cell r="B3041" t="str">
            <v>EU261-37D/26 SUPER egg Utility R-flex</v>
          </cell>
          <cell r="C3041">
            <v>46</v>
          </cell>
        </row>
        <row r="3042">
          <cell r="A3042" t="str">
            <v>YR194-US-1A</v>
          </cell>
          <cell r="B3042" t="str">
            <v>EU261-43D/26 SUPER egg Utility S-flex</v>
          </cell>
          <cell r="C3042">
            <v>51</v>
          </cell>
        </row>
        <row r="3043">
          <cell r="A3043" t="str">
            <v>YR194-USR1A</v>
          </cell>
          <cell r="B3043" t="str">
            <v>EU261-40D/26 SUPER egg Utility SR-flex</v>
          </cell>
          <cell r="C3043">
            <v>47.5</v>
          </cell>
        </row>
        <row r="3044">
          <cell r="A3044" t="str">
            <v>YR194-WA-3A</v>
          </cell>
          <cell r="B3044" t="str">
            <v>EF261-37C/26 SUPER egg FW A-flex</v>
          </cell>
          <cell r="C3044">
            <v>44.5</v>
          </cell>
        </row>
        <row r="3045">
          <cell r="A3045" t="str">
            <v>YR194-WA-3B</v>
          </cell>
          <cell r="B3045" t="str">
            <v>EF262-37C/26 SUPER egg FW A-flex</v>
          </cell>
          <cell r="C3045">
            <v>45</v>
          </cell>
        </row>
        <row r="3046">
          <cell r="A3046" t="str">
            <v>YR194-WL-3A</v>
          </cell>
          <cell r="B3046" t="str">
            <v>EF261L30C/26 SUPER egg FW A-flex</v>
          </cell>
          <cell r="C3046">
            <v>40.5</v>
          </cell>
        </row>
        <row r="3047">
          <cell r="A3047" t="str">
            <v>YR194-WL-3B</v>
          </cell>
          <cell r="B3047" t="str">
            <v>EF262L30C/26 SUPER egg FW L-flex</v>
          </cell>
          <cell r="C3047">
            <v>41</v>
          </cell>
        </row>
        <row r="3048">
          <cell r="A3048" t="str">
            <v>YR194-WLA3A</v>
          </cell>
          <cell r="B3048" t="str">
            <v>EF261-35C/26 SUPER egg FW LA-flex</v>
          </cell>
          <cell r="C3048">
            <v>42.5</v>
          </cell>
        </row>
        <row r="3049">
          <cell r="A3049" t="str">
            <v>YR194-WR-3A</v>
          </cell>
          <cell r="B3049" t="str">
            <v>EF261-40C/26 SUPER egg FW R-flex</v>
          </cell>
          <cell r="C3049">
            <v>47.5</v>
          </cell>
        </row>
        <row r="3050">
          <cell r="A3050" t="str">
            <v>YR194-WR-3B</v>
          </cell>
          <cell r="B3050" t="str">
            <v>EF262-40C/26 SUPER egg FW R-flex</v>
          </cell>
          <cell r="C3050">
            <v>48</v>
          </cell>
        </row>
        <row r="3051">
          <cell r="A3051" t="str">
            <v>YR194-WS-3A</v>
          </cell>
          <cell r="B3051" t="str">
            <v>EF261-43C/26 SUPER egg FW S-flex</v>
          </cell>
          <cell r="C3051">
            <v>55</v>
          </cell>
        </row>
        <row r="3052">
          <cell r="A3052" t="str">
            <v>CW182-WSR1A</v>
          </cell>
          <cell r="B3052" t="str">
            <v>3593Q9 /SF WD MCA TENSEI GRAY 50 GR SR JV</v>
          </cell>
          <cell r="C3052">
            <v>52.5</v>
          </cell>
        </row>
        <row r="3053">
          <cell r="A3053" t="str">
            <v>MX721-IS-7AC</v>
          </cell>
          <cell r="B3053" t="str">
            <v>MMT TTIP 125 GR STF 37.0 (DEMO)</v>
          </cell>
          <cell r="C3053">
            <v>124</v>
          </cell>
        </row>
        <row r="3054">
          <cell r="A3054" t="str">
            <v>MX681-IS-7AC</v>
          </cell>
          <cell r="B3054" t="str">
            <v>MMT TTIP 105 GR STF 37 (DEMO)</v>
          </cell>
          <cell r="C3054">
            <v>109</v>
          </cell>
        </row>
        <row r="3055">
          <cell r="A3055" t="str">
            <v>SF348-WX-1A</v>
          </cell>
          <cell r="B3055" t="str">
            <v>M2512401/SHM-REAX 60 HR X</v>
          </cell>
          <cell r="C3055">
            <v>68.5</v>
          </cell>
        </row>
        <row r="3056">
          <cell r="A3056" t="str">
            <v>MX792-IA-1A</v>
          </cell>
          <cell r="B3056" t="str">
            <v>MMT™ Hybrid 60 A-FLEX</v>
          </cell>
          <cell r="C3056">
            <v>64.5</v>
          </cell>
        </row>
        <row r="3057">
          <cell r="A3057" t="str">
            <v>MX876-WR-1BC</v>
          </cell>
          <cell r="B3057" t="str">
            <v>KAILI Dark Waves Red 60 R (DEMO)</v>
          </cell>
          <cell r="C3057">
            <v>64</v>
          </cell>
        </row>
        <row r="3058">
          <cell r="A3058" t="str">
            <v>MX934-IX-1AC</v>
          </cell>
          <cell r="B3058" t="str">
            <v>SF HY MCA TENSEI 1K BLK 95 X DM</v>
          </cell>
          <cell r="C3058">
            <v>103.5</v>
          </cell>
        </row>
        <row r="3059">
          <cell r="A3059" t="str">
            <v>MX936-WR-1BC</v>
          </cell>
          <cell r="B3059" t="str">
            <v>KAILI Dark Waves Red 50 R (DEMO)</v>
          </cell>
          <cell r="C3059">
            <v>53.5</v>
          </cell>
        </row>
        <row r="3060">
          <cell r="A3060" t="str">
            <v>MY015-WR-1AC</v>
          </cell>
          <cell r="B3060" t="str">
            <v>KAILI RED CB 40 REG (DEMO)</v>
          </cell>
          <cell r="C3060">
            <v>46</v>
          </cell>
        </row>
        <row r="3061">
          <cell r="A3061" t="str">
            <v>CW150-WS-1B</v>
          </cell>
          <cell r="B3061" t="str">
            <v>3591S3 /SF WD MCA TENSEI CR BLU 50 GR STF</v>
          </cell>
          <cell r="C3061">
            <v>59.5</v>
          </cell>
        </row>
        <row r="3062">
          <cell r="A3062" t="str">
            <v>CW151-WR-3B</v>
          </cell>
          <cell r="B3062" t="str">
            <v>3591T2 /SF WD MCA TENSEI CR BLU 60 GR REG</v>
          </cell>
          <cell r="C3062">
            <v>71</v>
          </cell>
        </row>
        <row r="3063">
          <cell r="A3063" t="str">
            <v>CW151-WS-3B</v>
          </cell>
          <cell r="B3063" t="str">
            <v>3591T3 /SF WD MCA TENSEI CR BLU 60 GR STF</v>
          </cell>
          <cell r="C3063">
            <v>74</v>
          </cell>
        </row>
        <row r="3064">
          <cell r="A3064" t="str">
            <v>CW150-WR-1B</v>
          </cell>
          <cell r="B3064" t="str">
            <v>3591S2 /SF WD MCA TENSEI CR BLU 50 GR REG</v>
          </cell>
          <cell r="C3064">
            <v>56.5</v>
          </cell>
        </row>
        <row r="3065">
          <cell r="A3065" t="str">
            <v>YR195-IS-PA</v>
          </cell>
          <cell r="B3065" t="str">
            <v>DIAM-43W1/0TOUR WEDGE FLEX-S</v>
          </cell>
          <cell r="C3065">
            <v>78</v>
          </cell>
        </row>
        <row r="3066">
          <cell r="A3066" t="str">
            <v>CL047-IA-1A</v>
          </cell>
          <cell r="B3066" t="str">
            <v>MMT IRON 60G A-FLEX</v>
          </cell>
          <cell r="C3066">
            <v>63</v>
          </cell>
        </row>
        <row r="3067">
          <cell r="A3067" t="str">
            <v>CL047-IR-1A</v>
          </cell>
          <cell r="B3067" t="str">
            <v>MMT IRON 60G R-FLEX</v>
          </cell>
          <cell r="C3067">
            <v>64</v>
          </cell>
        </row>
        <row r="3068">
          <cell r="A3068" t="str">
            <v>CL048-IS-1A</v>
          </cell>
          <cell r="B3068" t="str">
            <v>MMT IRON 80G S-FLEX</v>
          </cell>
          <cell r="C3068">
            <v>85.5</v>
          </cell>
        </row>
        <row r="3069">
          <cell r="A3069" t="str">
            <v>MX954-WS-1B</v>
          </cell>
          <cell r="B3069" t="str">
            <v>DIAMANA WB 63 S-FLEX BLACKOUT</v>
          </cell>
          <cell r="C3069">
            <v>60.5</v>
          </cell>
        </row>
        <row r="3070">
          <cell r="A3070" t="str">
            <v>MX954-WX-1B</v>
          </cell>
          <cell r="B3070" t="str">
            <v>DIAMANA WB 63 X-FLEX BLACKOUT</v>
          </cell>
          <cell r="C3070">
            <v>63</v>
          </cell>
        </row>
        <row r="3071">
          <cell r="A3071" t="str">
            <v>MX959-WS-1AT</v>
          </cell>
          <cell r="B3071" t="str">
            <v>DIAMANA RB 53 S-FLEX (DEMO)</v>
          </cell>
          <cell r="C3071">
            <v>52</v>
          </cell>
        </row>
        <row r="3072">
          <cell r="A3072" t="str">
            <v>MX960-WS-1AT</v>
          </cell>
          <cell r="B3072" t="str">
            <v>DIAMANA RB 63 S-FLEX (DEMO)</v>
          </cell>
          <cell r="C3072">
            <v>62</v>
          </cell>
        </row>
        <row r="3073">
          <cell r="A3073" t="str">
            <v>SF312-WR-1A</v>
          </cell>
          <cell r="B3073" t="str">
            <v>N3714501/SHM-REAX 60 HR R</v>
          </cell>
          <cell r="C3073">
            <v>63</v>
          </cell>
        </row>
        <row r="3074">
          <cell r="A3074" t="str">
            <v>CW183-IR-2B</v>
          </cell>
          <cell r="B3074" t="str">
            <v>3591U2/SF IR/HY MCA TENSEI CR BLU 55 GR REG</v>
          </cell>
          <cell r="C3074">
            <v>57</v>
          </cell>
        </row>
        <row r="3075">
          <cell r="A3075" t="str">
            <v>CW183-IS-2B</v>
          </cell>
          <cell r="B3075" t="str">
            <v>3591U3/SF IR/HY MCA TENSEI CR BLU 55 GR STF</v>
          </cell>
          <cell r="C3075">
            <v>59</v>
          </cell>
        </row>
        <row r="3076">
          <cell r="A3076" t="str">
            <v>CL049-WL-1A</v>
          </cell>
          <cell r="B3076" t="str">
            <v>BASSARA PL 40 R3 DR</v>
          </cell>
          <cell r="C3076">
            <v>42</v>
          </cell>
        </row>
        <row r="3077">
          <cell r="A3077" t="str">
            <v>CL049-WL-3A</v>
          </cell>
          <cell r="B3077" t="str">
            <v>BASSARA PL 40 R3 FW</v>
          </cell>
        </row>
        <row r="3078">
          <cell r="A3078" t="str">
            <v>AU233-WS-1A</v>
          </cell>
          <cell r="B3078" t="str">
            <v>2694305/SHAFT DRIVER/FAIRWAY TENSEI 1K BLUE RIP 55 S 46.0</v>
          </cell>
          <cell r="C3078">
            <v>57.5</v>
          </cell>
        </row>
        <row r="3079">
          <cell r="A3079" t="str">
            <v>AU234-WS-1A</v>
          </cell>
          <cell r="B3079" t="str">
            <v>2694311/SHAFT DRIVER/FAIRWAY TENSEI 1K BLUE RIP 65 S 46.0</v>
          </cell>
          <cell r="C3079">
            <v>67.5</v>
          </cell>
        </row>
        <row r="3080">
          <cell r="A3080" t="str">
            <v>AU235-WS-1A</v>
          </cell>
          <cell r="B3080" t="str">
            <v>2694317/SHAFT DRIVER/FAIRWAY TENSEI 1K BLUE RIP 75 S 46.0</v>
          </cell>
          <cell r="C3080">
            <v>75</v>
          </cell>
        </row>
        <row r="3081">
          <cell r="A3081" t="str">
            <v>AU236-WS-1A</v>
          </cell>
          <cell r="B3081" t="str">
            <v>2694345/SHAFT DRIVER/FAIRWAY TENSEI 1K WHITE RIP 65 S 46.0</v>
          </cell>
          <cell r="C3081">
            <v>66</v>
          </cell>
        </row>
        <row r="3082">
          <cell r="A3082" t="str">
            <v>AU237-WS-1A</v>
          </cell>
          <cell r="B3082" t="str">
            <v>2694351/SHAFT DRIVER/FAIRWAY TENSEI 1K WHITE RIP 75 S 46.0</v>
          </cell>
          <cell r="C3082">
            <v>75</v>
          </cell>
        </row>
        <row r="3083">
          <cell r="A3083" t="str">
            <v>AU238-WS-1A</v>
          </cell>
          <cell r="B3083" t="str">
            <v>2694357/SHAFT DRIVER/FAIRWAY TENSEI 1K WHITE RIP 85 S 46.0</v>
          </cell>
          <cell r="C3083">
            <v>87</v>
          </cell>
        </row>
        <row r="3084">
          <cell r="A3084" t="str">
            <v>AU233-WA-1A</v>
          </cell>
          <cell r="B3084" t="str">
            <v>2694301/SHAFT DRIVER/FAIRWAY TENSEI 1K BLUE RIP 55 R2 46.0</v>
          </cell>
          <cell r="C3084">
            <v>55.5</v>
          </cell>
        </row>
        <row r="3085">
          <cell r="A3085" t="str">
            <v>AU233-WR-1A</v>
          </cell>
          <cell r="B3085" t="str">
            <v>2694303/SHAFT DRIVER/FAIRWAY TENSEI 1K BLUE RIP 55 R 46.0</v>
          </cell>
          <cell r="C3085">
            <v>57</v>
          </cell>
        </row>
        <row r="3086">
          <cell r="A3086" t="str">
            <v>AU233-WX-1A</v>
          </cell>
          <cell r="B3086" t="str">
            <v>2694307/SHAFT DRIVER/FAIRWAY TENSEI 1K BLUE RIP 55 X 46.0</v>
          </cell>
          <cell r="C3086">
            <v>60.5</v>
          </cell>
        </row>
        <row r="3087">
          <cell r="A3087" t="str">
            <v>AU234-WR-1A</v>
          </cell>
          <cell r="B3087" t="str">
            <v>2694309/SHAFT DRIVER/FAIRWAY TENSEI 1K BLUE RIP 65 R 46.0</v>
          </cell>
          <cell r="C3087">
            <v>65.5</v>
          </cell>
        </row>
        <row r="3088">
          <cell r="A3088" t="str">
            <v>AU234-WX-1A</v>
          </cell>
          <cell r="B3088" t="str">
            <v>2694313/SHAFT DRIVER/FAIRWAY TENSEI 1K BLUE RIP 65 X 46.0</v>
          </cell>
          <cell r="C3088">
            <v>69.5</v>
          </cell>
        </row>
        <row r="3089">
          <cell r="A3089" t="str">
            <v>AU235-WX-1A</v>
          </cell>
          <cell r="B3089" t="str">
            <v>2694319/SHAFT DRIVER/FAIRWAY TENSEI 1K BLUE RIP 75 X 46.0</v>
          </cell>
          <cell r="C3089">
            <v>77.5</v>
          </cell>
        </row>
        <row r="3090">
          <cell r="A3090" t="str">
            <v>AU236-WX-1A</v>
          </cell>
          <cell r="B3090" t="str">
            <v>2694347/SHAFT DRIVER/FAIRWAY TENSEI 1K WHITE RIP 65 X 46.0</v>
          </cell>
          <cell r="C3090">
            <v>69.5</v>
          </cell>
        </row>
        <row r="3091">
          <cell r="A3091" t="str">
            <v>AU237-WX-1A</v>
          </cell>
          <cell r="B3091" t="str">
            <v>2694353/SHAFT DRIVER/FAIRWAY TENSEI 1K WHITE RIP 75 X 46.0</v>
          </cell>
          <cell r="C3091">
            <v>78</v>
          </cell>
        </row>
        <row r="3092">
          <cell r="A3092" t="str">
            <v>AU238-WX-1A</v>
          </cell>
          <cell r="B3092" t="str">
            <v>2694359/SHAFT DRIVER/FAIRWAY TENSEI 1K WHITE RIP 85 X 46.0</v>
          </cell>
          <cell r="C3092">
            <v>89.5</v>
          </cell>
        </row>
        <row r="3093">
          <cell r="A3093" t="str">
            <v>MX956-WTX1AO</v>
          </cell>
          <cell r="B3093" t="str">
            <v>DIAMANA WB 83 TX-Flex</v>
          </cell>
          <cell r="C3093">
            <v>83.5</v>
          </cell>
        </row>
        <row r="3094">
          <cell r="A3094" t="str">
            <v>CB049-WX-1A</v>
          </cell>
          <cell r="B3094" t="str">
            <v>SD22GX233460/SH DF MCA TENSEI 1K BLUE 65 GX 460</v>
          </cell>
          <cell r="C3094">
            <v>66</v>
          </cell>
        </row>
        <row r="3095">
          <cell r="A3095" t="str">
            <v>CW159-IW-1A</v>
          </cell>
          <cell r="B3095" t="str">
            <v>3590U1/SF HY/IR MCA VANQUISH 40 GR R3</v>
          </cell>
          <cell r="C3095">
            <v>50</v>
          </cell>
        </row>
        <row r="3096">
          <cell r="A3096" t="str">
            <v>AU240-WA-1A</v>
          </cell>
          <cell r="B3096" t="str">
            <v>2694289/SHAFT DRIVER/FAIRWAY TENSEI 1K RED RIP 55 R2 46.0</v>
          </cell>
          <cell r="C3096">
            <v>49</v>
          </cell>
        </row>
        <row r="3097">
          <cell r="A3097" t="str">
            <v>MX953-WS-1B</v>
          </cell>
          <cell r="B3097" t="str">
            <v>DIAMANA WB 53 S-FLEX BLACKOUT</v>
          </cell>
          <cell r="C3097">
            <v>53.5</v>
          </cell>
        </row>
        <row r="3098">
          <cell r="A3098" t="str">
            <v>MX955-WS-1B</v>
          </cell>
          <cell r="B3098" t="str">
            <v>DIAMANA WB 73 S-FLEX BLACKOUT</v>
          </cell>
          <cell r="C3098">
            <v>69.5</v>
          </cell>
        </row>
        <row r="3099">
          <cell r="A3099" t="str">
            <v>MX955-WX-1B</v>
          </cell>
          <cell r="B3099" t="str">
            <v>DIAMANA WB 73 X-FLEX BLACKOUT</v>
          </cell>
          <cell r="C3099">
            <v>71.5</v>
          </cell>
        </row>
        <row r="3100">
          <cell r="A3100" t="str">
            <v>AU240-WR-1A</v>
          </cell>
          <cell r="B3100" t="str">
            <v>2694291/SHAFT DRIVER/FAIRWAY TENSEI 1K RED RIP 55 R 46.0</v>
          </cell>
          <cell r="C3100">
            <v>50.5</v>
          </cell>
        </row>
        <row r="3101">
          <cell r="A3101" t="str">
            <v>AU240-WS-1A</v>
          </cell>
          <cell r="B3101" t="str">
            <v>2694293/SHAFT DRIVER/FAIRWAY TENSEI 1K RED RIP 55 S 46.0</v>
          </cell>
          <cell r="C3101">
            <v>54</v>
          </cell>
        </row>
        <row r="3102">
          <cell r="A3102" t="str">
            <v>AU241-WA-1A</v>
          </cell>
          <cell r="B3102" t="str">
            <v>2694295/SHAFT DRIVER/FAIRWAY TENSEI 1K RED RIP 65 R2 46.0</v>
          </cell>
          <cell r="C3102">
            <v>58</v>
          </cell>
        </row>
        <row r="3103">
          <cell r="A3103" t="str">
            <v>AU241-WR-1A</v>
          </cell>
          <cell r="B3103" t="str">
            <v>2694297/SHAFT DRIVER/FAIRWAY TENSEI 1K RED RIP 65 R 46.0</v>
          </cell>
          <cell r="C3103">
            <v>60.5</v>
          </cell>
        </row>
        <row r="3104">
          <cell r="A3104" t="str">
            <v>AU241-WS-1A</v>
          </cell>
          <cell r="B3104" t="str">
            <v>2694299/SHAFT DRIVER/FAIRWAY TENSEI 1K RED RIP 65 S 46.0</v>
          </cell>
          <cell r="C3104">
            <v>63.5</v>
          </cell>
        </row>
        <row r="3105">
          <cell r="A3105" t="str">
            <v>MX792-IA-1AO</v>
          </cell>
          <cell r="B3105" t="str">
            <v>MMT™ Hybrid 60 A-FLEX</v>
          </cell>
          <cell r="C3105">
            <v>64.5</v>
          </cell>
        </row>
        <row r="3106">
          <cell r="A3106" t="str">
            <v>MX795-IX-1AO</v>
          </cell>
          <cell r="B3106" t="str">
            <v>MMT HYBRID 90 X</v>
          </cell>
          <cell r="C3106">
            <v>101</v>
          </cell>
        </row>
        <row r="3107">
          <cell r="A3107" t="str">
            <v>AU242-WW-1A</v>
          </cell>
          <cell r="B3107" t="str">
            <v>2694287/SHAFT DRIVER/FAIRWAY TENSEI 1K RED RIP 45 R3 46.0</v>
          </cell>
          <cell r="C3107">
            <v>45.5</v>
          </cell>
        </row>
        <row r="3108">
          <cell r="A3108" t="str">
            <v>AU235-WTX1A</v>
          </cell>
          <cell r="B3108" t="str">
            <v>2694321/SHAFT DRIVER/FAIRWAY TENSEI 1K BLUE RIP 75 TX 46.0</v>
          </cell>
          <cell r="C3108">
            <v>78.5</v>
          </cell>
        </row>
        <row r="3109">
          <cell r="A3109" t="str">
            <v>MY025-ILL4A</v>
          </cell>
          <cell r="B3109" t="str">
            <v>MMT AMC RED 45 R4 #4</v>
          </cell>
          <cell r="C3109">
            <v>40.5</v>
          </cell>
        </row>
        <row r="3110">
          <cell r="A3110" t="str">
            <v>MY025-ILL5A</v>
          </cell>
          <cell r="B3110" t="str">
            <v>MMT AMC RED 45 R4 #5</v>
          </cell>
          <cell r="C3110">
            <v>40.5</v>
          </cell>
        </row>
        <row r="3111">
          <cell r="A3111" t="str">
            <v>MY025-ILL6A</v>
          </cell>
          <cell r="B3111" t="str">
            <v>MMT AMC RED 45 R4 #6</v>
          </cell>
          <cell r="C3111">
            <v>40.5</v>
          </cell>
        </row>
        <row r="3112">
          <cell r="A3112" t="str">
            <v>MY025-ILL7A</v>
          </cell>
          <cell r="B3112" t="str">
            <v>MMT AMC RED 45 R4 #7</v>
          </cell>
          <cell r="C3112">
            <v>40.5</v>
          </cell>
        </row>
        <row r="3113">
          <cell r="A3113" t="str">
            <v>MY025-ILL8A</v>
          </cell>
          <cell r="B3113" t="str">
            <v>MMT AMC RED 45 R4 #8</v>
          </cell>
          <cell r="C3113">
            <v>42.5</v>
          </cell>
        </row>
        <row r="3114">
          <cell r="A3114" t="str">
            <v>MY025-ILL9A</v>
          </cell>
          <cell r="B3114" t="str">
            <v>MMT AMC RED 45 R4 #9</v>
          </cell>
          <cell r="C3114">
            <v>44.5</v>
          </cell>
        </row>
        <row r="3115">
          <cell r="A3115" t="str">
            <v>MY025-ILLPA</v>
          </cell>
          <cell r="B3115" t="str">
            <v>MMT AMC RED 45 R4 #W</v>
          </cell>
          <cell r="C3115">
            <v>46</v>
          </cell>
        </row>
        <row r="3116">
          <cell r="A3116" t="str">
            <v>MY026-IL-4A</v>
          </cell>
          <cell r="B3116" t="str">
            <v>MMT AMC RED 55 R3 #4</v>
          </cell>
          <cell r="C3116">
            <v>48</v>
          </cell>
        </row>
        <row r="3117">
          <cell r="A3117" t="str">
            <v>MY026-IL-5A</v>
          </cell>
          <cell r="B3117" t="str">
            <v>MMT AMC RED 55 R3 #5</v>
          </cell>
          <cell r="C3117">
            <v>48</v>
          </cell>
        </row>
        <row r="3118">
          <cell r="A3118" t="str">
            <v>MY026-IL-6A</v>
          </cell>
          <cell r="B3118" t="str">
            <v>MMT AMC RED 55 R3 #6</v>
          </cell>
          <cell r="C3118">
            <v>48</v>
          </cell>
        </row>
        <row r="3119">
          <cell r="A3119" t="str">
            <v>MY026-IL-7A</v>
          </cell>
          <cell r="B3119" t="str">
            <v>MMT AMC RED 55 R3 #7</v>
          </cell>
          <cell r="C3119">
            <v>48</v>
          </cell>
        </row>
        <row r="3120">
          <cell r="A3120" t="str">
            <v>MY026-IL-8A</v>
          </cell>
          <cell r="B3120" t="str">
            <v>MMT AMC RED 55 R3 #8</v>
          </cell>
          <cell r="C3120">
            <v>50</v>
          </cell>
        </row>
        <row r="3121">
          <cell r="A3121" t="str">
            <v>MY026-IL-9A</v>
          </cell>
          <cell r="B3121" t="str">
            <v>MMT AMC RED 55 R3 #9</v>
          </cell>
          <cell r="C3121">
            <v>51.5</v>
          </cell>
        </row>
        <row r="3122">
          <cell r="A3122" t="str">
            <v>MY026-IL-PA</v>
          </cell>
          <cell r="B3122" t="str">
            <v>MMT AMC RED 55 R3 #W</v>
          </cell>
          <cell r="C3122">
            <v>54</v>
          </cell>
        </row>
        <row r="3123">
          <cell r="A3123" t="str">
            <v>MY027-IA-4A</v>
          </cell>
          <cell r="B3123" t="str">
            <v>MMT AMC RED 65 A #4</v>
          </cell>
          <cell r="C3123">
            <v>55.5</v>
          </cell>
        </row>
        <row r="3124">
          <cell r="A3124" t="str">
            <v>MY027-IA-5A</v>
          </cell>
          <cell r="B3124" t="str">
            <v>MMT AMC RED 65 A #5</v>
          </cell>
          <cell r="C3124">
            <v>55.5</v>
          </cell>
        </row>
        <row r="3125">
          <cell r="A3125" t="str">
            <v>MY027-IA-6A</v>
          </cell>
          <cell r="B3125" t="str">
            <v>MMT AMC RED 65 A #6</v>
          </cell>
          <cell r="C3125">
            <v>55.5</v>
          </cell>
        </row>
        <row r="3126">
          <cell r="A3126" t="str">
            <v>MY027-IA-7A</v>
          </cell>
          <cell r="B3126" t="str">
            <v>MMT AMC RED 65 A #7</v>
          </cell>
          <cell r="C3126">
            <v>55.5</v>
          </cell>
        </row>
        <row r="3127">
          <cell r="A3127" t="str">
            <v>MY027-IA-8A</v>
          </cell>
          <cell r="B3127" t="str">
            <v>MMT AMC RED 65 A #8</v>
          </cell>
          <cell r="C3127">
            <v>57.5</v>
          </cell>
        </row>
        <row r="3128">
          <cell r="A3128" t="str">
            <v>MY027-IA-9A</v>
          </cell>
          <cell r="B3128" t="str">
            <v>MMT AMC RED 65 A #9</v>
          </cell>
          <cell r="C3128">
            <v>60</v>
          </cell>
        </row>
        <row r="3129">
          <cell r="A3129" t="str">
            <v>MY027-IA-PA</v>
          </cell>
          <cell r="B3129" t="str">
            <v>MMT AMC RED 65 A #W</v>
          </cell>
          <cell r="C3129">
            <v>62</v>
          </cell>
        </row>
        <row r="3130">
          <cell r="A3130" t="str">
            <v>MY027-IR-3A</v>
          </cell>
          <cell r="B3130" t="str">
            <v>MMT AMC RED 65 R #3</v>
          </cell>
          <cell r="C3130">
            <v>57</v>
          </cell>
        </row>
        <row r="3131">
          <cell r="A3131" t="str">
            <v>MY027-IR-4A</v>
          </cell>
          <cell r="B3131" t="str">
            <v>MMT AMC RED 65 R #4</v>
          </cell>
          <cell r="C3131">
            <v>57</v>
          </cell>
        </row>
        <row r="3132">
          <cell r="A3132" t="str">
            <v>MY027-IR-5A</v>
          </cell>
          <cell r="B3132" t="str">
            <v>MMT AMC RED 65 R #5</v>
          </cell>
          <cell r="C3132">
            <v>57</v>
          </cell>
        </row>
        <row r="3133">
          <cell r="A3133" t="str">
            <v>MY027-IR-6A</v>
          </cell>
          <cell r="B3133" t="str">
            <v>MMT AMC RED 65 R #6</v>
          </cell>
          <cell r="C3133">
            <v>57</v>
          </cell>
        </row>
        <row r="3134">
          <cell r="A3134" t="str">
            <v>MY027-IR-7A</v>
          </cell>
          <cell r="B3134" t="str">
            <v>MMT AMC RED 65 R #7</v>
          </cell>
          <cell r="C3134">
            <v>57</v>
          </cell>
        </row>
        <row r="3135">
          <cell r="A3135" t="str">
            <v>MY027-IR-8A</v>
          </cell>
          <cell r="B3135" t="str">
            <v>MMT AMC RED 65 R #8</v>
          </cell>
          <cell r="C3135">
            <v>59</v>
          </cell>
        </row>
        <row r="3136">
          <cell r="A3136" t="str">
            <v>MY027-IR-9A</v>
          </cell>
          <cell r="B3136" t="str">
            <v>MMT AMC RED 65 R #9</v>
          </cell>
          <cell r="C3136">
            <v>61</v>
          </cell>
        </row>
        <row r="3137">
          <cell r="A3137" t="str">
            <v>MY027-IR-PA</v>
          </cell>
          <cell r="B3137" t="str">
            <v>MMT AMC RED 65 R #W</v>
          </cell>
          <cell r="C3137">
            <v>62.5</v>
          </cell>
        </row>
        <row r="3138">
          <cell r="A3138" t="str">
            <v>MY027-IS-3A</v>
          </cell>
          <cell r="B3138" t="str">
            <v>MMT AMC RED 65 S #3</v>
          </cell>
          <cell r="C3138">
            <v>60</v>
          </cell>
        </row>
        <row r="3139">
          <cell r="A3139" t="str">
            <v>MY027-IS-4A</v>
          </cell>
          <cell r="B3139" t="str">
            <v>MMT AMC RED 65 S #4</v>
          </cell>
          <cell r="C3139">
            <v>60</v>
          </cell>
        </row>
        <row r="3140">
          <cell r="A3140" t="str">
            <v>MY027-IS-5A</v>
          </cell>
          <cell r="B3140" t="str">
            <v>MMT AMC RED 65 S #5</v>
          </cell>
          <cell r="C3140">
            <v>60</v>
          </cell>
        </row>
        <row r="3141">
          <cell r="A3141" t="str">
            <v>MY027-IS-6A</v>
          </cell>
          <cell r="B3141" t="str">
            <v>MMT AMC RED 65 S #6</v>
          </cell>
          <cell r="C3141">
            <v>60</v>
          </cell>
        </row>
        <row r="3142">
          <cell r="A3142" t="str">
            <v>MY027-IS-7A</v>
          </cell>
          <cell r="B3142" t="str">
            <v>MMT AMC RED 65 S #7</v>
          </cell>
          <cell r="C3142">
            <v>60</v>
          </cell>
        </row>
        <row r="3143">
          <cell r="A3143" t="str">
            <v>MY027-IS-8A</v>
          </cell>
          <cell r="B3143" t="str">
            <v>MMT AMC RED 65 S #8</v>
          </cell>
          <cell r="C3143">
            <v>62</v>
          </cell>
        </row>
        <row r="3144">
          <cell r="A3144" t="str">
            <v>MY027-IS-9A</v>
          </cell>
          <cell r="B3144" t="str">
            <v>MMT AMC RED 65 S #9</v>
          </cell>
          <cell r="C3144">
            <v>65</v>
          </cell>
        </row>
        <row r="3145">
          <cell r="A3145" t="str">
            <v>MY027-IS-PA</v>
          </cell>
          <cell r="B3145" t="str">
            <v>MMT AMC RED 65 S #W</v>
          </cell>
          <cell r="C3145">
            <v>66</v>
          </cell>
        </row>
        <row r="3146">
          <cell r="A3146" t="str">
            <v>MY028-IR-3A</v>
          </cell>
          <cell r="B3146" t="str">
            <v>MMT AMC BLUE 85 R #3</v>
          </cell>
          <cell r="C3146">
            <v>73</v>
          </cell>
        </row>
        <row r="3147">
          <cell r="A3147" t="str">
            <v>MY028-IR-4A</v>
          </cell>
          <cell r="B3147" t="str">
            <v>MMT AMC BLUE 85 R #4</v>
          </cell>
          <cell r="C3147">
            <v>74.5</v>
          </cell>
        </row>
        <row r="3148">
          <cell r="A3148" t="str">
            <v>MY028-IR-5A</v>
          </cell>
          <cell r="B3148" t="str">
            <v>MMT AMC BLUE 85 R #5</v>
          </cell>
          <cell r="C3148">
            <v>76</v>
          </cell>
        </row>
        <row r="3149">
          <cell r="A3149" t="str">
            <v>MY028-IR-6A</v>
          </cell>
          <cell r="B3149" t="str">
            <v>MMT AMC BLUE 85 R #6</v>
          </cell>
          <cell r="C3149">
            <v>79.5</v>
          </cell>
        </row>
        <row r="3150">
          <cell r="A3150" t="str">
            <v>MY028-IR-7A</v>
          </cell>
          <cell r="B3150" t="str">
            <v>MMT AMC BLUE 85 R #7</v>
          </cell>
          <cell r="C3150">
            <v>81</v>
          </cell>
        </row>
        <row r="3151">
          <cell r="A3151" t="str">
            <v>MY028-IR-8A</v>
          </cell>
          <cell r="B3151" t="str">
            <v>MMT AMC BLUE 85 R #8</v>
          </cell>
          <cell r="C3151">
            <v>83</v>
          </cell>
        </row>
        <row r="3152">
          <cell r="A3152" t="str">
            <v>MY028-IR-9A</v>
          </cell>
          <cell r="B3152" t="str">
            <v>MMT AMC BLUE 85 R #9</v>
          </cell>
          <cell r="C3152">
            <v>84</v>
          </cell>
        </row>
        <row r="3153">
          <cell r="A3153" t="str">
            <v>MY028-IR-PA</v>
          </cell>
          <cell r="B3153" t="str">
            <v>MMT AMC BLUE 85 R #W</v>
          </cell>
          <cell r="C3153">
            <v>86</v>
          </cell>
        </row>
        <row r="3154">
          <cell r="A3154" t="str">
            <v>MY028-IS-3A</v>
          </cell>
          <cell r="B3154" t="str">
            <v>MMT AMC BLUE 85 S #3</v>
          </cell>
          <cell r="C3154">
            <v>78.5</v>
          </cell>
        </row>
        <row r="3155">
          <cell r="A3155" t="str">
            <v>MY028-IS-4A</v>
          </cell>
          <cell r="B3155" t="str">
            <v>MMT AMC BLUE 85 S #4</v>
          </cell>
          <cell r="C3155">
            <v>79.5</v>
          </cell>
        </row>
        <row r="3156">
          <cell r="A3156" t="str">
            <v>MY028-IS-5A</v>
          </cell>
          <cell r="B3156" t="str">
            <v>MMT AMC BLUE 85 S #5</v>
          </cell>
          <cell r="C3156">
            <v>80.5</v>
          </cell>
        </row>
        <row r="3157">
          <cell r="A3157" t="str">
            <v>MY028-IS-6A</v>
          </cell>
          <cell r="B3157" t="str">
            <v>MMT AMC BLUE 85 S #6</v>
          </cell>
          <cell r="C3157">
            <v>84.5</v>
          </cell>
        </row>
        <row r="3158">
          <cell r="A3158" t="str">
            <v>MY028-IS-7A</v>
          </cell>
          <cell r="B3158" t="str">
            <v>MMT AMC BLUE 85 S #7</v>
          </cell>
          <cell r="C3158">
            <v>85</v>
          </cell>
        </row>
        <row r="3159">
          <cell r="A3159" t="str">
            <v>MY028-IS-8A</v>
          </cell>
          <cell r="B3159" t="str">
            <v>MMT AMC BLUE 85 S #8</v>
          </cell>
          <cell r="C3159">
            <v>87</v>
          </cell>
        </row>
        <row r="3160">
          <cell r="A3160" t="str">
            <v>MY028-IS-9A</v>
          </cell>
          <cell r="B3160" t="str">
            <v>MMT AMC BLUE 85 S #9</v>
          </cell>
          <cell r="C3160">
            <v>89.5</v>
          </cell>
        </row>
        <row r="3161">
          <cell r="A3161" t="str">
            <v>MY028-IS-PA</v>
          </cell>
          <cell r="B3161" t="str">
            <v>MMT AMC BLUE 85 S #W</v>
          </cell>
          <cell r="C3161">
            <v>90.5</v>
          </cell>
        </row>
        <row r="3162">
          <cell r="A3162" t="str">
            <v>AU234-WTX1A</v>
          </cell>
          <cell r="B3162" t="str">
            <v>2694315/SHAFT DRIVER/FAIRWAY TENSEI 1K BLUE RIP 65 TX 46.0</v>
          </cell>
          <cell r="C3162">
            <v>70.5</v>
          </cell>
        </row>
        <row r="3163">
          <cell r="A3163" t="str">
            <v>AU236-WTX1A</v>
          </cell>
          <cell r="B3163" t="str">
            <v>2694349/SHAFT DRIVER/FAIRWAY TENSEI 1K WHITE RIP 65 TX 46.0</v>
          </cell>
          <cell r="C3163">
            <v>70.5</v>
          </cell>
        </row>
        <row r="3164">
          <cell r="A3164" t="str">
            <v>AU237-WTX1A</v>
          </cell>
          <cell r="B3164" t="str">
            <v>2694355/SHAFT DRIVER/FAIRWAY TENSEI 1K WHITE RIP 75 TX 46.0</v>
          </cell>
          <cell r="C3164">
            <v>78.5</v>
          </cell>
        </row>
        <row r="3165">
          <cell r="A3165" t="str">
            <v>AU238-WTX1A</v>
          </cell>
          <cell r="B3165" t="str">
            <v>2694361/SHAFT DRIVER/FAIRWAY TENSEI 1K WHITE RIP 85 TX 46.0</v>
          </cell>
          <cell r="C3165">
            <v>90.5</v>
          </cell>
        </row>
        <row r="3166">
          <cell r="A3166" t="str">
            <v>MX948-WS-1A</v>
          </cell>
          <cell r="B3166" t="str">
            <v>DIAMANA™ BB-SERIES 63 S-FLEX</v>
          </cell>
          <cell r="C3166">
            <v>61</v>
          </cell>
        </row>
        <row r="3167">
          <cell r="A3167" t="str">
            <v>YR190-UR-1A</v>
          </cell>
          <cell r="B3167" t="str">
            <v>VU262-37C/2026 RS UTILITY R-FLEX</v>
          </cell>
          <cell r="C3167">
            <v>52.5</v>
          </cell>
        </row>
        <row r="3168">
          <cell r="A3168" t="str">
            <v>YR190-US-1A</v>
          </cell>
          <cell r="B3168" t="str">
            <v>VU262-43C/2026 RS UTILITY S-FLEX</v>
          </cell>
          <cell r="C3168">
            <v>64.5</v>
          </cell>
        </row>
        <row r="3169">
          <cell r="A3169" t="str">
            <v>YR190-USR1A</v>
          </cell>
          <cell r="B3169" t="str">
            <v>VU262-40C/2026 RS UTILITY SR-FLEX</v>
          </cell>
          <cell r="C3169">
            <v>55.5</v>
          </cell>
        </row>
        <row r="3170">
          <cell r="A3170" t="str">
            <v>YR190-WR-1A</v>
          </cell>
          <cell r="B3170" t="str">
            <v>VD262-37A/26 RS DR R-FLEX</v>
          </cell>
          <cell r="C3170">
            <v>45.5</v>
          </cell>
        </row>
        <row r="3171">
          <cell r="A3171" t="str">
            <v>YR190-WR-3A</v>
          </cell>
          <cell r="B3171" t="str">
            <v>VF262-37C/26 RS FW R-FLEX</v>
          </cell>
          <cell r="C3171">
            <v>48</v>
          </cell>
        </row>
        <row r="3172">
          <cell r="A3172" t="str">
            <v>YR190-WS-1A</v>
          </cell>
          <cell r="B3172" t="str">
            <v>VD262-43A/26 RS DR S-FLEX</v>
          </cell>
          <cell r="C3172">
            <v>52.5</v>
          </cell>
        </row>
        <row r="3173">
          <cell r="A3173" t="str">
            <v>YR190-WS-3A</v>
          </cell>
          <cell r="B3173" t="str">
            <v>VF262-43C/26 RS FW S-FLEX</v>
          </cell>
          <cell r="C3173">
            <v>53</v>
          </cell>
        </row>
        <row r="3174">
          <cell r="A3174" t="str">
            <v>YR190-WSR1A</v>
          </cell>
          <cell r="B3174" t="str">
            <v>VD262-40A/26 RS DR SR-FLEX</v>
          </cell>
          <cell r="C3174">
            <v>48.5</v>
          </cell>
        </row>
        <row r="3175">
          <cell r="A3175" t="str">
            <v>YR190-WSR3A</v>
          </cell>
          <cell r="B3175" t="str">
            <v>VF262-40C/26 RS FW SR-FLEX</v>
          </cell>
          <cell r="C3175">
            <v>50.5</v>
          </cell>
        </row>
        <row r="3176">
          <cell r="A3176" t="str">
            <v>CW159-WW-1A</v>
          </cell>
          <cell r="B3176" t="str">
            <v>3590V1/SF WD MCA VANQUISH 40 GR R3</v>
          </cell>
          <cell r="C3176">
            <v>42.5</v>
          </cell>
        </row>
        <row r="3177">
          <cell r="A3177" t="str">
            <v>MY015-WA-1AO</v>
          </cell>
          <cell r="B3177" t="str">
            <v>KAILI DARK WAVES CB RED 40 A (R2)-FLEX</v>
          </cell>
          <cell r="C3177">
            <v>45</v>
          </cell>
        </row>
        <row r="3178">
          <cell r="A3178" t="str">
            <v>MY015-WR-1AO</v>
          </cell>
          <cell r="B3178" t="str">
            <v>KAILI DARK WAVES CB RED 40 R-FLEX</v>
          </cell>
          <cell r="C3178">
            <v>46</v>
          </cell>
        </row>
        <row r="3179">
          <cell r="A3179" t="str">
            <v>MX698-IL-1AO</v>
          </cell>
          <cell r="B3179" t="str">
            <v>MMT™ Iron 50 L-flex (Parallel)</v>
          </cell>
          <cell r="C3179">
            <v>57</v>
          </cell>
        </row>
        <row r="3180">
          <cell r="A3180" t="str">
            <v>MY016-WR-1AO</v>
          </cell>
          <cell r="B3180" t="str">
            <v>KAILI DARK WAVES CB RED 50 R-FLEX</v>
          </cell>
          <cell r="C3180">
            <v>53</v>
          </cell>
        </row>
        <row r="3181">
          <cell r="A3181" t="str">
            <v>MX795-IS-1AO</v>
          </cell>
          <cell r="B3181" t="str">
            <v>MMT™ HYBRID 90 S-FLEX</v>
          </cell>
          <cell r="C3181">
            <v>99</v>
          </cell>
        </row>
        <row r="3182">
          <cell r="A3182" t="str">
            <v>MX946-WR-1A</v>
          </cell>
          <cell r="B3182" t="str">
            <v>DIAMANA™ BB-SERIES 43 R-FLEX</v>
          </cell>
          <cell r="C3182">
            <v>44.5</v>
          </cell>
        </row>
        <row r="3183">
          <cell r="A3183" t="str">
            <v>MX946-WSR1A</v>
          </cell>
          <cell r="B3183" t="str">
            <v>DIAMANA™ BB-SERIES 43 SR-FLEX</v>
          </cell>
          <cell r="C3183">
            <v>46.5</v>
          </cell>
        </row>
        <row r="3184">
          <cell r="A3184" t="str">
            <v>MX946-WX-1A</v>
          </cell>
          <cell r="B3184" t="str">
            <v>DIAMANA™ BB-SERIES 43 X-FLEX</v>
          </cell>
          <cell r="C3184">
            <v>49</v>
          </cell>
        </row>
        <row r="3185">
          <cell r="A3185" t="str">
            <v>MX947-WSR1A</v>
          </cell>
          <cell r="B3185" t="str">
            <v>DIAMANA™ BB-SERIES 53 SR-FLEX</v>
          </cell>
          <cell r="C3185">
            <v>51.5</v>
          </cell>
        </row>
        <row r="3186">
          <cell r="A3186" t="str">
            <v>MX947-WX-1A</v>
          </cell>
          <cell r="B3186" t="str">
            <v>DIAMANA™ BB-SERIES 53 X-FLEX</v>
          </cell>
          <cell r="C3186">
            <v>55</v>
          </cell>
        </row>
        <row r="3187">
          <cell r="A3187" t="str">
            <v>MX952-WX-1A</v>
          </cell>
          <cell r="B3187" t="str">
            <v>DIAMANA™ WB-SERIES 43 X-FLEX</v>
          </cell>
          <cell r="C3187">
            <v>48.5</v>
          </cell>
        </row>
        <row r="3188">
          <cell r="A3188" t="str">
            <v>MX953-WSR1A</v>
          </cell>
          <cell r="B3188" t="str">
            <v>DIAMANA™ WB-SERIES 53 SR-FLEX</v>
          </cell>
          <cell r="C3188">
            <v>53</v>
          </cell>
        </row>
        <row r="3189">
          <cell r="A3189" t="str">
            <v>MX953-WX-1A</v>
          </cell>
          <cell r="B3189" t="str">
            <v>DIAMANA™ WB-SERIES 53 X-FLEX</v>
          </cell>
          <cell r="C3189">
            <v>55.5</v>
          </cell>
        </row>
        <row r="3190">
          <cell r="A3190" t="str">
            <v>CL051-IA-1A</v>
          </cell>
          <cell r="B3190" t="str">
            <v>MMT Hybrid 60 A-FLEX</v>
          </cell>
          <cell r="C3190">
            <v>64.5</v>
          </cell>
        </row>
        <row r="3191">
          <cell r="A3191" t="str">
            <v>CL051-IR-1A</v>
          </cell>
          <cell r="B3191" t="str">
            <v>MMT Hybrid 60 R-FLEX</v>
          </cell>
          <cell r="C3191">
            <v>66.5</v>
          </cell>
        </row>
        <row r="3192">
          <cell r="A3192" t="str">
            <v>CL052-IS-1A</v>
          </cell>
          <cell r="B3192" t="str">
            <v>MMT HYBTRID 80G S-FLEX</v>
          </cell>
          <cell r="C3192">
            <v>85</v>
          </cell>
        </row>
        <row r="3193">
          <cell r="A3193" t="str">
            <v>CL052-IX-1A</v>
          </cell>
          <cell r="B3193" t="str">
            <v>MMT HYBTRID 80G X-FLEX</v>
          </cell>
          <cell r="C3193">
            <v>88.5</v>
          </cell>
        </row>
        <row r="3194">
          <cell r="A3194" t="str">
            <v>CL053-WS-1A</v>
          </cell>
          <cell r="B3194" t="str">
            <v>10383431/SH KAILI DW WHT 60 S</v>
          </cell>
          <cell r="C3194">
            <v>68</v>
          </cell>
        </row>
        <row r="3195">
          <cell r="A3195" t="str">
            <v>CL053-WX-1A</v>
          </cell>
          <cell r="B3195" t="str">
            <v>10383430/SH KAILI DW WHT 60 X</v>
          </cell>
          <cell r="C3195">
            <v>69.5</v>
          </cell>
        </row>
        <row r="3196">
          <cell r="A3196" t="str">
            <v>CL055-WR-1A</v>
          </cell>
          <cell r="B3196" t="str">
            <v>10383428/SH KAILI DW BL 60 R</v>
          </cell>
          <cell r="C3196">
            <v>64.5</v>
          </cell>
        </row>
        <row r="3197">
          <cell r="A3197" t="str">
            <v>CL055-WS-1A</v>
          </cell>
          <cell r="B3197" t="str">
            <v>10383427/SH KAILI DW BL 60 S</v>
          </cell>
          <cell r="C3197">
            <v>66.5</v>
          </cell>
        </row>
        <row r="3198">
          <cell r="A3198" t="str">
            <v>CL055-WX-1A</v>
          </cell>
          <cell r="B3198" t="str">
            <v>10383426/SH KAILI DW BL 60 X</v>
          </cell>
          <cell r="C3198">
            <v>68.5</v>
          </cell>
        </row>
        <row r="3199">
          <cell r="A3199" t="str">
            <v>CL057-WA-1A</v>
          </cell>
          <cell r="B3199" t="str">
            <v>10383436/SH KAILI DW RED CB 50 R2</v>
          </cell>
          <cell r="C3199">
            <v>52</v>
          </cell>
        </row>
        <row r="3200">
          <cell r="A3200" t="str">
            <v>CL057-WR-1A</v>
          </cell>
          <cell r="B3200" t="str">
            <v>10383435/SH KAILI DW RED CB 50 R</v>
          </cell>
          <cell r="C3200">
            <v>53</v>
          </cell>
        </row>
        <row r="3201">
          <cell r="A3201" t="str">
            <v>CL057-WS-1A</v>
          </cell>
          <cell r="B3201" t="str">
            <v>10383434/SH KAILI DW RED CB 50 S</v>
          </cell>
          <cell r="C3201">
            <v>54.5</v>
          </cell>
        </row>
        <row r="3202">
          <cell r="A3202" t="str">
            <v>CL053-WR-1A</v>
          </cell>
          <cell r="B3202" t="str">
            <v>10383432/SH KAILI DW WHT 60 R</v>
          </cell>
          <cell r="C3202">
            <v>65.5</v>
          </cell>
        </row>
        <row r="3203">
          <cell r="A3203" t="str">
            <v>MX954-WX-1A</v>
          </cell>
          <cell r="B3203" t="str">
            <v>DIAMANA™ WB-SERIES 63 X-FLEX</v>
          </cell>
          <cell r="C3203">
            <v>63.5</v>
          </cell>
        </row>
        <row r="3204">
          <cell r="A3204" t="str">
            <v>MX824-WS-1CO</v>
          </cell>
          <cell r="B3204" t="str">
            <v>KAILI DARK WAVES BLUE 50 S-FLEX</v>
          </cell>
          <cell r="C3204">
            <v>57.5</v>
          </cell>
        </row>
        <row r="3205">
          <cell r="A3205" t="str">
            <v>MX936-WS-1BO</v>
          </cell>
          <cell r="B3205" t="str">
            <v>KAILI DARK WAVES RED 50 S-FLEX</v>
          </cell>
          <cell r="C3205">
            <v>55.5</v>
          </cell>
        </row>
        <row r="3206">
          <cell r="A3206" t="str">
            <v>CL050-UL-3A</v>
          </cell>
          <cell r="B3206" t="str">
            <v>10384104/BASSARA PL 40 R3 HY</v>
          </cell>
          <cell r="C3206">
            <v>49.5</v>
          </cell>
        </row>
        <row r="3207">
          <cell r="A3207" t="str">
            <v>MX948-WTX1A</v>
          </cell>
          <cell r="B3207" t="str">
            <v>DIAMANA™ BB-SERIES 63 TX-FLEX</v>
          </cell>
          <cell r="C3207">
            <v>62</v>
          </cell>
        </row>
        <row r="3208">
          <cell r="A3208" t="str">
            <v>MX947-WR-1A</v>
          </cell>
          <cell r="B3208" t="str">
            <v>DIAMANA™ BB-SERIES 53 R-FLEX</v>
          </cell>
          <cell r="C3208">
            <v>50</v>
          </cell>
        </row>
        <row r="3209">
          <cell r="A3209" t="str">
            <v>MX953-WS-1A</v>
          </cell>
          <cell r="B3209" t="str">
            <v>DIAMANA™ WB-SERIES 53 S-FLEX</v>
          </cell>
          <cell r="C3209">
            <v>54</v>
          </cell>
        </row>
        <row r="3210">
          <cell r="A3210" t="str">
            <v>MX955-WS-1A</v>
          </cell>
          <cell r="B3210" t="str">
            <v>DIAMANA™ WB-SERIES 73 S-FLEX</v>
          </cell>
          <cell r="C3210">
            <v>70</v>
          </cell>
        </row>
        <row r="3211">
          <cell r="A3211" t="str">
            <v>MX956-WX-1A</v>
          </cell>
          <cell r="B3211" t="str">
            <v>DIAMANA™ WB-SERIES 83 X-FLEX</v>
          </cell>
          <cell r="C3211">
            <v>82.5</v>
          </cell>
        </row>
        <row r="3212">
          <cell r="A3212" t="str">
            <v>MX960-WX-1A</v>
          </cell>
          <cell r="B3212" t="str">
            <v>DIAMANA™ RB-SERIES 63 X-FLEX</v>
          </cell>
          <cell r="C3212">
            <v>63.5</v>
          </cell>
        </row>
        <row r="3213">
          <cell r="A3213" t="str">
            <v>MX962-WX-1A</v>
          </cell>
          <cell r="B3213" t="str">
            <v>DIAMANA™ RB-SERIES 83 X-FLEX</v>
          </cell>
          <cell r="C3213">
            <v>83</v>
          </cell>
        </row>
        <row r="3214">
          <cell r="A3214" t="str">
            <v>AX181-IR-1PCY</v>
          </cell>
          <cell r="B3214" t="str">
            <v>39162-03P/271 COHO HY SHAFT (R) P</v>
          </cell>
          <cell r="C3214">
            <v>55</v>
          </cell>
        </row>
        <row r="3215">
          <cell r="A3215" t="str">
            <v>AX181-IS-1PCY</v>
          </cell>
          <cell r="B3215" t="str">
            <v>39162-01P/271 COHO HY SHAFT (S) P</v>
          </cell>
          <cell r="C3215">
            <v>68</v>
          </cell>
        </row>
        <row r="3216">
          <cell r="A3216" t="str">
            <v>AX181-ISR1PCY</v>
          </cell>
          <cell r="B3216" t="str">
            <v>39162-02P/271 COHO HY SHAFT (SR) P</v>
          </cell>
          <cell r="C3216">
            <v>59</v>
          </cell>
        </row>
        <row r="3217">
          <cell r="A3217" t="str">
            <v>AX184-WR-3PCY</v>
          </cell>
          <cell r="B3217" t="str">
            <v>39161-03P/271 Coho FW Shaft (R) P</v>
          </cell>
          <cell r="C3217">
            <v>50.2</v>
          </cell>
        </row>
        <row r="3218">
          <cell r="A3218" t="str">
            <v>AX184-WS-3PCY</v>
          </cell>
          <cell r="B3218" t="str">
            <v>39161-01P/271 Coho FW Shaft (S) P</v>
          </cell>
          <cell r="C3218">
            <v>59.4</v>
          </cell>
        </row>
        <row r="3219">
          <cell r="A3219" t="str">
            <v>AX184-WSR3PCY</v>
          </cell>
          <cell r="B3219" t="str">
            <v>39161-02P/271 Coho FW Shaft (SR) P</v>
          </cell>
          <cell r="C3219">
            <v>54.7</v>
          </cell>
        </row>
        <row r="3220">
          <cell r="A3220" t="str">
            <v>AX217-WR-1PCY</v>
          </cell>
          <cell r="B3220" t="str">
            <v>39160-03P/271 COHO DR SHAFT (R) P</v>
          </cell>
          <cell r="C3220">
            <v>48</v>
          </cell>
        </row>
        <row r="3221">
          <cell r="A3221" t="str">
            <v>AX217-WS-1PCY</v>
          </cell>
          <cell r="B3221" t="str">
            <v>39160-01P/271 COHO DR SHAFT (S) P</v>
          </cell>
          <cell r="C3221">
            <v>59</v>
          </cell>
        </row>
        <row r="3222">
          <cell r="A3222" t="str">
            <v>AX217-WSR1PCY</v>
          </cell>
          <cell r="B3222" t="str">
            <v>39160-02P/271 COHO DR SHAFT (SR) P</v>
          </cell>
          <cell r="C3222">
            <v>54</v>
          </cell>
        </row>
        <row r="3223">
          <cell r="A3223" t="str">
            <v>MX947-WS-1AO</v>
          </cell>
          <cell r="B3223" t="str">
            <v>DIAMANA™ BB-SERIES 53 S-FLEX</v>
          </cell>
          <cell r="C3223">
            <v>53.5</v>
          </cell>
        </row>
        <row r="3224">
          <cell r="A3224" t="str">
            <v>MX949-WS-1AO</v>
          </cell>
          <cell r="B3224" t="str">
            <v>DIAMANA™ BB-SERIES 73 S-FLEX</v>
          </cell>
          <cell r="C3224">
            <v>70</v>
          </cell>
        </row>
        <row r="3225">
          <cell r="A3225" t="str">
            <v>MX950-WX-1AO</v>
          </cell>
          <cell r="B3225" t="str">
            <v>DIAMANA BB 80G X-Flex</v>
          </cell>
          <cell r="C3225">
            <v>80.5</v>
          </cell>
        </row>
        <row r="3226">
          <cell r="A3226" t="str">
            <v>MX959-WS-1AO</v>
          </cell>
          <cell r="B3226" t="str">
            <v>DIAMANA™ RB-SERIES 53 S-FLEX</v>
          </cell>
          <cell r="C3226">
            <v>52</v>
          </cell>
        </row>
        <row r="3227">
          <cell r="A3227" t="str">
            <v>MX960-WR-1AO</v>
          </cell>
          <cell r="B3227" t="str">
            <v>DIAMANA RB 63 R-Flex</v>
          </cell>
          <cell r="C3227">
            <v>59.5</v>
          </cell>
        </row>
        <row r="3228">
          <cell r="A3228" t="str">
            <v>MX961-WX-1AO</v>
          </cell>
          <cell r="B3228" t="str">
            <v>DIAMANA™ RB-SERIES 73 X-FLEX</v>
          </cell>
          <cell r="C3228">
            <v>74</v>
          </cell>
        </row>
        <row r="3229">
          <cell r="A3229" t="str">
            <v>MX948-WS-1E</v>
          </cell>
          <cell r="B3229" t="str">
            <v>DIAMANA™ BB-SERIES 63 S-FLEX (DERBY EDITION)</v>
          </cell>
          <cell r="C3229">
            <v>60.5</v>
          </cell>
        </row>
        <row r="3230">
          <cell r="A3230" t="str">
            <v>MX948-WX-1E</v>
          </cell>
          <cell r="B3230" t="str">
            <v>DIAMANA™ BB-SERIES 63 X-FLEX (DERBY EDITION)</v>
          </cell>
          <cell r="C3230">
            <v>61</v>
          </cell>
        </row>
        <row r="3231">
          <cell r="A3231" t="str">
            <v>MX949-WS-1E</v>
          </cell>
          <cell r="B3231" t="str">
            <v>DIAMANA™ BB-SERIES 73 S-FLEX (DERBY EDITION)</v>
          </cell>
          <cell r="C3231">
            <v>69.5</v>
          </cell>
        </row>
        <row r="3232">
          <cell r="A3232" t="str">
            <v>MX949-WX-1E</v>
          </cell>
          <cell r="B3232" t="str">
            <v>DIAMANA™ BB-SERIES 73 X-FLEX (DERBY EDITION)</v>
          </cell>
          <cell r="C3232">
            <v>70</v>
          </cell>
        </row>
        <row r="3233">
          <cell r="A3233" t="str">
            <v>MX947-WS-1AT</v>
          </cell>
          <cell r="B3233" t="str">
            <v>SHM MCA DIAMANA BB 53S (DEMO)</v>
          </cell>
          <cell r="C3233">
            <v>53.5</v>
          </cell>
        </row>
        <row r="3234">
          <cell r="A3234" t="str">
            <v>MX953-WS-1AT</v>
          </cell>
          <cell r="B3234" t="str">
            <v>SHM MCA DIAMANA WB 53S (DEMO)</v>
          </cell>
          <cell r="C3234">
            <v>54</v>
          </cell>
        </row>
        <row r="3235">
          <cell r="A3235" t="str">
            <v>MX835-WR-1AO</v>
          </cell>
          <cell r="B3235" t="str">
            <v>TENSEI™ AV Blue w/XLINK 65 R-Flex</v>
          </cell>
          <cell r="C3235">
            <v>66</v>
          </cell>
        </row>
        <row r="3236">
          <cell r="A3236" t="str">
            <v>MX835-WX-1AO</v>
          </cell>
          <cell r="B3236" t="str">
            <v>TENSEI™ AV BLUE W/XLINK 65 X-Flex</v>
          </cell>
          <cell r="C3236">
            <v>68.5</v>
          </cell>
        </row>
        <row r="3237">
          <cell r="A3237" t="str">
            <v>MX837-WS-1AO</v>
          </cell>
          <cell r="B3237" t="str">
            <v>TENSEI™ AV WHITE W/XLINK 65 S-Flex</v>
          </cell>
          <cell r="C3237">
            <v>68.5</v>
          </cell>
        </row>
        <row r="3238">
          <cell r="A3238" t="str">
            <v>MX837-WX-1AO</v>
          </cell>
          <cell r="B3238" t="str">
            <v>TENSEI™ AV WHITE W/XLINK 65 X-Flex</v>
          </cell>
          <cell r="C3238">
            <v>70.5</v>
          </cell>
        </row>
        <row r="3239">
          <cell r="A3239" t="str">
            <v>MX838-WS-1AO</v>
          </cell>
          <cell r="B3239" t="str">
            <v>TENSEI™ AV WHITE W/XLINK 75 S-Flex</v>
          </cell>
          <cell r="C3239">
            <v>78</v>
          </cell>
        </row>
        <row r="3240">
          <cell r="A3240" t="str">
            <v>MX838-WX-1AO</v>
          </cell>
          <cell r="B3240" t="str">
            <v>TENSEI™ AV WHITE W/XLINK 75 X-Flex</v>
          </cell>
          <cell r="C3240">
            <v>80.5</v>
          </cell>
        </row>
        <row r="3241">
          <cell r="A3241" t="str">
            <v>MX919-WA-1AO</v>
          </cell>
          <cell r="B3241" t="str">
            <v>TENSEI™ AV SERIES RED 55 R2-FLEX</v>
          </cell>
          <cell r="C3241">
            <v>56</v>
          </cell>
        </row>
        <row r="3242">
          <cell r="A3242" t="str">
            <v>MX919-WR-1AO</v>
          </cell>
          <cell r="B3242" t="str">
            <v>TENSEI™ AV SERIES RED 55 R-FLEX</v>
          </cell>
          <cell r="C3242">
            <v>58.5</v>
          </cell>
        </row>
        <row r="3243">
          <cell r="A3243" t="str">
            <v>MX919-WS-1AO</v>
          </cell>
          <cell r="B3243" t="str">
            <v>TENSEI™ AV SERIES RED 55 S-FLEX</v>
          </cell>
          <cell r="C3243">
            <v>61.5</v>
          </cell>
        </row>
        <row r="3244">
          <cell r="A3244" t="str">
            <v>MX922-IA-1BO</v>
          </cell>
          <cell r="B3244" t="str">
            <v>TENSEI™ AV SERIES SILVER IRON 65 R2-FLEX</v>
          </cell>
          <cell r="C3244">
            <v>59</v>
          </cell>
        </row>
        <row r="3245">
          <cell r="A3245" t="str">
            <v>MX923-IR-1AO</v>
          </cell>
          <cell r="B3245" t="str">
            <v>TENSEI™ AV SERIES SILVER HYBRID 75 R-FLEX</v>
          </cell>
          <cell r="C3245">
            <v>72</v>
          </cell>
        </row>
        <row r="3246">
          <cell r="A3246" t="str">
            <v>MX923-IR-1BO</v>
          </cell>
          <cell r="B3246" t="str">
            <v>TENSEI™ AV SERIES SILVER IRON 75 R-FLEX</v>
          </cell>
          <cell r="C3246">
            <v>72</v>
          </cell>
        </row>
        <row r="3247">
          <cell r="A3247" t="str">
            <v>MX923-IS-1AO</v>
          </cell>
          <cell r="B3247" t="str">
            <v>TENSEI™ AV SERIES SILVER HYBRID 75 S-FLEX</v>
          </cell>
          <cell r="C3247">
            <v>75</v>
          </cell>
        </row>
        <row r="3248">
          <cell r="A3248" t="str">
            <v>MX923-IS-1BO</v>
          </cell>
          <cell r="B3248" t="str">
            <v>TENSEI™ AV SERIES SILVER IRON 75 S-FLEX</v>
          </cell>
          <cell r="C3248">
            <v>75</v>
          </cell>
        </row>
        <row r="3249">
          <cell r="A3249" t="str">
            <v>MX924-IX-1AO</v>
          </cell>
          <cell r="B3249" t="str">
            <v>TENSEI™ AV SERIES SILVER HYBRID 85 X-FLEX</v>
          </cell>
          <cell r="C3249">
            <v>88.5</v>
          </cell>
        </row>
        <row r="3250">
          <cell r="A3250" t="str">
            <v>MX972-WR-1AO</v>
          </cell>
          <cell r="B3250" t="str">
            <v>TENSEI™ AV SERIES ORANGE 55 R-FLEX</v>
          </cell>
          <cell r="C3250">
            <v>58</v>
          </cell>
        </row>
        <row r="3251">
          <cell r="A3251" t="str">
            <v>MX972-WS-1AO</v>
          </cell>
          <cell r="B3251" t="str">
            <v>TENSEI™ AV SERIES ORANGE 55 S-FLEX</v>
          </cell>
          <cell r="C3251">
            <v>60</v>
          </cell>
        </row>
        <row r="3252">
          <cell r="A3252" t="str">
            <v>MX974-WR-1AO</v>
          </cell>
          <cell r="B3252" t="str">
            <v>TENSEI™ AV SERIES ORANGE 65 R-FLEX</v>
          </cell>
          <cell r="C3252">
            <v>67</v>
          </cell>
        </row>
        <row r="3253">
          <cell r="A3253" t="str">
            <v>MX974-WS-1AO</v>
          </cell>
          <cell r="B3253" t="str">
            <v>TENSEI™ AV SERIES ORANGE 65 S-FLEX</v>
          </cell>
          <cell r="C3253">
            <v>69.5</v>
          </cell>
        </row>
        <row r="3254">
          <cell r="A3254" t="str">
            <v>MX974-WX-1AO</v>
          </cell>
          <cell r="B3254" t="str">
            <v>TENSEI™ AV SERIES ORANGE 65 X-FLEX</v>
          </cell>
          <cell r="C3254">
            <v>72</v>
          </cell>
        </row>
        <row r="3255">
          <cell r="A3255" t="str">
            <v>MY045-IA-3A</v>
          </cell>
          <cell r="B3255" t="str">
            <v>DIAMANA™ RB-SERIES HYBRID 63 R2-FLEX</v>
          </cell>
          <cell r="C3255">
            <v>62</v>
          </cell>
        </row>
        <row r="3256">
          <cell r="A3256" t="str">
            <v>MY045-IR-3A</v>
          </cell>
          <cell r="B3256" t="str">
            <v>DIAMANA™ RB-SERIES HYBRID 63 R-FLEX</v>
          </cell>
          <cell r="C3256">
            <v>65</v>
          </cell>
        </row>
        <row r="3257">
          <cell r="A3257" t="str">
            <v>MY046-IR-3A</v>
          </cell>
          <cell r="B3257" t="str">
            <v>DIAMANA™ RB-SERIES HYBRID 73 R-FLEX</v>
          </cell>
          <cell r="C3257">
            <v>74</v>
          </cell>
        </row>
        <row r="3258">
          <cell r="A3258" t="str">
            <v>MY046-IS-3A</v>
          </cell>
          <cell r="B3258" t="str">
            <v>DIAMANA™ RB-SERIES HYBRID 73 S-FLEX</v>
          </cell>
          <cell r="C3258">
            <v>79</v>
          </cell>
        </row>
        <row r="3259">
          <cell r="A3259" t="str">
            <v>MY047-IR-3A</v>
          </cell>
          <cell r="B3259" t="str">
            <v>DIAMANA™ BB-SERIES HYBRID 83 R-FLEX</v>
          </cell>
          <cell r="C3259">
            <v>83</v>
          </cell>
        </row>
        <row r="3260">
          <cell r="A3260" t="str">
            <v>MY047-IS-3A</v>
          </cell>
          <cell r="B3260" t="str">
            <v>DIAMANA™ BB-SERIES HYBRID 83 S-FLEX</v>
          </cell>
          <cell r="C3260">
            <v>84.5</v>
          </cell>
        </row>
        <row r="3261">
          <cell r="A3261" t="str">
            <v>MY047-IX-3A</v>
          </cell>
          <cell r="B3261" t="str">
            <v>DIAMANA™ BB-SERIES HYBRID 83 X-FLEX</v>
          </cell>
          <cell r="C3261">
            <v>89.5</v>
          </cell>
        </row>
        <row r="3262">
          <cell r="A3262" t="str">
            <v>MY048-IS-3A</v>
          </cell>
          <cell r="B3262" t="str">
            <v>DIAMANA™ BB-SERIES HYBRID 93 S-FLEX</v>
          </cell>
          <cell r="C3262">
            <v>92.5</v>
          </cell>
        </row>
        <row r="3263">
          <cell r="A3263" t="str">
            <v>MY048-IX-3A</v>
          </cell>
          <cell r="B3263" t="str">
            <v>DIAMANA™ BB-SERIES HYBRID 93 X-FLEX</v>
          </cell>
          <cell r="C3263">
            <v>97</v>
          </cell>
        </row>
        <row r="3264">
          <cell r="A3264" t="str">
            <v>MY049-IX-3A</v>
          </cell>
          <cell r="B3264" t="str">
            <v>DIAMANA™ WB-SERIES HYBRID 103 X-FLEX</v>
          </cell>
          <cell r="C3264">
            <v>107.5</v>
          </cell>
        </row>
        <row r="3265">
          <cell r="A3265" t="str">
            <v>MX962-WX-1AO</v>
          </cell>
          <cell r="B3265" t="str">
            <v>DIAMANA™ RB-SERIES 83 X-FLEX</v>
          </cell>
          <cell r="C3265">
            <v>83</v>
          </cell>
        </row>
        <row r="3266">
          <cell r="A3266" t="str">
            <v>MX948-WR-1A</v>
          </cell>
          <cell r="B3266" t="str">
            <v>DIAMANA™ BB-SERIES 63 R-FLEX</v>
          </cell>
          <cell r="C3266">
            <v>60</v>
          </cell>
        </row>
        <row r="3267">
          <cell r="A3267" t="str">
            <v>MX953-WR-1A</v>
          </cell>
          <cell r="B3267" t="str">
            <v>DIAMANA™ WB-SERIES 53 R-FLEX</v>
          </cell>
          <cell r="C3267">
            <v>52</v>
          </cell>
        </row>
        <row r="3268">
          <cell r="A3268" t="str">
            <v>MX958-WR-1A</v>
          </cell>
          <cell r="B3268" t="str">
            <v>DIAMANA™ RB-SERIES 43 R-FLEX</v>
          </cell>
          <cell r="C3268">
            <v>45</v>
          </cell>
        </row>
        <row r="3269">
          <cell r="A3269" t="str">
            <v>MX699-IR-1C</v>
          </cell>
          <cell r="B3269" t="str">
            <v>MMT PLATINUM IRON 60 R-FLEX</v>
          </cell>
          <cell r="C3269">
            <v>64.5</v>
          </cell>
        </row>
        <row r="3270">
          <cell r="A3270" t="str">
            <v>MX701-IS-1C</v>
          </cell>
          <cell r="B3270" t="str">
            <v>MMT PLATINUM IRON 80 S-FLEX</v>
          </cell>
          <cell r="C3270">
            <v>86</v>
          </cell>
        </row>
        <row r="3271">
          <cell r="A3271" t="str">
            <v>MX698-IL-1C</v>
          </cell>
          <cell r="B3271" t="str">
            <v>MMT PLATINUM IRON 50 L-FLEX</v>
          </cell>
          <cell r="C3271">
            <v>57</v>
          </cell>
        </row>
        <row r="3272">
          <cell r="A3272" t="str">
            <v>MX953-WS-1AO</v>
          </cell>
          <cell r="B3272" t="str">
            <v>DIAMANA™ WB-SERIES 53 S-FLEX</v>
          </cell>
          <cell r="C3272">
            <v>54</v>
          </cell>
        </row>
        <row r="3273">
          <cell r="A3273" t="str">
            <v>MX956-WX-1AO</v>
          </cell>
          <cell r="B3273" t="str">
            <v>DIAMANA™ WB-SERIES 83 X-FLEX</v>
          </cell>
          <cell r="C3273">
            <v>82.5</v>
          </cell>
        </row>
        <row r="3274">
          <cell r="A3274" t="str">
            <v>MX959-WR-1AO</v>
          </cell>
          <cell r="B3274" t="str">
            <v>DIAMANA™ RB-SERIES 53 R-FLEX</v>
          </cell>
          <cell r="C3274">
            <v>50</v>
          </cell>
        </row>
        <row r="3275">
          <cell r="A3275" t="str">
            <v>MY028-IS-2A</v>
          </cell>
          <cell r="B3275" t="str">
            <v>MMT AMC BLUE 85 S #2</v>
          </cell>
          <cell r="C3275">
            <v>76.5</v>
          </cell>
        </row>
        <row r="3276">
          <cell r="A3276" t="str">
            <v>CW184-IS-4A</v>
          </cell>
          <cell r="B3276" t="str">
            <v>3585P3385/SF IR MCA MMT TTIP 105 GR STF 38.5</v>
          </cell>
          <cell r="C3276">
            <v>109.5</v>
          </cell>
        </row>
        <row r="3277">
          <cell r="A3277" t="str">
            <v>CW184-IS-5A</v>
          </cell>
          <cell r="B3277" t="str">
            <v>3585P3380/SF IR MCA MMT TTIP 105 GR STF 38</v>
          </cell>
          <cell r="C3277">
            <v>108</v>
          </cell>
        </row>
        <row r="3278">
          <cell r="A3278" t="str">
            <v>CW184-IS-6A</v>
          </cell>
          <cell r="B3278" t="str">
            <v>3585P3375/SF IR MCA MMT TTIP 105 GR STF 37.5</v>
          </cell>
          <cell r="C3278">
            <v>109.5</v>
          </cell>
        </row>
        <row r="3279">
          <cell r="A3279" t="str">
            <v>CW184-IS-7A</v>
          </cell>
          <cell r="B3279" t="str">
            <v>3585P3370/SF IR MCA MMT TTIP 105 GR STF 37</v>
          </cell>
          <cell r="C3279">
            <v>109</v>
          </cell>
        </row>
        <row r="3280">
          <cell r="A3280" t="str">
            <v>CW184-IS-9A</v>
          </cell>
          <cell r="B3280" t="str">
            <v>3585P3360/SF IR MCA MMT TTIP 105 GR STF 36</v>
          </cell>
          <cell r="C3280">
            <v>112</v>
          </cell>
        </row>
        <row r="3281">
          <cell r="A3281" t="str">
            <v>CW184-IS-PA</v>
          </cell>
          <cell r="B3281" t="str">
            <v>3585P3355/SF IR MCA MMT TTIP 105 GR STF 35.5</v>
          </cell>
          <cell r="C3281">
            <v>110</v>
          </cell>
        </row>
        <row r="3282">
          <cell r="A3282" t="str">
            <v>CW184-IS-8A</v>
          </cell>
          <cell r="B3282" t="str">
            <v>3585P3365/SF IR MCA MMT TTIP 105 GR STF 36.5</v>
          </cell>
          <cell r="C3282">
            <v>110</v>
          </cell>
        </row>
        <row r="3283">
          <cell r="A3283" t="str">
            <v>MX946-WA-1AO</v>
          </cell>
          <cell r="B3283" t="str">
            <v>DIAMANA™ BB-SERIES 43 R2-FLEX</v>
          </cell>
          <cell r="C3283">
            <v>43.5</v>
          </cell>
        </row>
        <row r="3284">
          <cell r="A3284" t="str">
            <v>MX947-WR-1AO</v>
          </cell>
          <cell r="B3284" t="str">
            <v>DIAMANA™ BB-SERIES 53 R-FLEX</v>
          </cell>
          <cell r="C3284">
            <v>50</v>
          </cell>
        </row>
        <row r="3285">
          <cell r="A3285" t="str">
            <v>MX721-IS-3AO</v>
          </cell>
          <cell r="B3285" t="str">
            <v>MMT TTIP 125 GR STF 39.0</v>
          </cell>
          <cell r="C3285">
            <v>126</v>
          </cell>
        </row>
        <row r="3286">
          <cell r="A3286" t="str">
            <v>MY040-WS-1A</v>
          </cell>
          <cell r="B3286" t="str">
            <v>2Gen TENSEI 1K Pro Orange 50S</v>
          </cell>
          <cell r="C3286">
            <v>54</v>
          </cell>
        </row>
        <row r="3287">
          <cell r="A3287" t="str">
            <v>MY040-WX-1A</v>
          </cell>
          <cell r="B3287" t="str">
            <v>2Gen TENSEI 1K Pro Orange 50X</v>
          </cell>
          <cell r="C3287">
            <v>55</v>
          </cell>
        </row>
        <row r="3288">
          <cell r="A3288" t="str">
            <v>MY041-WS-1A</v>
          </cell>
          <cell r="B3288" t="str">
            <v>2Gen TENSEI 1K Pro Orange 60S</v>
          </cell>
          <cell r="C3288">
            <v>63.5</v>
          </cell>
        </row>
        <row r="3289">
          <cell r="A3289" t="str">
            <v>MY041-WX-1A</v>
          </cell>
          <cell r="B3289" t="str">
            <v>2Gen TENSEI 1K Pro Orange 60X</v>
          </cell>
          <cell r="C3289">
            <v>66</v>
          </cell>
        </row>
        <row r="3290">
          <cell r="A3290" t="str">
            <v>MY042-WS-1A</v>
          </cell>
          <cell r="B3290" t="str">
            <v>2Gen TENSEI 1K Pro Orange 70S</v>
          </cell>
          <cell r="C3290">
            <v>74</v>
          </cell>
        </row>
        <row r="3291">
          <cell r="A3291" t="str">
            <v>MY042-WX-1A</v>
          </cell>
          <cell r="B3291" t="str">
            <v>2Gen TENSEI 1K Pro Orange 70X</v>
          </cell>
          <cell r="C3291">
            <v>76</v>
          </cell>
        </row>
        <row r="3292">
          <cell r="A3292" t="str">
            <v>MY040-WR-1A</v>
          </cell>
          <cell r="B3292" t="str">
            <v>2Gen TENSEI 1K Pro Orange 50R</v>
          </cell>
          <cell r="C3292">
            <v>51</v>
          </cell>
        </row>
        <row r="3293">
          <cell r="A3293" t="str">
            <v>MY041-WR-1A</v>
          </cell>
          <cell r="B3293" t="str">
            <v>2Gen TENSEI 1K Pro Orange 60R</v>
          </cell>
          <cell r="C3293">
            <v>62</v>
          </cell>
        </row>
        <row r="3294">
          <cell r="A3294" t="str">
            <v>MY043-WS-1A</v>
          </cell>
          <cell r="B3294" t="str">
            <v>2Gen TENSEI 1K Pro Orange 80R</v>
          </cell>
          <cell r="C3294">
            <v>84.5</v>
          </cell>
        </row>
        <row r="3295">
          <cell r="A3295" t="str">
            <v>MY043-WX-1A</v>
          </cell>
          <cell r="B3295" t="str">
            <v>2Gen TENSEI 1K Pro Orange 80X</v>
          </cell>
          <cell r="C3295">
            <v>85.5</v>
          </cell>
        </row>
        <row r="3296">
          <cell r="A3296" t="str">
            <v>MY044-WX-1A</v>
          </cell>
          <cell r="B3296" t="str">
            <v>2GEN TENSEI 1K PRO ORANGE 90 X</v>
          </cell>
          <cell r="C3296">
            <v>96</v>
          </cell>
        </row>
        <row r="3297">
          <cell r="A3297" t="str">
            <v>MX952-WS-1A</v>
          </cell>
          <cell r="B3297" t="str">
            <v>DIAMANA™ WB-SERIES 43 S-FLEX</v>
          </cell>
          <cell r="C3297">
            <v>47</v>
          </cell>
        </row>
        <row r="3298">
          <cell r="A3298" t="str">
            <v>MX952-WSR1A</v>
          </cell>
          <cell r="B3298" t="str">
            <v>DIAMANA™ WB-SERIES 43 SR-FLEX</v>
          </cell>
          <cell r="C3298">
            <v>46</v>
          </cell>
        </row>
        <row r="3299">
          <cell r="A3299" t="str">
            <v>MX954-WR-1A</v>
          </cell>
          <cell r="B3299" t="str">
            <v>DIAMANA™ WB-SERIES 63 R-FLEX</v>
          </cell>
          <cell r="C3299">
            <v>60</v>
          </cell>
        </row>
        <row r="3300">
          <cell r="A3300" t="str">
            <v>MX954-WSR1A</v>
          </cell>
          <cell r="B3300" t="str">
            <v>DIAMANA™ WB-SERIES 63 SR-FLEX</v>
          </cell>
          <cell r="C3300">
            <v>61</v>
          </cell>
        </row>
        <row r="3301">
          <cell r="A3301" t="str">
            <v>MX956-WS-1A</v>
          </cell>
          <cell r="B3301" t="str">
            <v>DIAMANA™ WB-SERIES 83 S-FLEX</v>
          </cell>
          <cell r="C3301">
            <v>80</v>
          </cell>
        </row>
        <row r="3302">
          <cell r="A3302" t="str">
            <v>MX959-WSR1A</v>
          </cell>
          <cell r="B3302" t="str">
            <v>DIAMANA™ RB-SERIES 53 SR-FLEX</v>
          </cell>
          <cell r="C3302">
            <v>51</v>
          </cell>
        </row>
        <row r="3303">
          <cell r="A3303" t="str">
            <v>MX836-WX-1A</v>
          </cell>
          <cell r="B3303" t="str">
            <v>TENSEI™ AV Series Blue 75</v>
          </cell>
          <cell r="C3303">
            <v>79</v>
          </cell>
        </row>
        <row r="3304">
          <cell r="A3304" t="str">
            <v>MX838-WX-1A</v>
          </cell>
          <cell r="B3304" t="str">
            <v>TENSEI™ AV Series White 75</v>
          </cell>
          <cell r="C3304">
            <v>80.5</v>
          </cell>
        </row>
        <row r="3305">
          <cell r="A3305" t="str">
            <v>AX176-WTS1AB</v>
          </cell>
          <cell r="B3305" t="str">
            <v>ROGUE ∞ CB BLUE 60S</v>
          </cell>
          <cell r="C3305">
            <v>64</v>
          </cell>
        </row>
        <row r="3306">
          <cell r="A3306" t="str">
            <v>AX176-WTX1AB</v>
          </cell>
          <cell r="B3306" t="str">
            <v>ROGUE ∞ CB BLUE 60X</v>
          </cell>
          <cell r="C3306">
            <v>66</v>
          </cell>
        </row>
        <row r="3307">
          <cell r="A3307" t="str">
            <v>AX177-WTS1AB</v>
          </cell>
          <cell r="B3307" t="str">
            <v>ROGUE ∞ CB BLUE 70S</v>
          </cell>
          <cell r="C3307">
            <v>73</v>
          </cell>
        </row>
        <row r="3308">
          <cell r="A3308" t="str">
            <v>AX177-WTX1AB</v>
          </cell>
          <cell r="B3308" t="str">
            <v>ROGUE ∞ CB BLUE 70X</v>
          </cell>
          <cell r="C3308">
            <v>75</v>
          </cell>
        </row>
        <row r="3309">
          <cell r="A3309" t="str">
            <v>AX210-WS-1AA</v>
          </cell>
          <cell r="B3309" t="str">
            <v>ROGUE ∞ RED 60S</v>
          </cell>
          <cell r="C3309">
            <v>57</v>
          </cell>
        </row>
        <row r="3310">
          <cell r="A3310" t="str">
            <v>AX212-WS-1AA</v>
          </cell>
          <cell r="B3310" t="str">
            <v>ROGUE ∞ BLUE 60S</v>
          </cell>
          <cell r="C3310">
            <v>64.5</v>
          </cell>
        </row>
        <row r="3311">
          <cell r="A3311" t="str">
            <v>AX213-WS-1AA</v>
          </cell>
          <cell r="B3311" t="str">
            <v>ROGUE ∞ BLUE 70S</v>
          </cell>
          <cell r="C3311">
            <v>72</v>
          </cell>
        </row>
        <row r="3312">
          <cell r="A3312" t="str">
            <v>AX214-WX-1AA</v>
          </cell>
          <cell r="B3312" t="str">
            <v>ROGUE ∞ WHITE 50X</v>
          </cell>
          <cell r="C3312">
            <v>55.5</v>
          </cell>
        </row>
        <row r="3313">
          <cell r="A3313" t="str">
            <v>AX215-WS-1AA</v>
          </cell>
          <cell r="B3313" t="str">
            <v>ROGUE ∞ WHITE 60S</v>
          </cell>
          <cell r="C3313">
            <v>62.5</v>
          </cell>
        </row>
        <row r="3314">
          <cell r="A3314" t="str">
            <v>AX215-WX-1AA</v>
          </cell>
          <cell r="B3314" t="str">
            <v>ROGUE ∞ WHITE 60X</v>
          </cell>
          <cell r="C3314">
            <v>65.5</v>
          </cell>
        </row>
        <row r="3315">
          <cell r="A3315" t="str">
            <v>AX216-WS-1AA</v>
          </cell>
          <cell r="B3315" t="str">
            <v>ROGUE ∞ WHITE 70S</v>
          </cell>
          <cell r="C3315">
            <v>71.5</v>
          </cell>
        </row>
        <row r="3316">
          <cell r="A3316" t="str">
            <v>MY040-WTX1A</v>
          </cell>
          <cell r="B3316" t="str">
            <v>2Gen TENSEI 1K Pro Orange 50TX</v>
          </cell>
          <cell r="C3316">
            <v>58.5</v>
          </cell>
        </row>
        <row r="3317">
          <cell r="A3317" t="str">
            <v>MY041-WTX1A</v>
          </cell>
          <cell r="B3317" t="str">
            <v>2Gen TENSEI 1K Pro Orange 60TX</v>
          </cell>
          <cell r="C3317">
            <v>67</v>
          </cell>
        </row>
        <row r="3318">
          <cell r="A3318" t="str">
            <v>MY042-WTX1A</v>
          </cell>
          <cell r="B3318" t="str">
            <v>2Gen TENSEI 1K Pro Orange 70TX</v>
          </cell>
          <cell r="C3318">
            <v>79</v>
          </cell>
        </row>
        <row r="3319">
          <cell r="A3319" t="str">
            <v>MY043-WTX1A</v>
          </cell>
          <cell r="B3319" t="str">
            <v>2Gen TENSEI 1K Pro Orange 80TX</v>
          </cell>
          <cell r="C3319">
            <v>88.5</v>
          </cell>
        </row>
        <row r="3320">
          <cell r="A3320" t="str">
            <v>MX795-IS-1A</v>
          </cell>
          <cell r="B3320" t="str">
            <v>MMT™ Hybrid 90 S-FLEX</v>
          </cell>
          <cell r="C3320">
            <v>99</v>
          </cell>
        </row>
        <row r="3321">
          <cell r="A3321" t="str">
            <v>CW137-IR-1B</v>
          </cell>
          <cell r="B3321" t="str">
            <v>3599L2/SF HY TENSEI AV BLU 70 GR REG</v>
          </cell>
          <cell r="C3321">
            <v>79.5</v>
          </cell>
        </row>
        <row r="3322">
          <cell r="A3322" t="str">
            <v>CW138-IS-1B</v>
          </cell>
          <cell r="B3322" t="str">
            <v>3599M3/SF HY TENSEI AV BLU 80 GR STF</v>
          </cell>
          <cell r="C3322">
            <v>82</v>
          </cell>
        </row>
        <row r="3323">
          <cell r="A3323" t="str">
            <v>CW138-IX-1B</v>
          </cell>
          <cell r="B3323" t="str">
            <v>3599M4/SF HY TENSEI AV BLU 80 GR XTS</v>
          </cell>
          <cell r="C3323">
            <v>82.5</v>
          </cell>
        </row>
        <row r="3324">
          <cell r="A3324" t="str">
            <v>MY040-WR-1T</v>
          </cell>
          <cell r="B3324" t="str">
            <v>DEMO TEN 1K PRO OR 50R</v>
          </cell>
          <cell r="C3324">
            <v>51</v>
          </cell>
        </row>
        <row r="3325">
          <cell r="A3325" t="str">
            <v>MY040-WS-1T</v>
          </cell>
          <cell r="B3325" t="str">
            <v>DEMO TEN 1K PRO OR 50S</v>
          </cell>
          <cell r="C3325">
            <v>53</v>
          </cell>
        </row>
        <row r="3326">
          <cell r="A3326" t="str">
            <v>MY041-WS-1T</v>
          </cell>
          <cell r="B3326" t="str">
            <v>DEMO TEN 1K PRO OR 60S</v>
          </cell>
          <cell r="C3326">
            <v>64</v>
          </cell>
        </row>
        <row r="3327">
          <cell r="A3327" t="str">
            <v>MY041-WX-1T</v>
          </cell>
          <cell r="B3327" t="str">
            <v>DEMO TEN 1K PRO OR 60X</v>
          </cell>
          <cell r="C3327">
            <v>66</v>
          </cell>
        </row>
        <row r="3328">
          <cell r="A3328" t="str">
            <v>MY042-WS-1T</v>
          </cell>
          <cell r="B3328" t="str">
            <v>DEMO TEN 1K PRO OR 70S</v>
          </cell>
          <cell r="C3328">
            <v>74</v>
          </cell>
        </row>
        <row r="3329">
          <cell r="A3329" t="str">
            <v>AX175-WTR1AB</v>
          </cell>
          <cell r="B3329" t="str">
            <v>ROGUE ∞ CB BLUE 50R</v>
          </cell>
          <cell r="C3329">
            <v>57.5</v>
          </cell>
        </row>
        <row r="3330">
          <cell r="A3330" t="str">
            <v>AX175-WTS1AB</v>
          </cell>
          <cell r="B3330" t="str">
            <v>ROGUE ∞ CB BLUE 50S</v>
          </cell>
          <cell r="C3330">
            <v>59.5</v>
          </cell>
        </row>
        <row r="3331">
          <cell r="A3331" t="str">
            <v>AX178-WTX1AB</v>
          </cell>
          <cell r="B3331" t="str">
            <v>ROGUE ∞ CB BLUE 80X</v>
          </cell>
          <cell r="C3331">
            <v>83.5</v>
          </cell>
        </row>
        <row r="3332">
          <cell r="A3332" t="str">
            <v>AX208-WA-1AA</v>
          </cell>
          <cell r="B3332" t="str">
            <v>ROGUE ∞ RED 40R2</v>
          </cell>
          <cell r="C3332">
            <v>48</v>
          </cell>
        </row>
        <row r="3333">
          <cell r="A3333" t="str">
            <v>AX209-WR-1AA</v>
          </cell>
          <cell r="B3333" t="str">
            <v>ROGUE ∞ RED 50R</v>
          </cell>
          <cell r="C3333">
            <v>49</v>
          </cell>
        </row>
        <row r="3334">
          <cell r="A3334" t="str">
            <v>AX211-WR-1AA</v>
          </cell>
          <cell r="B3334" t="str">
            <v>ROGUE ∞ BLUE 50R</v>
          </cell>
          <cell r="C3334">
            <v>52</v>
          </cell>
        </row>
        <row r="3335">
          <cell r="A3335" t="str">
            <v>AX211-WS-1AA</v>
          </cell>
          <cell r="B3335" t="str">
            <v>ROGUE ∞ BLUE 50S</v>
          </cell>
          <cell r="C3335">
            <v>54</v>
          </cell>
        </row>
        <row r="3336">
          <cell r="A3336" t="str">
            <v>AX212-WR-1AA</v>
          </cell>
          <cell r="B3336" t="str">
            <v>ROGUE ∞ BLUE 60R</v>
          </cell>
          <cell r="C3336">
            <v>61.5</v>
          </cell>
        </row>
        <row r="3337">
          <cell r="A3337" t="str">
            <v>AX214-WS-1AA</v>
          </cell>
          <cell r="B3337" t="str">
            <v>ROGUE ∞ WHITE 50S</v>
          </cell>
          <cell r="C3337">
            <v>53.5</v>
          </cell>
        </row>
        <row r="3338">
          <cell r="A3338" t="str">
            <v>AX216-WX-1AA</v>
          </cell>
          <cell r="B3338" t="str">
            <v>ROGUE ∞ WHITE 70X</v>
          </cell>
          <cell r="C3338">
            <v>73</v>
          </cell>
        </row>
        <row r="3339">
          <cell r="A3339" t="str">
            <v>SP417-WR-1A</v>
          </cell>
          <cell r="B3339" t="str">
            <v>MVLBWRM /26BX3 MAX WOOD FLEX-R</v>
          </cell>
          <cell r="C3339">
            <v>48</v>
          </cell>
        </row>
        <row r="3340">
          <cell r="A3340" t="str">
            <v>SF287-IL-7B</v>
          </cell>
          <cell r="B3340" t="str">
            <v>M5313401 /DIAMANA'27 WMNS #7 L</v>
          </cell>
          <cell r="C3340">
            <v>52.5</v>
          </cell>
        </row>
        <row r="3341">
          <cell r="A3341" t="str">
            <v>SF287-IL-6B</v>
          </cell>
          <cell r="B3341" t="str">
            <v>M5313301 /DIAMANA'27 WMNS #6 L</v>
          </cell>
          <cell r="C3341">
            <v>52</v>
          </cell>
        </row>
        <row r="3342">
          <cell r="A3342" t="str">
            <v>SF287-IL-8B</v>
          </cell>
          <cell r="B3342" t="str">
            <v>M5313501 /DIAMANA'27 WMNS #8 L</v>
          </cell>
          <cell r="C3342">
            <v>52.5</v>
          </cell>
        </row>
        <row r="3343">
          <cell r="A3343" t="str">
            <v>SF287-IL-9B</v>
          </cell>
          <cell r="B3343" t="str">
            <v>M5313601 /DIAMANA'27 WMNS #9 L</v>
          </cell>
          <cell r="C3343">
            <v>53</v>
          </cell>
        </row>
        <row r="3344">
          <cell r="A3344" t="str">
            <v>SF287-IL-PB</v>
          </cell>
          <cell r="B3344" t="str">
            <v>M5313701 /DIAMANA'27 WMNS PW L</v>
          </cell>
          <cell r="C3344">
            <v>53</v>
          </cell>
        </row>
        <row r="3345">
          <cell r="A3345" t="str">
            <v>MY062-WS-1A</v>
          </cell>
          <cell r="B3345" t="str">
            <v>TENSEI 1K WHITE RIP 65S</v>
          </cell>
          <cell r="C3345">
            <v>66</v>
          </cell>
        </row>
        <row r="3346">
          <cell r="A3346" t="str">
            <v>MY063-WX-1A</v>
          </cell>
          <cell r="B3346" t="str">
            <v>TENSEI 1K WHITE RIP 75X</v>
          </cell>
          <cell r="C3346">
            <v>69.5</v>
          </cell>
        </row>
        <row r="3347">
          <cell r="A3347" t="str">
            <v>MY065-WR-1A</v>
          </cell>
          <cell r="B3347" t="str">
            <v>TENSEI 1K BLUE RIP 55R</v>
          </cell>
          <cell r="C3347">
            <v>57</v>
          </cell>
        </row>
        <row r="3348">
          <cell r="A3348" t="str">
            <v>MY066-WS-1A</v>
          </cell>
          <cell r="B3348" t="str">
            <v>TENSEI 1K BLUE RIP 65S</v>
          </cell>
          <cell r="C3348">
            <v>67.5</v>
          </cell>
        </row>
        <row r="3349">
          <cell r="A3349" t="str">
            <v>MY067-WX-1A</v>
          </cell>
          <cell r="B3349" t="str">
            <v>TENSEI 1K BLUE RIP 75X</v>
          </cell>
          <cell r="C3349">
            <v>77.5</v>
          </cell>
        </row>
        <row r="3350">
          <cell r="A3350" t="str">
            <v>MY069-WR-1A</v>
          </cell>
          <cell r="B3350" t="str">
            <v>TENSEI 1K RED RIP 55R</v>
          </cell>
          <cell r="C3350">
            <v>50.5</v>
          </cell>
        </row>
        <row r="3351">
          <cell r="A3351" t="str">
            <v>MY070-WS-1A</v>
          </cell>
          <cell r="B3351" t="str">
            <v>TENSEI 1K RED RIP 65S</v>
          </cell>
          <cell r="C3351">
            <v>63.5</v>
          </cell>
        </row>
        <row r="3352">
          <cell r="A3352" t="str">
            <v>MY062-WX-1A</v>
          </cell>
          <cell r="B3352" t="str">
            <v>TENSEI 1K WHITE RIP 65X</v>
          </cell>
          <cell r="C3352">
            <v>69.5</v>
          </cell>
        </row>
        <row r="3353">
          <cell r="A3353" t="str">
            <v>MY063-WS-1A</v>
          </cell>
          <cell r="B3353" t="str">
            <v>TENSEI 1K WHITE RIP 75S</v>
          </cell>
          <cell r="C3353">
            <v>75</v>
          </cell>
        </row>
        <row r="3354">
          <cell r="A3354" t="str">
            <v>MY064-WX-1A</v>
          </cell>
          <cell r="B3354" t="str">
            <v>TENSEI 1K WHITE RIP 85X</v>
          </cell>
          <cell r="C3354">
            <v>89.5</v>
          </cell>
        </row>
        <row r="3355">
          <cell r="A3355" t="str">
            <v>MY065-WA-1A</v>
          </cell>
          <cell r="B3355" t="str">
            <v>TENSEI 1K BLUE RIP 55R2</v>
          </cell>
          <cell r="C3355">
            <v>55.5</v>
          </cell>
        </row>
        <row r="3356">
          <cell r="A3356" t="str">
            <v>MY065-WS-1A</v>
          </cell>
          <cell r="B3356" t="str">
            <v>TENSEI 1K BLUE RIP 55S</v>
          </cell>
          <cell r="C3356">
            <v>57.5</v>
          </cell>
        </row>
        <row r="3357">
          <cell r="A3357" t="str">
            <v>MY066-WR-1A</v>
          </cell>
          <cell r="B3357" t="str">
            <v>TENSEI 1K BLUE RIP 65R</v>
          </cell>
          <cell r="C3357">
            <v>65.5</v>
          </cell>
        </row>
        <row r="3358">
          <cell r="A3358" t="str">
            <v>MY066-WX-1A</v>
          </cell>
          <cell r="B3358" t="str">
            <v>TENSEI 1K BLUE RIP 65X</v>
          </cell>
          <cell r="C3358">
            <v>69.5</v>
          </cell>
        </row>
        <row r="3359">
          <cell r="A3359" t="str">
            <v>MY067-WS-1A</v>
          </cell>
          <cell r="B3359" t="str">
            <v>TENSEI 1K BLUE RIP 75S</v>
          </cell>
          <cell r="C3359">
            <v>75</v>
          </cell>
        </row>
        <row r="3360">
          <cell r="A3360" t="str">
            <v>MY068-WW-1A</v>
          </cell>
          <cell r="B3360" t="str">
            <v>TENSEI 1K RED RIP 45R3</v>
          </cell>
          <cell r="C3360">
            <v>45.5</v>
          </cell>
        </row>
        <row r="3361">
          <cell r="A3361" t="str">
            <v>MY069-WA-1A</v>
          </cell>
          <cell r="B3361" t="str">
            <v>TENSEI 1K RED RIP 55R2</v>
          </cell>
          <cell r="C3361">
            <v>49</v>
          </cell>
        </row>
        <row r="3362">
          <cell r="A3362" t="str">
            <v>MY069-WS-1A</v>
          </cell>
          <cell r="B3362" t="str">
            <v>TENSEI 1K RED RIP 55S</v>
          </cell>
          <cell r="C3362">
            <v>54</v>
          </cell>
        </row>
        <row r="3363">
          <cell r="A3363" t="str">
            <v>MY070-WR-1A</v>
          </cell>
          <cell r="B3363" t="str">
            <v>TENSEI 1K RED RIP 65R</v>
          </cell>
          <cell r="C3363">
            <v>60.5</v>
          </cell>
        </row>
        <row r="3364">
          <cell r="A3364" t="str">
            <v>CS046-WS-1A</v>
          </cell>
          <cell r="B3364" t="str">
            <v>TENSEI 1K PRO RIP Cosmetic Sample</v>
          </cell>
          <cell r="C3364">
            <v>56</v>
          </cell>
        </row>
        <row r="3365">
          <cell r="A3365" t="str">
            <v>TM001-IA-1A</v>
          </cell>
          <cell r="B3365" t="str">
            <v>MMT-HYB-60A/MMT HYBRID 60 A-FLEX</v>
          </cell>
          <cell r="C3365">
            <v>64.5</v>
          </cell>
        </row>
        <row r="3366">
          <cell r="A3366" t="str">
            <v>TM002-IR-1A</v>
          </cell>
          <cell r="B3366" t="str">
            <v>MMT-HYB-70R/MMT HYBRID 70 R-FLEX</v>
          </cell>
          <cell r="C3366">
            <v>72</v>
          </cell>
        </row>
        <row r="3367">
          <cell r="A3367" t="str">
            <v>TM003-IS-1A</v>
          </cell>
          <cell r="B3367" t="str">
            <v>MMT-HYB-80S/MMT HYBRID 80 S-FLEX</v>
          </cell>
          <cell r="C3367">
            <v>85</v>
          </cell>
        </row>
        <row r="3368">
          <cell r="A3368" t="str">
            <v>TM004-IX-1A</v>
          </cell>
          <cell r="B3368" t="str">
            <v>MMT-HYB-90X/MMT HYBRID 90 X-FLEX</v>
          </cell>
          <cell r="C3368">
            <v>101</v>
          </cell>
        </row>
        <row r="3369">
          <cell r="A3369" t="str">
            <v>MY043-WS-1X</v>
          </cell>
          <cell r="B3369" t="str">
            <v>2Gen TENSEI 1K Pro Orange 80S</v>
          </cell>
          <cell r="C3369">
            <v>84</v>
          </cell>
        </row>
        <row r="3370">
          <cell r="A3370" t="str">
            <v>MY040-WS-1X</v>
          </cell>
          <cell r="B3370" t="str">
            <v>2Gen TENSEI 1K Pro Orange 50S</v>
          </cell>
          <cell r="C3370">
            <v>53</v>
          </cell>
        </row>
        <row r="3371">
          <cell r="A3371" t="str">
            <v>MY040-WTX1X</v>
          </cell>
          <cell r="B3371" t="str">
            <v>2Gen TENSEI 1K Pro Orange 50TX</v>
          </cell>
          <cell r="C3371">
            <v>58.5</v>
          </cell>
        </row>
        <row r="3372">
          <cell r="A3372" t="str">
            <v>MY040-WX-1X</v>
          </cell>
          <cell r="B3372" t="str">
            <v>2Gen TENSEI 1K Pro Orange 50X</v>
          </cell>
          <cell r="C3372">
            <v>55</v>
          </cell>
        </row>
        <row r="3373">
          <cell r="A3373" t="str">
            <v>MY041-WR-1X</v>
          </cell>
          <cell r="B3373" t="str">
            <v>2Gen TENSEI 1K Pro Orange 60R</v>
          </cell>
          <cell r="C3373">
            <v>61</v>
          </cell>
        </row>
        <row r="3374">
          <cell r="A3374" t="str">
            <v>MY041-WS-1X</v>
          </cell>
          <cell r="B3374" t="str">
            <v>2Gen TENSEI 1K Pro Orange 60S</v>
          </cell>
          <cell r="C3374">
            <v>64</v>
          </cell>
        </row>
        <row r="3375">
          <cell r="A3375" t="str">
            <v>MY041-WTX1X</v>
          </cell>
          <cell r="B3375" t="str">
            <v>2Gen TENSEI 1K Pro Orange 60TX</v>
          </cell>
          <cell r="C3375">
            <v>67</v>
          </cell>
        </row>
        <row r="3376">
          <cell r="A3376" t="str">
            <v>MY041-WX-1X</v>
          </cell>
          <cell r="B3376" t="str">
            <v>2Gen TENSEI 1K Pro Orange 60X</v>
          </cell>
          <cell r="C3376">
            <v>66</v>
          </cell>
        </row>
        <row r="3377">
          <cell r="A3377" t="str">
            <v>MY042-WS-1X</v>
          </cell>
          <cell r="B3377" t="str">
            <v>2Gen TENSEI 1K Pro Orange 70S</v>
          </cell>
          <cell r="C3377">
            <v>74</v>
          </cell>
        </row>
        <row r="3378">
          <cell r="A3378" t="str">
            <v>MY042-WTX1X</v>
          </cell>
          <cell r="B3378" t="str">
            <v>2Gen TENSEI 1K Pro Orange 70TX</v>
          </cell>
          <cell r="C3378">
            <v>79</v>
          </cell>
        </row>
        <row r="3379">
          <cell r="A3379" t="str">
            <v>MY042-WX-1X</v>
          </cell>
          <cell r="B3379" t="str">
            <v>2Gen TENSEI 1K Pro Orange 70X</v>
          </cell>
          <cell r="C3379">
            <v>76</v>
          </cell>
        </row>
        <row r="3380">
          <cell r="A3380" t="str">
            <v>MY043-WTX1X</v>
          </cell>
          <cell r="B3380" t="str">
            <v>2Gen TENSEI 1K Pro Orange 80TX</v>
          </cell>
          <cell r="C3380">
            <v>88.5</v>
          </cell>
        </row>
        <row r="3381">
          <cell r="A3381" t="str">
            <v>MY043-WX-1X</v>
          </cell>
          <cell r="B3381" t="str">
            <v>2Gen TENSEI 1K Pro Orange 80X</v>
          </cell>
          <cell r="C3381">
            <v>85</v>
          </cell>
        </row>
        <row r="3382">
          <cell r="A3382" t="str">
            <v>MY044-WX-1X</v>
          </cell>
          <cell r="B3382" t="str">
            <v>2GEN TENSEI 1K PRO ORANGE 90 X</v>
          </cell>
          <cell r="C3382">
            <v>95.5</v>
          </cell>
        </row>
        <row r="3383">
          <cell r="A3383" t="str">
            <v>SF358-WS-1A</v>
          </cell>
          <cell r="B3383" t="str">
            <v>M5314301/SHM-BRUNO REAX 50 S</v>
          </cell>
          <cell r="C3383">
            <v>59</v>
          </cell>
        </row>
        <row r="3384">
          <cell r="A3384" t="str">
            <v>SF358-WSR1A</v>
          </cell>
          <cell r="B3384" t="str">
            <v>M5314401/SHM-BRUNO REAX 50 SR</v>
          </cell>
          <cell r="C3384">
            <v>56.5</v>
          </cell>
        </row>
        <row r="3385">
          <cell r="A3385" t="str">
            <v>AU245-IR-2A</v>
          </cell>
          <cell r="B3385" t="str">
            <v>2694375/SH HYB TEN 1K BL RIP 65 R 42.0</v>
          </cell>
          <cell r="C3385">
            <v>64</v>
          </cell>
        </row>
        <row r="3386">
          <cell r="A3386" t="str">
            <v>AU245-IS-2A</v>
          </cell>
          <cell r="B3386" t="str">
            <v>2694377/SH HYB TEN 1K BL RIP 65 S 42.0</v>
          </cell>
          <cell r="C3386">
            <v>67</v>
          </cell>
        </row>
        <row r="3387">
          <cell r="A3387" t="str">
            <v>AU246-IR-2A</v>
          </cell>
          <cell r="B3387" t="str">
            <v>2694379/SH HYB TEN 1K BL RIP 75 R 42.0</v>
          </cell>
          <cell r="C3387">
            <v>74.5</v>
          </cell>
        </row>
        <row r="3388">
          <cell r="A3388" t="str">
            <v>AU246-IS-2A</v>
          </cell>
          <cell r="B3388" t="str">
            <v>2694381/SH HYB TEN 1K BL RIP 75 S 42.0</v>
          </cell>
          <cell r="C3388">
            <v>76.5</v>
          </cell>
        </row>
        <row r="3389">
          <cell r="A3389" t="str">
            <v>AU248-IA-2A</v>
          </cell>
          <cell r="B3389" t="str">
            <v>2694365/SH HYB TEN 1K RD RIP 55 R2 42.0</v>
          </cell>
          <cell r="C3389">
            <v>58</v>
          </cell>
        </row>
        <row r="3390">
          <cell r="A3390" t="str">
            <v>AU248-IW-2A</v>
          </cell>
          <cell r="B3390" t="str">
            <v>2694363/SH HYB TEN 1K RD RIP 55 R3 42.0</v>
          </cell>
          <cell r="C3390">
            <v>53</v>
          </cell>
        </row>
        <row r="3391">
          <cell r="A3391" t="str">
            <v>AU249-IR-2A</v>
          </cell>
          <cell r="B3391" t="str">
            <v>2694367/SH HYB TEN 1K RD RIP 65 R 42.0</v>
          </cell>
          <cell r="C3391">
            <v>62.5</v>
          </cell>
        </row>
        <row r="3392">
          <cell r="A3392" t="str">
            <v>AU249-IS-2A</v>
          </cell>
          <cell r="B3392" t="str">
            <v>2694369/SH HYB TEN 1K RD RIP 65 S 42.0</v>
          </cell>
          <cell r="C3392">
            <v>65.5</v>
          </cell>
        </row>
        <row r="3393">
          <cell r="A3393" t="str">
            <v>AU250-IR-2A</v>
          </cell>
          <cell r="B3393" t="str">
            <v>2694371/SH HYB TEN 1K RD RIP 75 R 42.0</v>
          </cell>
          <cell r="C3393">
            <v>72.5</v>
          </cell>
        </row>
        <row r="3394">
          <cell r="A3394" t="str">
            <v>AU250-IS-2A</v>
          </cell>
          <cell r="B3394" t="str">
            <v>2694373/SH HYB TEN 1K RD RIP 75 S 42.0</v>
          </cell>
          <cell r="C3394">
            <v>74.5</v>
          </cell>
        </row>
        <row r="3395">
          <cell r="A3395" t="str">
            <v>AU247-IS-2A</v>
          </cell>
          <cell r="B3395" t="str">
            <v>2694383/SH HYB TEN 1K BL RIP 85 S 42.0</v>
          </cell>
          <cell r="C3395">
            <v>88</v>
          </cell>
        </row>
        <row r="3396">
          <cell r="A3396" t="str">
            <v>MY040-WR-1X</v>
          </cell>
          <cell r="B3396" t="str">
            <v>2Gen TENSEI 1K Pro Orange 50R</v>
          </cell>
          <cell r="C3396">
            <v>51</v>
          </cell>
        </row>
        <row r="3397">
          <cell r="A3397" t="str">
            <v>AU247-IX-2A</v>
          </cell>
          <cell r="B3397" t="str">
            <v>2694385/SH HYB TEN 1K BL RIP 85 X 42.0</v>
          </cell>
          <cell r="C3397">
            <v>91</v>
          </cell>
        </row>
        <row r="3398">
          <cell r="A3398" t="str">
            <v>CW189-WS-1A</v>
          </cell>
          <cell r="B3398" t="str">
            <v>35B233/SF WD MCA TENSEI 1K RIP BLU 65 GR STF</v>
          </cell>
          <cell r="C3398">
            <v>67.5</v>
          </cell>
        </row>
        <row r="3399">
          <cell r="A3399" t="str">
            <v>AU243-IS-2A</v>
          </cell>
          <cell r="B3399" t="str">
            <v>2694397/SH HYB TEN 1K WH RIP 85 S 42.0</v>
          </cell>
          <cell r="C3399">
            <v>84.5</v>
          </cell>
        </row>
        <row r="3400">
          <cell r="A3400" t="str">
            <v>AU244-IS-2A</v>
          </cell>
          <cell r="B3400" t="str">
            <v>2694401/SH HYB TEN 1K WH RIP 95 S 42.0</v>
          </cell>
          <cell r="C3400">
            <v>95</v>
          </cell>
        </row>
        <row r="3401">
          <cell r="A3401" t="str">
            <v>AU243-IX-2A</v>
          </cell>
          <cell r="B3401" t="str">
            <v>2694399/SH HYB TEN 1K WH RIP 85 X 42.0</v>
          </cell>
          <cell r="C3401">
            <v>89.5</v>
          </cell>
        </row>
        <row r="3402">
          <cell r="A3402" t="str">
            <v>AU244-IX-2A</v>
          </cell>
          <cell r="B3402" t="str">
            <v>2694403/SH HYB TEN 1K WH RIP 95 X 42.0</v>
          </cell>
          <cell r="C3402">
            <v>97.5</v>
          </cell>
        </row>
        <row r="3403">
          <cell r="A3403" t="str">
            <v>CW189-WR-1A</v>
          </cell>
          <cell r="B3403" t="str">
            <v>35B232/SF WD MCA TENSEI 1K RIP BLU 65 GR REG</v>
          </cell>
          <cell r="C3403">
            <v>65.5</v>
          </cell>
        </row>
        <row r="3404">
          <cell r="A3404" t="str">
            <v>CW189-WX-1A</v>
          </cell>
          <cell r="B3404" t="str">
            <v>35B234/SF WD MCA TENSEI 1K RIP BLU 65 GR XST</v>
          </cell>
          <cell r="C3404">
            <v>69.5</v>
          </cell>
        </row>
        <row r="3405">
          <cell r="A3405" t="str">
            <v>CW185-WS-1A</v>
          </cell>
          <cell r="B3405" t="str">
            <v>35B273/SF WD MCA TENSEI 1K RIP WHT 65 GR STF</v>
          </cell>
          <cell r="C3405">
            <v>66</v>
          </cell>
        </row>
        <row r="3406">
          <cell r="A3406" t="str">
            <v>CW185-WX-1A</v>
          </cell>
          <cell r="B3406" t="str">
            <v>35B274/SF WD MCA TENSEI 1K RIP WHT 65 GR XST</v>
          </cell>
          <cell r="C3406">
            <v>69.5</v>
          </cell>
        </row>
        <row r="3407">
          <cell r="A3407" t="str">
            <v>CW186-WS-1A</v>
          </cell>
          <cell r="B3407" t="str">
            <v>35B283/SF WD MCA TENSEI 1K RIP WHT 75 GR STF</v>
          </cell>
          <cell r="C3407">
            <v>75</v>
          </cell>
        </row>
        <row r="3408">
          <cell r="A3408" t="str">
            <v>CW186-WX-1A</v>
          </cell>
          <cell r="B3408" t="str">
            <v>35B284/SF WD MCA TENSEI 1K RIP WHT 75 GR XST</v>
          </cell>
          <cell r="C3408">
            <v>78</v>
          </cell>
        </row>
        <row r="3409">
          <cell r="A3409" t="str">
            <v>CW187-WX-1A</v>
          </cell>
          <cell r="B3409" t="str">
            <v>35B294/SF WD MCA TENSEI 1K RIP WHT 85 GR XST</v>
          </cell>
          <cell r="C3409">
            <v>89.5</v>
          </cell>
        </row>
        <row r="3410">
          <cell r="A3410" t="str">
            <v>CW188-WA-1A</v>
          </cell>
          <cell r="B3410" t="str">
            <v>35B221/SF WD MCA TENSEI 1K RIP BLU 55 GR R2</v>
          </cell>
          <cell r="C3410">
            <v>55.5</v>
          </cell>
        </row>
        <row r="3411">
          <cell r="A3411" t="str">
            <v>CW188-WR-1A</v>
          </cell>
          <cell r="B3411" t="str">
            <v>35B222/SF WD MCA TENSEI 1K RIP BLU 55 GR REG</v>
          </cell>
          <cell r="C3411">
            <v>57</v>
          </cell>
        </row>
        <row r="3412">
          <cell r="A3412" t="str">
            <v>CW188-WS-1A</v>
          </cell>
          <cell r="B3412" t="str">
            <v>35B223/SF WD MCA TENSEI 1K RIP BLU 55 GR STF</v>
          </cell>
          <cell r="C3412">
            <v>57.5</v>
          </cell>
        </row>
        <row r="3413">
          <cell r="A3413" t="str">
            <v>CW190-WS-1A</v>
          </cell>
          <cell r="B3413" t="str">
            <v>35B243/SF WD MCA TENSEI 1K RIP BLU 75 GR STF</v>
          </cell>
          <cell r="C3413">
            <v>75</v>
          </cell>
        </row>
        <row r="3414">
          <cell r="A3414" t="str">
            <v>CW190-WX-1A</v>
          </cell>
          <cell r="B3414" t="str">
            <v>35B244/SF WD MCA TENSEI 1K RIP BLU 75 GR XST</v>
          </cell>
          <cell r="C3414">
            <v>77.5</v>
          </cell>
        </row>
        <row r="3415">
          <cell r="A3415" t="str">
            <v>CW191-WW-1A</v>
          </cell>
          <cell r="B3415" t="str">
            <v>35B30Y/SF WD MCA TENSEI 1K RIP RED WMS 45 GR R3</v>
          </cell>
          <cell r="C3415">
            <v>45.5</v>
          </cell>
        </row>
        <row r="3416">
          <cell r="A3416" t="str">
            <v>CW192-WA-1A</v>
          </cell>
          <cell r="B3416" t="str">
            <v>35B251/SF WD MCA TENSEI 1K RIP RED 55 GR R2</v>
          </cell>
          <cell r="C3416">
            <v>49</v>
          </cell>
        </row>
        <row r="3417">
          <cell r="A3417" t="str">
            <v>CW192-WR-1A</v>
          </cell>
          <cell r="B3417" t="str">
            <v>35B252/SF WD MCA TENSEI 1K RIP RED 55 GR REG</v>
          </cell>
          <cell r="C3417">
            <v>50.5</v>
          </cell>
        </row>
        <row r="3418">
          <cell r="A3418" t="str">
            <v>CW192-WS-1A</v>
          </cell>
          <cell r="B3418" t="str">
            <v>35B253/SF WD MCA TENSEI 1K RIP RED 55 GR STF</v>
          </cell>
          <cell r="C3418">
            <v>54</v>
          </cell>
        </row>
        <row r="3419">
          <cell r="A3419" t="str">
            <v>CW193-WR-1A</v>
          </cell>
          <cell r="B3419" t="str">
            <v>35B262/SF WD MCA TENSEI 1K RIP RED 65 GR REG</v>
          </cell>
          <cell r="C3419">
            <v>60.5</v>
          </cell>
        </row>
        <row r="3420">
          <cell r="A3420" t="str">
            <v>CW193-WS-1A</v>
          </cell>
          <cell r="B3420" t="str">
            <v>35B263/SF WD MCA TENSEI 1K RIP RED 65 GR STF</v>
          </cell>
          <cell r="C3420">
            <v>63.5</v>
          </cell>
        </row>
        <row r="3421">
          <cell r="A3421" t="str">
            <v>SF287-IL-5B</v>
          </cell>
          <cell r="B3421" t="str">
            <v>M5313201 /DIAMANA'27 WMNS #5 L</v>
          </cell>
          <cell r="C3421">
            <v>52</v>
          </cell>
        </row>
        <row r="3422">
          <cell r="A3422" t="str">
            <v>SF287-IL-AB</v>
          </cell>
          <cell r="B3422" t="str">
            <v>M5314601/DIAMANA'27 WMNS AW L</v>
          </cell>
          <cell r="C3422">
            <v>53</v>
          </cell>
        </row>
        <row r="3423">
          <cell r="A3423" t="str">
            <v>YR195-ISRPA</v>
          </cell>
          <cell r="B3423" t="str">
            <v>DIAM-40W1/0TOUR WEDGE FLEX-SR</v>
          </cell>
          <cell r="C3423">
            <v>64.099999999999994</v>
          </cell>
        </row>
        <row r="3424">
          <cell r="A3424" t="str">
            <v>SF351-WA-1A</v>
          </cell>
          <cell r="B3424" t="str">
            <v>M6118301/SHM-REAX LR 50 A</v>
          </cell>
          <cell r="C3424">
            <v>55</v>
          </cell>
        </row>
        <row r="3425">
          <cell r="A3425" t="str">
            <v>SF352-WS-1A</v>
          </cell>
          <cell r="B3425" t="str">
            <v>M6118501 /SHM-REAX LR 70 S</v>
          </cell>
          <cell r="C3425">
            <v>76.5</v>
          </cell>
        </row>
        <row r="3426">
          <cell r="A3426" t="str">
            <v>SF352-WX-1A</v>
          </cell>
          <cell r="B3426" t="str">
            <v>M6118401 /SHM-REAX LR 70 X</v>
          </cell>
          <cell r="C3426">
            <v>80</v>
          </cell>
        </row>
        <row r="3427">
          <cell r="A3427" t="str">
            <v>SF353-WS-1A</v>
          </cell>
          <cell r="B3427" t="str">
            <v>M6118801 /SHM-REAX MR 70 S</v>
          </cell>
          <cell r="C3427">
            <v>79</v>
          </cell>
        </row>
        <row r="3428">
          <cell r="A3428" t="str">
            <v>SF353-WX-1A</v>
          </cell>
          <cell r="B3428" t="str">
            <v>M6118701/SHM-REAX MR 70 X</v>
          </cell>
          <cell r="C3428">
            <v>80.5</v>
          </cell>
        </row>
        <row r="3429">
          <cell r="A3429" t="str">
            <v>CW189-WS-1AY</v>
          </cell>
          <cell r="B3429" t="str">
            <v>35B673/SF WD MCA TENSEI 1K RIP BLU 65 GR STF (DEMO)</v>
          </cell>
          <cell r="C3429">
            <v>67.5</v>
          </cell>
        </row>
        <row r="3430">
          <cell r="A3430" t="str">
            <v>CW190-WS-1AY</v>
          </cell>
          <cell r="B3430" t="str">
            <v>35B683/SF WD MCA TENSEI 1K RIP BLU 75 GR STF (DEMO)</v>
          </cell>
          <cell r="C3430">
            <v>75</v>
          </cell>
        </row>
        <row r="3431">
          <cell r="A3431" t="str">
            <v>MX854-IR-1A</v>
          </cell>
          <cell r="B3431" t="str">
            <v>C6™ IRON 70 R-FLEX</v>
          </cell>
          <cell r="C3431">
            <v>78.5</v>
          </cell>
        </row>
        <row r="3432">
          <cell r="A3432" t="str">
            <v>MY038-IS-TA</v>
          </cell>
          <cell r="B3432" t="str">
            <v>12K DIAMANA PUTTER P105S</v>
          </cell>
          <cell r="C3432">
            <v>118</v>
          </cell>
        </row>
        <row r="3433">
          <cell r="A3433" t="str">
            <v>MY039-IS-TA</v>
          </cell>
          <cell r="B3433" t="str">
            <v>12K DIAMANA PUTTER P120S</v>
          </cell>
          <cell r="C3433">
            <v>140</v>
          </cell>
        </row>
        <row r="3434">
          <cell r="A3434" t="str">
            <v>M MX639-IS-8A</v>
          </cell>
          <cell r="C3434">
            <v>102.5</v>
          </cell>
        </row>
        <row r="3435">
          <cell r="A3435" t="str">
            <v>M MX902-IR-2A</v>
          </cell>
          <cell r="C3435">
            <v>102.5</v>
          </cell>
        </row>
        <row r="3436">
          <cell r="A3436" t="str">
            <v>M MX902-IR-3A</v>
          </cell>
          <cell r="C3436">
            <v>102.5</v>
          </cell>
        </row>
        <row r="3437">
          <cell r="A3437" t="str">
            <v>M MX902-IR-4A</v>
          </cell>
          <cell r="C3437">
            <v>102.5</v>
          </cell>
        </row>
        <row r="3438">
          <cell r="A3438" t="str">
            <v>M MX902-IR-5A</v>
          </cell>
          <cell r="C3438">
            <v>102.5</v>
          </cell>
        </row>
        <row r="3439">
          <cell r="A3439" t="str">
            <v>M MX902-IR-6A</v>
          </cell>
          <cell r="C3439">
            <v>102.5</v>
          </cell>
        </row>
        <row r="3440">
          <cell r="A3440" t="str">
            <v>M MX902-IR-9A</v>
          </cell>
          <cell r="C3440">
            <v>102.5</v>
          </cell>
        </row>
        <row r="3441">
          <cell r="A3441" t="str">
            <v>M MX902-IR-PA</v>
          </cell>
          <cell r="C3441">
            <v>102.5</v>
          </cell>
        </row>
        <row r="3442">
          <cell r="A3442" t="str">
            <v>M MX902-IS-2A</v>
          </cell>
          <cell r="C3442">
            <v>102.5</v>
          </cell>
        </row>
        <row r="3443">
          <cell r="A3443" t="str">
            <v>M MX902-IS-3A</v>
          </cell>
          <cell r="C3443">
            <v>102.5</v>
          </cell>
        </row>
        <row r="3444">
          <cell r="A3444" t="str">
            <v>M MX902-IS-4A</v>
          </cell>
          <cell r="C3444">
            <v>102.5</v>
          </cell>
        </row>
        <row r="3445">
          <cell r="A3445" t="str">
            <v>M MX902-IS-5A</v>
          </cell>
          <cell r="C3445">
            <v>102.5</v>
          </cell>
        </row>
        <row r="3446">
          <cell r="A3446" t="str">
            <v>M MX902-IS-6A</v>
          </cell>
          <cell r="C3446">
            <v>102.5</v>
          </cell>
        </row>
        <row r="3447">
          <cell r="A3447" t="str">
            <v>M MX902-IS-7A</v>
          </cell>
          <cell r="C3447">
            <v>102.5</v>
          </cell>
        </row>
        <row r="3448">
          <cell r="A3448" t="str">
            <v>M MX902-IS-8A</v>
          </cell>
          <cell r="C3448">
            <v>102.5</v>
          </cell>
        </row>
        <row r="3449">
          <cell r="A3449" t="str">
            <v>M MX902-IS-9A</v>
          </cell>
          <cell r="C3449">
            <v>102.5</v>
          </cell>
        </row>
        <row r="3450">
          <cell r="A3450" t="str">
            <v>M MX902-IS-PA</v>
          </cell>
          <cell r="C3450">
            <v>102.5</v>
          </cell>
        </row>
        <row r="3451">
          <cell r="A3451" t="str">
            <v>M MX903-IS-2A</v>
          </cell>
          <cell r="C3451">
            <v>102.5</v>
          </cell>
        </row>
        <row r="3452">
          <cell r="A3452" t="str">
            <v>M MX903-IS-3A</v>
          </cell>
          <cell r="C3452">
            <v>102.5</v>
          </cell>
        </row>
        <row r="3453">
          <cell r="A3453" t="str">
            <v>M MX903-IS-4A</v>
          </cell>
          <cell r="C3453">
            <v>102.5</v>
          </cell>
        </row>
        <row r="3454">
          <cell r="A3454" t="str">
            <v>M MX903-IS-5A</v>
          </cell>
          <cell r="C3454">
            <v>102.5</v>
          </cell>
        </row>
        <row r="3455">
          <cell r="A3455" t="str">
            <v>M MX903-IS-6A</v>
          </cell>
          <cell r="C3455">
            <v>102.5</v>
          </cell>
        </row>
        <row r="3456">
          <cell r="A3456" t="str">
            <v>M MX903-IS-7A</v>
          </cell>
          <cell r="C3456">
            <v>102.5</v>
          </cell>
        </row>
        <row r="3457">
          <cell r="A3457" t="str">
            <v>M MX903-IS-8A</v>
          </cell>
          <cell r="C3457">
            <v>102.5</v>
          </cell>
        </row>
        <row r="3458">
          <cell r="A3458" t="str">
            <v>M MX903-IS-9A</v>
          </cell>
          <cell r="C3458">
            <v>102.5</v>
          </cell>
        </row>
        <row r="3459">
          <cell r="A3459" t="str">
            <v>M MX903-IS-PA</v>
          </cell>
          <cell r="C3459">
            <v>102.5</v>
          </cell>
        </row>
        <row r="3460">
          <cell r="A3460" t="str">
            <v>M MX903-IX-2A</v>
          </cell>
          <cell r="C3460">
            <v>102.5</v>
          </cell>
        </row>
        <row r="3461">
          <cell r="A3461" t="str">
            <v>M MX903-IX-3A</v>
          </cell>
          <cell r="C3461">
            <v>102.5</v>
          </cell>
        </row>
        <row r="3462">
          <cell r="A3462" t="str">
            <v>M MX903-IX-4A</v>
          </cell>
          <cell r="C3462">
            <v>102.5</v>
          </cell>
        </row>
        <row r="3463">
          <cell r="A3463" t="str">
            <v>M MX903-IX-5A</v>
          </cell>
          <cell r="C3463">
            <v>102.5</v>
          </cell>
        </row>
        <row r="3464">
          <cell r="A3464" t="str">
            <v>M MX903-IX-6A</v>
          </cell>
          <cell r="C3464">
            <v>102.5</v>
          </cell>
        </row>
        <row r="3465">
          <cell r="A3465" t="str">
            <v>M MX903-IX-7A</v>
          </cell>
          <cell r="C3465">
            <v>102.5</v>
          </cell>
        </row>
        <row r="3466">
          <cell r="A3466" t="str">
            <v>M MX903-IX-8A</v>
          </cell>
          <cell r="C3466">
            <v>102.5</v>
          </cell>
        </row>
        <row r="3467">
          <cell r="A3467" t="str">
            <v>M MX903-IX-9A</v>
          </cell>
          <cell r="C3467">
            <v>102.5</v>
          </cell>
        </row>
        <row r="3468">
          <cell r="A3468" t="str">
            <v>M MX903-IX-PA</v>
          </cell>
          <cell r="C3468">
            <v>102.5</v>
          </cell>
        </row>
        <row r="3469">
          <cell r="A3469" t="str">
            <v>M MX904-IS-2A</v>
          </cell>
          <cell r="C3469">
            <v>102.5</v>
          </cell>
        </row>
        <row r="3470">
          <cell r="A3470" t="str">
            <v>M MX904-IS-3A</v>
          </cell>
          <cell r="C3470">
            <v>102.5</v>
          </cell>
        </row>
        <row r="3471">
          <cell r="A3471" t="str">
            <v>M MX904-IS-4A</v>
          </cell>
          <cell r="C3471">
            <v>102.5</v>
          </cell>
        </row>
        <row r="3472">
          <cell r="A3472" t="str">
            <v>M MX904-IS-5A</v>
          </cell>
          <cell r="C3472">
            <v>102.5</v>
          </cell>
        </row>
        <row r="3473">
          <cell r="A3473" t="str">
            <v>M MX904-IS-6A</v>
          </cell>
          <cell r="C3473">
            <v>102.5</v>
          </cell>
        </row>
        <row r="3474">
          <cell r="A3474" t="str">
            <v>M MX904-IS-7A</v>
          </cell>
          <cell r="C3474">
            <v>102.5</v>
          </cell>
        </row>
        <row r="3475">
          <cell r="A3475" t="str">
            <v>M MX904-IS-8A</v>
          </cell>
          <cell r="C3475">
            <v>102.5</v>
          </cell>
        </row>
        <row r="3476">
          <cell r="A3476" t="str">
            <v>M MX904-IS-9A</v>
          </cell>
          <cell r="C3476">
            <v>102.5</v>
          </cell>
        </row>
        <row r="3477">
          <cell r="A3477" t="str">
            <v>M MX904-IS-PA</v>
          </cell>
          <cell r="C3477">
            <v>102.5</v>
          </cell>
        </row>
        <row r="3478">
          <cell r="A3478" t="str">
            <v>M MX904-IX-2A</v>
          </cell>
          <cell r="C3478">
            <v>102.5</v>
          </cell>
        </row>
        <row r="3479">
          <cell r="A3479" t="str">
            <v>M MX904-IX-3A</v>
          </cell>
          <cell r="C3479">
            <v>102.5</v>
          </cell>
        </row>
        <row r="3480">
          <cell r="A3480" t="str">
            <v>M MX904-IX-4A</v>
          </cell>
          <cell r="C3480">
            <v>102.5</v>
          </cell>
        </row>
        <row r="3481">
          <cell r="A3481" t="str">
            <v>M MX904-IX-5A</v>
          </cell>
          <cell r="C3481">
            <v>102.5</v>
          </cell>
        </row>
        <row r="3482">
          <cell r="A3482" t="str">
            <v>M MX904-IX-6A</v>
          </cell>
          <cell r="C3482">
            <v>102.5</v>
          </cell>
        </row>
        <row r="3483">
          <cell r="A3483" t="str">
            <v>M MX904-IX-7A</v>
          </cell>
          <cell r="C3483">
            <v>102.5</v>
          </cell>
        </row>
        <row r="3484">
          <cell r="A3484" t="str">
            <v>M MX904-IX-8A</v>
          </cell>
          <cell r="C3484">
            <v>102.5</v>
          </cell>
        </row>
        <row r="3485">
          <cell r="A3485" t="str">
            <v>M MX904-IX-9A</v>
          </cell>
          <cell r="C3485">
            <v>102.5</v>
          </cell>
        </row>
        <row r="3486">
          <cell r="A3486" t="str">
            <v>M MX904-IX-PA</v>
          </cell>
          <cell r="C3486">
            <v>102.5</v>
          </cell>
        </row>
        <row r="3487">
          <cell r="A3487" t="str">
            <v>M MX905-IX-2A</v>
          </cell>
          <cell r="C3487">
            <v>102.5</v>
          </cell>
        </row>
        <row r="3488">
          <cell r="A3488" t="str">
            <v>M MX905-IX-3A</v>
          </cell>
          <cell r="C3488">
            <v>102.5</v>
          </cell>
        </row>
        <row r="3489">
          <cell r="A3489" t="str">
            <v>M MX905-IX-4A</v>
          </cell>
          <cell r="C3489">
            <v>102.5</v>
          </cell>
        </row>
        <row r="3490">
          <cell r="A3490" t="str">
            <v>M MX905-IX-5A</v>
          </cell>
          <cell r="C3490">
            <v>102.5</v>
          </cell>
        </row>
        <row r="3491">
          <cell r="A3491" t="str">
            <v>M MX905-IX-6A</v>
          </cell>
          <cell r="C3491">
            <v>102.5</v>
          </cell>
        </row>
        <row r="3492">
          <cell r="A3492" t="str">
            <v>M MX905-IX-7A</v>
          </cell>
          <cell r="C3492">
            <v>102.5</v>
          </cell>
        </row>
        <row r="3493">
          <cell r="A3493" t="str">
            <v>M MX905-IX-8A</v>
          </cell>
          <cell r="C3493">
            <v>102.5</v>
          </cell>
        </row>
        <row r="3494">
          <cell r="A3494" t="str">
            <v>M MX905-IX-9A</v>
          </cell>
          <cell r="C3494">
            <v>102.5</v>
          </cell>
        </row>
        <row r="3495">
          <cell r="A3495" t="str">
            <v>M MX905-IX-PA</v>
          </cell>
          <cell r="C3495">
            <v>102.5</v>
          </cell>
        </row>
        <row r="3496">
          <cell r="A3496" t="str">
            <v>M MX906-IS-1A</v>
          </cell>
          <cell r="C3496">
            <v>102.5</v>
          </cell>
        </row>
        <row r="3497">
          <cell r="A3497" t="str">
            <v>M MX906-IX-1A</v>
          </cell>
          <cell r="C3497">
            <v>102.5</v>
          </cell>
        </row>
        <row r="3498">
          <cell r="A3498" t="str">
            <v>M MX907-IX-1A</v>
          </cell>
          <cell r="C3498">
            <v>102.5</v>
          </cell>
        </row>
        <row r="3499">
          <cell r="A3499" t="str">
            <v>M MX912-IS-1A</v>
          </cell>
          <cell r="C3499">
            <v>102.5</v>
          </cell>
        </row>
        <row r="3500">
          <cell r="A3500" t="str">
            <v>M MX912-IX-1A</v>
          </cell>
          <cell r="C3500">
            <v>102.5</v>
          </cell>
        </row>
        <row r="3501">
          <cell r="A3501" t="str">
            <v>M MX913-IX-1A</v>
          </cell>
          <cell r="C3501">
            <v>102.5</v>
          </cell>
        </row>
        <row r="3502">
          <cell r="A3502" t="str">
            <v>M MX914-IS-PA</v>
          </cell>
          <cell r="C3502">
            <v>102.5</v>
          </cell>
        </row>
        <row r="3503">
          <cell r="A3503" t="str">
            <v>M MX915-IS-PA</v>
          </cell>
          <cell r="C3503">
            <v>102.5</v>
          </cell>
        </row>
        <row r="3504">
          <cell r="A3504" t="str">
            <v>M MX931-IS-PA</v>
          </cell>
          <cell r="C3504">
            <v>102.5</v>
          </cell>
        </row>
        <row r="3505">
          <cell r="A3505" t="str">
            <v>M MX932-IS-PA</v>
          </cell>
          <cell r="C3505">
            <v>102.5</v>
          </cell>
        </row>
        <row r="3506">
          <cell r="A3506" t="str">
            <v>M MX944-IR-3A</v>
          </cell>
          <cell r="C3506">
            <v>102.5</v>
          </cell>
        </row>
        <row r="3507">
          <cell r="A3507" t="str">
            <v>M MX944-IR-4A</v>
          </cell>
          <cell r="C3507">
            <v>102.5</v>
          </cell>
        </row>
        <row r="3508">
          <cell r="A3508" t="str">
            <v>M MX944-IR-5A</v>
          </cell>
          <cell r="C3508">
            <v>102.5</v>
          </cell>
        </row>
        <row r="3509">
          <cell r="A3509" t="str">
            <v>M MX944-IR-6A</v>
          </cell>
          <cell r="C3509">
            <v>102.5</v>
          </cell>
        </row>
        <row r="3510">
          <cell r="A3510" t="str">
            <v>M MX944-IR-7A</v>
          </cell>
          <cell r="C3510">
            <v>102.5</v>
          </cell>
        </row>
        <row r="3511">
          <cell r="A3511" t="str">
            <v>M MX944-IR-8A</v>
          </cell>
          <cell r="C3511">
            <v>102.5</v>
          </cell>
        </row>
        <row r="3512">
          <cell r="A3512" t="str">
            <v>M MX944-IR-9A</v>
          </cell>
          <cell r="C3512">
            <v>102.5</v>
          </cell>
        </row>
        <row r="3513">
          <cell r="A3513" t="str">
            <v>M MX944-IR-PA</v>
          </cell>
          <cell r="C3513">
            <v>102.5</v>
          </cell>
        </row>
        <row r="3514">
          <cell r="A3514" t="str">
            <v>M MX944-IS-4A</v>
          </cell>
          <cell r="C3514">
            <v>102.5</v>
          </cell>
        </row>
        <row r="3515">
          <cell r="A3515" t="str">
            <v>M MX944-IS-5A</v>
          </cell>
          <cell r="C3515">
            <v>102.5</v>
          </cell>
        </row>
        <row r="3516">
          <cell r="A3516" t="str">
            <v>M MX944-IS-6A</v>
          </cell>
          <cell r="C3516">
            <v>102.5</v>
          </cell>
        </row>
        <row r="3517">
          <cell r="A3517" t="str">
            <v>M MX944-IS-7A</v>
          </cell>
          <cell r="C3517">
            <v>102.5</v>
          </cell>
        </row>
        <row r="3518">
          <cell r="A3518" t="str">
            <v>M MX944-IS-8A</v>
          </cell>
          <cell r="C3518">
            <v>102.5</v>
          </cell>
        </row>
        <row r="3519">
          <cell r="A3519" t="str">
            <v>M MX944-IS-9A</v>
          </cell>
          <cell r="C3519">
            <v>102.5</v>
          </cell>
        </row>
        <row r="3520">
          <cell r="A3520" t="str">
            <v>M MX944-IS-PA</v>
          </cell>
          <cell r="C3520">
            <v>102.5</v>
          </cell>
        </row>
        <row r="3521">
          <cell r="A3521" t="str">
            <v>M MX944-IX-3A</v>
          </cell>
          <cell r="C3521">
            <v>102.5</v>
          </cell>
        </row>
        <row r="3522">
          <cell r="A3522" t="str">
            <v>M MX944-IX-4A</v>
          </cell>
          <cell r="C3522">
            <v>102.5</v>
          </cell>
        </row>
        <row r="3523">
          <cell r="A3523" t="str">
            <v>M MX944-IX-5A</v>
          </cell>
          <cell r="C3523">
            <v>102.5</v>
          </cell>
        </row>
        <row r="3524">
          <cell r="A3524" t="str">
            <v>M MX944-IX-6A</v>
          </cell>
          <cell r="C3524">
            <v>102.5</v>
          </cell>
        </row>
        <row r="3525">
          <cell r="A3525" t="str">
            <v>M MX944-IX-7A</v>
          </cell>
          <cell r="C3525">
            <v>102.5</v>
          </cell>
        </row>
        <row r="3526">
          <cell r="A3526" t="str">
            <v>M MX944-IX-8A</v>
          </cell>
          <cell r="C3526">
            <v>102.5</v>
          </cell>
        </row>
        <row r="3527">
          <cell r="A3527" t="str">
            <v>M MX944-IX-9A</v>
          </cell>
          <cell r="C3527">
            <v>102.5</v>
          </cell>
        </row>
        <row r="3528">
          <cell r="A3528" t="str">
            <v>M MX944-IX-PA</v>
          </cell>
          <cell r="C3528">
            <v>102.5</v>
          </cell>
        </row>
        <row r="3529">
          <cell r="A3529" t="str">
            <v>M MX944-UR-1A</v>
          </cell>
          <cell r="C3529">
            <v>102.5</v>
          </cell>
        </row>
        <row r="3530">
          <cell r="A3530" t="str">
            <v>M MX944-US-1A</v>
          </cell>
          <cell r="C3530">
            <v>102.5</v>
          </cell>
        </row>
        <row r="3531">
          <cell r="A3531" t="str">
            <v>M MX944-UX-1A</v>
          </cell>
          <cell r="C3531">
            <v>102.5</v>
          </cell>
        </row>
        <row r="3532">
          <cell r="A3532" t="str">
            <v>M MX944-WR-3A</v>
          </cell>
          <cell r="C3532">
            <v>102.5</v>
          </cell>
        </row>
        <row r="3533">
          <cell r="A3533" t="str">
            <v>M MX944-WS-3A</v>
          </cell>
          <cell r="C3533">
            <v>102.5</v>
          </cell>
        </row>
        <row r="3534">
          <cell r="A3534" t="str">
            <v>M MX944-WX-3A</v>
          </cell>
          <cell r="C3534">
            <v>102.5</v>
          </cell>
        </row>
        <row r="3535">
          <cell r="A3535" t="str">
            <v>M MX945-IR-3A</v>
          </cell>
          <cell r="C3535">
            <v>102.5</v>
          </cell>
        </row>
        <row r="3536">
          <cell r="A3536" t="str">
            <v>M MX945-IR-4A</v>
          </cell>
          <cell r="C3536">
            <v>102.5</v>
          </cell>
        </row>
        <row r="3537">
          <cell r="A3537" t="str">
            <v>M MX945-IR-5A</v>
          </cell>
          <cell r="C3537">
            <v>102.5</v>
          </cell>
        </row>
        <row r="3538">
          <cell r="A3538" t="str">
            <v>M MX945-IR-6A</v>
          </cell>
          <cell r="C3538">
            <v>102.5</v>
          </cell>
        </row>
        <row r="3539">
          <cell r="A3539" t="str">
            <v>M MX945-IR-7A</v>
          </cell>
          <cell r="C3539">
            <v>102.5</v>
          </cell>
        </row>
        <row r="3540">
          <cell r="A3540" t="str">
            <v>M MX945-IR-8A</v>
          </cell>
          <cell r="C3540">
            <v>102.5</v>
          </cell>
        </row>
        <row r="3541">
          <cell r="A3541" t="str">
            <v>M MX945-IR-9A</v>
          </cell>
          <cell r="C3541">
            <v>102.5</v>
          </cell>
        </row>
        <row r="3542">
          <cell r="A3542" t="str">
            <v>M MX945-IR-PA</v>
          </cell>
          <cell r="C3542">
            <v>102.5</v>
          </cell>
        </row>
        <row r="3543">
          <cell r="A3543" t="str">
            <v>M MX945-IS-3A</v>
          </cell>
          <cell r="C3543">
            <v>102.5</v>
          </cell>
        </row>
        <row r="3544">
          <cell r="A3544" t="str">
            <v>M MX945-IS-4A</v>
          </cell>
          <cell r="C3544">
            <v>102.5</v>
          </cell>
        </row>
        <row r="3545">
          <cell r="A3545" t="str">
            <v>M MX945-IS-5A</v>
          </cell>
          <cell r="C3545">
            <v>102.5</v>
          </cell>
        </row>
        <row r="3546">
          <cell r="A3546" t="str">
            <v>M MX945-IS-6A</v>
          </cell>
          <cell r="C3546">
            <v>102.5</v>
          </cell>
        </row>
        <row r="3547">
          <cell r="A3547" t="str">
            <v>M MX945-IS-7A</v>
          </cell>
          <cell r="C3547">
            <v>102.5</v>
          </cell>
        </row>
        <row r="3548">
          <cell r="A3548" t="str">
            <v>M MX945-IS-8A</v>
          </cell>
          <cell r="C3548">
            <v>102.5</v>
          </cell>
        </row>
        <row r="3549">
          <cell r="A3549" t="str">
            <v>M MX945-IS-9A</v>
          </cell>
          <cell r="C3549">
            <v>102.5</v>
          </cell>
        </row>
        <row r="3550">
          <cell r="A3550" t="str">
            <v>M MX945-IS-PA</v>
          </cell>
          <cell r="C3550">
            <v>102.5</v>
          </cell>
        </row>
        <row r="3551">
          <cell r="A3551" t="str">
            <v>M MX945-IX-3A</v>
          </cell>
          <cell r="C3551">
            <v>102.5</v>
          </cell>
        </row>
        <row r="3552">
          <cell r="A3552" t="str">
            <v>M MX945-IX-4A</v>
          </cell>
          <cell r="C3552">
            <v>102.5</v>
          </cell>
        </row>
        <row r="3553">
          <cell r="A3553" t="str">
            <v>M MX945-IX-5A</v>
          </cell>
          <cell r="C3553">
            <v>102.5</v>
          </cell>
        </row>
        <row r="3554">
          <cell r="A3554" t="str">
            <v>M MX945-IX-6A</v>
          </cell>
          <cell r="C3554">
            <v>102.5</v>
          </cell>
        </row>
        <row r="3555">
          <cell r="A3555" t="str">
            <v>M MX945-IX-7A</v>
          </cell>
          <cell r="C3555">
            <v>102.5</v>
          </cell>
        </row>
        <row r="3556">
          <cell r="A3556" t="str">
            <v>M MX945-IX-8A</v>
          </cell>
          <cell r="C3556">
            <v>102.5</v>
          </cell>
        </row>
        <row r="3557">
          <cell r="A3557" t="str">
            <v>M MX945-IX-9A</v>
          </cell>
          <cell r="C3557">
            <v>102.5</v>
          </cell>
        </row>
        <row r="3558">
          <cell r="A3558" t="str">
            <v>M MX945-IX-PA</v>
          </cell>
          <cell r="C3558">
            <v>102.5</v>
          </cell>
        </row>
        <row r="3559">
          <cell r="A3559" t="str">
            <v>M MX945-UR-1A</v>
          </cell>
          <cell r="C3559">
            <v>102.5</v>
          </cell>
        </row>
        <row r="3560">
          <cell r="A3560" t="str">
            <v>M MX945-US-1A</v>
          </cell>
          <cell r="C3560">
            <v>102.5</v>
          </cell>
        </row>
        <row r="3561">
          <cell r="A3561" t="str">
            <v>M MX945-UX-1A</v>
          </cell>
          <cell r="C3561">
            <v>102.5</v>
          </cell>
        </row>
        <row r="3562">
          <cell r="A3562" t="str">
            <v>M MX945-WS-3A</v>
          </cell>
          <cell r="C3562">
            <v>102.5</v>
          </cell>
        </row>
        <row r="3563">
          <cell r="A3563" t="str">
            <v>M MX945-WX-3A</v>
          </cell>
          <cell r="C3563">
            <v>102.5</v>
          </cell>
        </row>
        <row r="3564">
          <cell r="A3564" t="str">
            <v>M MX965-UR-1A</v>
          </cell>
          <cell r="C3564">
            <v>102.5</v>
          </cell>
        </row>
        <row r="3565">
          <cell r="A3565" t="str">
            <v>M MX965-US-1A</v>
          </cell>
          <cell r="C3565">
            <v>102.5</v>
          </cell>
        </row>
        <row r="3566">
          <cell r="A3566" t="str">
            <v>M MX965-UX-1A</v>
          </cell>
          <cell r="C3566">
            <v>102.5</v>
          </cell>
        </row>
        <row r="3567">
          <cell r="A3567" t="str">
            <v>M MX966-UR-1A</v>
          </cell>
          <cell r="C3567">
            <v>102.5</v>
          </cell>
        </row>
        <row r="3568">
          <cell r="A3568" t="str">
            <v>M MX966-US-1A</v>
          </cell>
          <cell r="C3568">
            <v>102.5</v>
          </cell>
        </row>
        <row r="3569">
          <cell r="A3569" t="str">
            <v>M MX966-UX-1A</v>
          </cell>
          <cell r="C3569">
            <v>102.5</v>
          </cell>
        </row>
        <row r="3570">
          <cell r="A3570" t="str">
            <v>M-MX944-IS-3A</v>
          </cell>
          <cell r="C3570">
            <v>102.5</v>
          </cell>
        </row>
        <row r="3571">
          <cell r="A3571" t="str">
            <v>M-MX944-IX-PA</v>
          </cell>
          <cell r="C3571">
            <v>102.5</v>
          </cell>
        </row>
        <row r="3572">
          <cell r="A3572" t="str">
            <v>M-MX945-IR-4A</v>
          </cell>
          <cell r="C3572">
            <v>102.5</v>
          </cell>
        </row>
        <row r="3573">
          <cell r="A3573" t="str">
            <v>M-MX945-WX-3A</v>
          </cell>
          <cell r="C3573">
            <v>102.5</v>
          </cell>
        </row>
        <row r="3574">
          <cell r="A3574" t="str">
            <v>M-MX965-US-1A</v>
          </cell>
          <cell r="C3574">
            <v>102.5</v>
          </cell>
        </row>
        <row r="3575">
          <cell r="A3575" t="str">
            <v>MX946-WR-1T</v>
          </cell>
          <cell r="B3575" t="str">
            <v>DIAMANA™ BB-SERIES 43 R-FLEX</v>
          </cell>
          <cell r="C3575">
            <v>44.5</v>
          </cell>
        </row>
        <row r="3576">
          <cell r="A3576" t="str">
            <v>MX947-WR-1T</v>
          </cell>
          <cell r="B3576" t="str">
            <v>DIAMANA™ BB-SERIES 53 R-FLEX</v>
          </cell>
          <cell r="C3576">
            <v>50</v>
          </cell>
        </row>
        <row r="3577">
          <cell r="A3577" t="str">
            <v>MX947-WS-1T</v>
          </cell>
          <cell r="B3577" t="str">
            <v>DIAMANA™ BB-SERIES 53 S-FLEX</v>
          </cell>
          <cell r="C3577">
            <v>53.5</v>
          </cell>
        </row>
        <row r="3578">
          <cell r="A3578" t="str">
            <v>MX948-WS-1T</v>
          </cell>
          <cell r="B3578" t="str">
            <v>DIAMANA™ BB-SERIES 63 S-FLEX</v>
          </cell>
          <cell r="C3578">
            <v>61</v>
          </cell>
        </row>
        <row r="3579">
          <cell r="A3579" t="str">
            <v>MY041-WS-1AT</v>
          </cell>
          <cell r="B3579" t="str">
            <v>TENSEI 1K PRO ORG RIP 60S (DEMO)</v>
          </cell>
          <cell r="C3579">
            <v>64</v>
          </cell>
        </row>
        <row r="3580">
          <cell r="A3580" t="str">
            <v>MY042-WS-1AT</v>
          </cell>
          <cell r="B3580" t="str">
            <v>TENSEI 1K PRO ORG RIP 70S (DEMO)</v>
          </cell>
          <cell r="C3580">
            <v>74</v>
          </cell>
        </row>
      </sheetData>
      <sheetData sheetId="154"/>
      <sheetData sheetId="155"/>
      <sheetData sheetId="156"/>
      <sheetData sheetId="157"/>
      <sheetData sheetId="158"/>
      <sheetData sheetId="159"/>
      <sheetData sheetId="16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44d21b-ee8d-4a6c-8cff-87f00b31213b}">
  <we:reference id="WA200006575" version="1.0.0.5" store="en-US" storeType="OMEX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E65F-AFC4-4539-BDE3-10DE61587C4E}">
  <sheetPr>
    <pageSetUpPr fitToPage="1"/>
  </sheetPr>
  <dimension ref="A1:P36"/>
  <sheetViews>
    <sheetView showGridLines="0" tabSelected="1" view="pageBreakPreview" zoomScale="55" zoomScaleNormal="70" zoomScaleSheetLayoutView="55" workbookViewId="0">
      <selection activeCell="E3" sqref="E3:K3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5" width="15.109375" style="1" customWidth="1"/>
    <col min="6" max="6" width="18.88671875" style="2" customWidth="1"/>
    <col min="7" max="7" width="19.6640625" style="2" customWidth="1"/>
    <col min="8" max="8" width="18.6640625" style="2" customWidth="1"/>
    <col min="9" max="9" width="24.5546875" style="2" customWidth="1"/>
    <col min="10" max="10" width="26.109375" style="2" customWidth="1"/>
    <col min="11" max="11" width="15.44140625" style="2" customWidth="1"/>
    <col min="12" max="12" width="12.44140625" style="2" customWidth="1"/>
    <col min="13" max="14" width="20.21875" style="2" customWidth="1"/>
    <col min="15" max="16" width="20.21875" style="1" customWidth="1"/>
    <col min="17" max="16384" width="9.109375" style="1"/>
  </cols>
  <sheetData>
    <row r="1" spans="1:16" ht="27.75" customHeight="1" thickBot="1">
      <c r="B1" s="1" t="s">
        <v>28</v>
      </c>
    </row>
    <row r="2" spans="1:16" ht="34.5" customHeight="1" thickBot="1">
      <c r="A2" s="146"/>
      <c r="B2" s="140"/>
      <c r="C2" s="140"/>
      <c r="D2" s="145"/>
      <c r="E2" s="144" t="s">
        <v>109</v>
      </c>
      <c r="F2" s="144"/>
      <c r="G2" s="144"/>
      <c r="H2" s="144"/>
      <c r="I2" s="144"/>
      <c r="J2" s="144"/>
      <c r="K2" s="144"/>
      <c r="L2" s="144"/>
      <c r="M2" s="143"/>
      <c r="N2" s="143" t="s">
        <v>94</v>
      </c>
      <c r="O2" s="142">
        <v>46318</v>
      </c>
      <c r="P2" s="141"/>
    </row>
    <row r="3" spans="1:16" ht="60" customHeight="1" thickBot="1">
      <c r="A3" s="140"/>
      <c r="B3" s="140"/>
      <c r="C3" s="140"/>
      <c r="D3" s="140"/>
      <c r="E3" s="139" t="s">
        <v>93</v>
      </c>
      <c r="F3" s="139"/>
      <c r="G3" s="139"/>
      <c r="H3" s="139"/>
      <c r="I3" s="139"/>
      <c r="J3" s="139"/>
      <c r="K3" s="139"/>
      <c r="L3" s="137" t="s">
        <v>92</v>
      </c>
      <c r="M3" s="138">
        <v>46318</v>
      </c>
      <c r="N3" s="137" t="s">
        <v>91</v>
      </c>
      <c r="O3" s="136">
        <v>46318</v>
      </c>
      <c r="P3" s="135"/>
    </row>
    <row r="4" spans="1:16" ht="24.75" customHeight="1">
      <c r="A4" s="128" t="s">
        <v>90</v>
      </c>
      <c r="B4" s="130"/>
      <c r="C4" s="130"/>
      <c r="D4" s="130"/>
      <c r="E4" s="130"/>
      <c r="F4" s="130"/>
      <c r="G4" s="130"/>
      <c r="H4" s="129"/>
      <c r="I4" s="128" t="s">
        <v>89</v>
      </c>
      <c r="J4" s="127"/>
      <c r="K4" s="134"/>
      <c r="L4" s="125"/>
      <c r="M4" s="125"/>
      <c r="N4" s="124"/>
      <c r="O4" s="123"/>
      <c r="P4" s="122"/>
    </row>
    <row r="5" spans="1:16" ht="102" customHeight="1" thickBot="1">
      <c r="A5" s="111" t="s">
        <v>85</v>
      </c>
      <c r="B5" s="111"/>
      <c r="C5" s="111"/>
      <c r="D5" s="111"/>
      <c r="E5" s="111"/>
      <c r="F5" s="111"/>
      <c r="G5" s="111"/>
      <c r="H5" s="111"/>
      <c r="I5" s="111" t="s">
        <v>88</v>
      </c>
      <c r="J5" s="111"/>
      <c r="K5" s="111"/>
      <c r="L5" s="111"/>
      <c r="M5" s="111"/>
      <c r="N5" s="111"/>
      <c r="O5" s="111"/>
      <c r="P5" s="111"/>
    </row>
    <row r="6" spans="1:16" ht="24.75" customHeight="1">
      <c r="A6" s="128" t="s">
        <v>87</v>
      </c>
      <c r="B6" s="130"/>
      <c r="C6" s="130"/>
      <c r="D6" s="133"/>
      <c r="E6" s="130"/>
      <c r="F6" s="130"/>
      <c r="G6" s="130"/>
      <c r="H6" s="129"/>
      <c r="I6" s="128" t="s">
        <v>86</v>
      </c>
      <c r="J6" s="132"/>
      <c r="K6" s="126"/>
      <c r="L6" s="125"/>
      <c r="M6" s="125"/>
      <c r="N6" s="124"/>
      <c r="O6" s="123"/>
      <c r="P6" s="122"/>
    </row>
    <row r="7" spans="1:16" ht="111.75" customHeight="1" thickBot="1">
      <c r="A7" s="111" t="s">
        <v>85</v>
      </c>
      <c r="B7" s="111"/>
      <c r="C7" s="111"/>
      <c r="D7" s="111"/>
      <c r="E7" s="111"/>
      <c r="F7" s="111"/>
      <c r="G7" s="111"/>
      <c r="H7" s="111"/>
      <c r="I7" s="111" t="s">
        <v>84</v>
      </c>
      <c r="J7" s="111"/>
      <c r="K7" s="111"/>
      <c r="L7" s="111"/>
      <c r="M7" s="111"/>
      <c r="N7" s="111"/>
      <c r="O7" s="111"/>
      <c r="P7" s="111"/>
    </row>
    <row r="8" spans="1:16" ht="24.75" customHeight="1">
      <c r="A8" s="128" t="s">
        <v>83</v>
      </c>
      <c r="B8" s="130"/>
      <c r="C8" s="130"/>
      <c r="D8" s="130"/>
      <c r="E8" s="130"/>
      <c r="F8" s="130"/>
      <c r="G8" s="130"/>
      <c r="H8" s="129"/>
      <c r="I8" s="128" t="s">
        <v>82</v>
      </c>
      <c r="J8" s="127"/>
      <c r="K8" s="126"/>
      <c r="L8" s="125"/>
      <c r="M8" s="125"/>
      <c r="N8" s="124"/>
      <c r="O8" s="123"/>
      <c r="P8" s="122"/>
    </row>
    <row r="9" spans="1:16" ht="17.25" customHeight="1">
      <c r="A9" s="121" t="s">
        <v>81</v>
      </c>
      <c r="B9" s="120"/>
      <c r="C9" s="120"/>
      <c r="D9" s="120"/>
      <c r="E9" s="120"/>
      <c r="F9" s="120"/>
      <c r="G9" s="120"/>
      <c r="H9" s="119"/>
      <c r="I9" s="118" t="s">
        <v>80</v>
      </c>
      <c r="J9" s="117"/>
      <c r="K9" s="116"/>
      <c r="L9" s="115"/>
      <c r="M9" s="115"/>
      <c r="N9" s="114"/>
      <c r="O9" s="113"/>
      <c r="P9" s="112"/>
    </row>
    <row r="10" spans="1:16" ht="102" customHeight="1" thickBot="1">
      <c r="A10" s="111" t="s">
        <v>79</v>
      </c>
      <c r="B10" s="111"/>
      <c r="C10" s="111"/>
      <c r="D10" s="111"/>
      <c r="E10" s="111"/>
      <c r="F10" s="111"/>
      <c r="G10" s="111"/>
      <c r="H10" s="111"/>
      <c r="I10" s="110" t="s">
        <v>78</v>
      </c>
      <c r="J10" s="110"/>
      <c r="K10" s="110"/>
      <c r="L10" s="110"/>
      <c r="M10" s="110"/>
      <c r="N10" s="110"/>
      <c r="O10" s="110"/>
      <c r="P10" s="110"/>
    </row>
    <row r="11" spans="1:16" ht="24.75" customHeight="1">
      <c r="A11" s="107" t="s">
        <v>77</v>
      </c>
      <c r="B11" s="106"/>
      <c r="C11" s="106"/>
      <c r="D11" s="109"/>
      <c r="E11" s="109"/>
      <c r="F11" s="106" t="s">
        <v>76</v>
      </c>
      <c r="G11" s="109"/>
      <c r="H11" s="108"/>
      <c r="I11" s="107" t="s">
        <v>39</v>
      </c>
      <c r="J11" s="106"/>
      <c r="K11" s="101" t="s">
        <v>75</v>
      </c>
      <c r="L11" s="105"/>
      <c r="M11" s="104"/>
      <c r="N11" s="86"/>
      <c r="O11" s="103"/>
      <c r="P11" s="102"/>
    </row>
    <row r="12" spans="1:16" ht="24.75" customHeight="1">
      <c r="A12" s="97" t="s">
        <v>73</v>
      </c>
      <c r="B12" s="93"/>
      <c r="C12" s="93"/>
      <c r="D12" s="99"/>
      <c r="E12" s="99"/>
      <c r="F12" s="100" t="s">
        <v>72</v>
      </c>
      <c r="G12" s="93" t="s">
        <v>71</v>
      </c>
      <c r="H12" s="98"/>
      <c r="I12" s="97" t="s">
        <v>70</v>
      </c>
      <c r="J12" s="93"/>
      <c r="K12" s="96" t="s">
        <v>69</v>
      </c>
      <c r="L12" s="17"/>
      <c r="M12" s="10"/>
      <c r="N12" s="86"/>
      <c r="O12" s="95"/>
      <c r="P12" s="94"/>
    </row>
    <row r="13" spans="1:16" ht="24.75" customHeight="1">
      <c r="A13" s="97" t="s">
        <v>68</v>
      </c>
      <c r="B13" s="93"/>
      <c r="C13" s="93"/>
      <c r="D13" s="99"/>
      <c r="E13" s="99"/>
      <c r="F13" s="99" t="s">
        <v>67</v>
      </c>
      <c r="G13" s="93"/>
      <c r="H13" s="98"/>
      <c r="I13" s="97" t="s">
        <v>66</v>
      </c>
      <c r="J13" s="93"/>
      <c r="K13" s="96" t="s">
        <v>65</v>
      </c>
      <c r="L13" s="17"/>
      <c r="M13" s="10"/>
      <c r="N13" s="86"/>
      <c r="O13" s="95"/>
      <c r="P13" s="94"/>
    </row>
    <row r="14" spans="1:16" ht="24.75" customHeight="1" thickBot="1">
      <c r="A14" s="91" t="s">
        <v>64</v>
      </c>
      <c r="B14" s="90"/>
      <c r="C14" s="90"/>
      <c r="D14" s="90"/>
      <c r="E14" s="90"/>
      <c r="F14" s="93" t="s">
        <v>63</v>
      </c>
      <c r="G14" s="90"/>
      <c r="H14" s="92"/>
      <c r="I14" s="91" t="s">
        <v>62</v>
      </c>
      <c r="J14" s="90"/>
      <c r="K14" s="89">
        <v>95063900</v>
      </c>
      <c r="L14" s="88"/>
      <c r="M14" s="87"/>
      <c r="N14" s="86"/>
      <c r="O14" s="85"/>
      <c r="P14" s="84"/>
    </row>
    <row r="15" spans="1:16" ht="36.75" customHeight="1" thickBot="1">
      <c r="A15" s="82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0"/>
      <c r="P15" s="79"/>
    </row>
    <row r="16" spans="1:16" s="16" customFormat="1" ht="20.25" customHeight="1">
      <c r="A16" s="78" t="s">
        <v>61</v>
      </c>
      <c r="B16" s="77"/>
      <c r="C16" s="76"/>
      <c r="D16" s="75" t="s">
        <v>60</v>
      </c>
      <c r="E16" s="75" t="s">
        <v>59</v>
      </c>
      <c r="F16" s="74" t="s">
        <v>58</v>
      </c>
      <c r="G16" s="73"/>
      <c r="H16" s="73"/>
      <c r="I16" s="73"/>
      <c r="J16" s="72" t="s">
        <v>57</v>
      </c>
      <c r="K16" s="71" t="s">
        <v>56</v>
      </c>
      <c r="L16" s="70"/>
      <c r="M16" s="178" t="s">
        <v>108</v>
      </c>
      <c r="N16" s="177"/>
      <c r="O16" s="178" t="s">
        <v>107</v>
      </c>
      <c r="P16" s="177"/>
    </row>
    <row r="17" spans="1:16" s="16" customFormat="1" ht="20.25" customHeight="1">
      <c r="A17" s="67" t="s">
        <v>40</v>
      </c>
      <c r="B17" s="66" t="s">
        <v>37</v>
      </c>
      <c r="C17" s="66" t="s">
        <v>36</v>
      </c>
      <c r="D17" s="65"/>
      <c r="E17" s="65"/>
      <c r="F17" s="64" t="s">
        <v>53</v>
      </c>
      <c r="G17" s="63" t="s">
        <v>52</v>
      </c>
      <c r="H17" s="62" t="s">
        <v>51</v>
      </c>
      <c r="I17" s="62"/>
      <c r="J17" s="61"/>
      <c r="K17" s="60" t="s">
        <v>50</v>
      </c>
      <c r="L17" s="59" t="s">
        <v>49</v>
      </c>
      <c r="M17" s="176" t="s">
        <v>106</v>
      </c>
      <c r="N17" s="175" t="s">
        <v>105</v>
      </c>
      <c r="O17" s="176" t="s">
        <v>106</v>
      </c>
      <c r="P17" s="175" t="s">
        <v>105</v>
      </c>
    </row>
    <row r="18" spans="1:16" s="39" customFormat="1" ht="30" customHeight="1" thickBot="1">
      <c r="A18" s="53" t="s">
        <v>35</v>
      </c>
      <c r="B18" s="49" t="s">
        <v>26</v>
      </c>
      <c r="C18" s="49" t="s">
        <v>25</v>
      </c>
      <c r="D18" s="51" t="s">
        <v>34</v>
      </c>
      <c r="E18" s="51" t="s">
        <v>33</v>
      </c>
      <c r="F18" s="52" t="s">
        <v>29</v>
      </c>
      <c r="G18" s="51" t="s">
        <v>32</v>
      </c>
      <c r="H18" s="50" t="s">
        <v>27</v>
      </c>
      <c r="I18" s="49" t="s">
        <v>32</v>
      </c>
      <c r="J18" s="48" t="s">
        <v>31</v>
      </c>
      <c r="K18" s="43">
        <v>750</v>
      </c>
      <c r="L18" s="43">
        <v>15</v>
      </c>
      <c r="M18" s="174">
        <v>4.04</v>
      </c>
      <c r="N18" s="174">
        <f>+M18*K18</f>
        <v>3030</v>
      </c>
      <c r="O18" s="174">
        <v>10.309999999999999</v>
      </c>
      <c r="P18" s="174">
        <f>+O18*K18</f>
        <v>7732.4999999999991</v>
      </c>
    </row>
    <row r="19" spans="1:16" s="165" customFormat="1" ht="37.5" customHeight="1" thickBot="1">
      <c r="A19" s="173" t="s">
        <v>104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1">
        <f>SUM(K18)</f>
        <v>750</v>
      </c>
      <c r="L19" s="171">
        <f>SUM(L13:L18)</f>
        <v>15</v>
      </c>
      <c r="M19" s="171"/>
      <c r="N19" s="170">
        <f>SUM(N13:N18)</f>
        <v>3030</v>
      </c>
      <c r="O19" s="170"/>
      <c r="P19" s="170">
        <f>SUM(P13:P18)</f>
        <v>7732.4999999999991</v>
      </c>
    </row>
    <row r="20" spans="1:16" s="165" customFormat="1" ht="25.5" customHeight="1">
      <c r="A20" s="169" t="s">
        <v>103</v>
      </c>
      <c r="B20" s="168"/>
      <c r="C20" s="168"/>
      <c r="D20" s="168"/>
      <c r="E20" s="168"/>
      <c r="F20" s="168"/>
      <c r="G20" s="168"/>
      <c r="H20" s="168"/>
      <c r="I20" s="168"/>
      <c r="J20" s="168"/>
      <c r="K20" s="167"/>
      <c r="L20" s="166"/>
      <c r="M20" s="166"/>
      <c r="N20" s="159"/>
      <c r="O20" s="159"/>
      <c r="P20" s="159"/>
    </row>
    <row r="21" spans="1:16" s="165" customFormat="1" ht="25.5" customHeight="1">
      <c r="A21" s="162" t="s">
        <v>102</v>
      </c>
      <c r="B21" s="161"/>
      <c r="C21" s="161"/>
      <c r="D21" s="161"/>
      <c r="E21" s="161"/>
      <c r="F21" s="161"/>
      <c r="G21" s="161"/>
      <c r="H21" s="161"/>
      <c r="I21" s="161"/>
      <c r="J21" s="161"/>
      <c r="K21" s="160"/>
      <c r="L21" s="160"/>
      <c r="M21" s="160"/>
      <c r="N21" s="159"/>
      <c r="O21" s="159"/>
      <c r="P21" s="159"/>
    </row>
    <row r="22" spans="1:16" s="156" customFormat="1" ht="25.5" customHeight="1">
      <c r="A22" s="162" t="s">
        <v>101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0"/>
      <c r="L22" s="160"/>
      <c r="M22" s="160"/>
      <c r="N22" s="164"/>
      <c r="O22" s="159"/>
      <c r="P22" s="163"/>
    </row>
    <row r="23" spans="1:16" s="156" customFormat="1" ht="17.25" customHeight="1">
      <c r="A23" s="162" t="s">
        <v>100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0"/>
      <c r="L23" s="160"/>
      <c r="M23" s="160"/>
      <c r="N23" s="159"/>
      <c r="O23" s="159"/>
      <c r="P23" s="159"/>
    </row>
    <row r="24" spans="1:16" s="156" customFormat="1" ht="10.5" customHeight="1">
      <c r="A24" s="162"/>
      <c r="B24" s="161"/>
      <c r="C24" s="161"/>
      <c r="D24" s="161"/>
      <c r="E24" s="161"/>
      <c r="F24" s="161"/>
      <c r="G24" s="161"/>
      <c r="H24" s="161"/>
      <c r="I24" s="161"/>
      <c r="J24" s="161"/>
      <c r="K24" s="160"/>
      <c r="L24" s="160"/>
      <c r="M24" s="160"/>
      <c r="N24" s="159"/>
      <c r="O24" s="159"/>
      <c r="P24" s="159"/>
    </row>
    <row r="25" spans="1:16" s="156" customFormat="1" ht="32.25" customHeight="1">
      <c r="A25" s="157"/>
      <c r="B25" s="158" t="s">
        <v>99</v>
      </c>
      <c r="C25" s="158"/>
      <c r="D25" s="158"/>
      <c r="E25" s="158"/>
      <c r="F25" s="158"/>
      <c r="G25" s="158"/>
      <c r="H25" s="158"/>
      <c r="I25" s="158"/>
      <c r="J25" s="158"/>
      <c r="K25" s="158"/>
      <c r="L25" s="157"/>
      <c r="M25" s="157"/>
      <c r="N25" s="148"/>
      <c r="O25" s="148"/>
      <c r="P25" s="148"/>
    </row>
    <row r="26" spans="1:16" s="12" customFormat="1" ht="39" customHeight="1">
      <c r="A26" s="149"/>
      <c r="B26" s="149"/>
      <c r="C26" s="149"/>
      <c r="D26" s="149"/>
      <c r="E26" s="155"/>
      <c r="F26" s="155"/>
      <c r="G26" s="155"/>
      <c r="H26" s="155"/>
      <c r="I26" s="155"/>
      <c r="J26" s="155"/>
      <c r="K26" s="149"/>
      <c r="L26" s="149"/>
      <c r="M26" s="149"/>
      <c r="N26" s="148"/>
      <c r="O26" s="148"/>
      <c r="P26" s="148"/>
    </row>
    <row r="27" spans="1:16" s="147" customFormat="1" ht="32.25" customHeight="1">
      <c r="A27" s="149"/>
      <c r="B27" s="149"/>
      <c r="C27" s="149"/>
      <c r="D27" s="149"/>
      <c r="E27" s="155"/>
      <c r="F27" s="155"/>
      <c r="G27" s="155"/>
      <c r="H27" s="155"/>
      <c r="I27" s="155"/>
      <c r="J27" s="154">
        <f>$O$2</f>
        <v>46318</v>
      </c>
      <c r="K27" s="154"/>
      <c r="L27" s="149"/>
      <c r="M27" s="149"/>
      <c r="N27" s="148"/>
      <c r="O27" s="148"/>
      <c r="P27" s="148"/>
    </row>
    <row r="28" spans="1:16" s="147" customFormat="1" ht="32.25" customHeight="1">
      <c r="A28" s="149"/>
      <c r="B28" s="152" t="s">
        <v>98</v>
      </c>
      <c r="C28" s="152"/>
      <c r="D28" s="153"/>
      <c r="E28" s="151"/>
      <c r="F28" s="151"/>
      <c r="G28" s="152" t="s">
        <v>97</v>
      </c>
      <c r="H28" s="151"/>
      <c r="I28" s="151"/>
      <c r="J28" s="150" t="s">
        <v>96</v>
      </c>
      <c r="K28" s="150"/>
      <c r="L28" s="149"/>
      <c r="M28" s="149"/>
      <c r="N28" s="148"/>
      <c r="O28" s="148"/>
      <c r="P28" s="148"/>
    </row>
    <row r="29" spans="1:16" s="12" customFormat="1" ht="45" customHeight="1">
      <c r="A29" s="8" t="s">
        <v>14</v>
      </c>
      <c r="B29" s="8"/>
      <c r="C29" s="6" t="s">
        <v>4</v>
      </c>
      <c r="D29" s="6" t="s">
        <v>4</v>
      </c>
      <c r="E29" s="6" t="s">
        <v>4</v>
      </c>
      <c r="F29" s="15"/>
      <c r="G29" s="8" t="s">
        <v>13</v>
      </c>
      <c r="H29" s="8"/>
      <c r="I29" s="4" t="s">
        <v>0</v>
      </c>
      <c r="J29" s="4"/>
      <c r="K29" s="4"/>
      <c r="L29" s="4"/>
      <c r="M29" s="4"/>
      <c r="N29" s="4"/>
      <c r="O29" s="4"/>
      <c r="P29" s="4"/>
    </row>
    <row r="30" spans="1:16" s="12" customFormat="1" ht="45" customHeight="1">
      <c r="A30" s="4"/>
      <c r="B30" s="14"/>
      <c r="C30" s="4"/>
      <c r="D30" s="4"/>
      <c r="E30" s="7"/>
      <c r="F30" s="15"/>
      <c r="G30" s="4"/>
      <c r="H30" s="14"/>
      <c r="I30" s="7"/>
      <c r="J30" s="4"/>
      <c r="K30" s="4"/>
      <c r="L30" s="4"/>
      <c r="M30" s="4"/>
      <c r="N30" s="4"/>
      <c r="O30" s="4"/>
      <c r="P30" s="4"/>
    </row>
    <row r="31" spans="1:16" s="3" customFormat="1" ht="45" customHeight="1">
      <c r="A31" s="8" t="s">
        <v>12</v>
      </c>
      <c r="B31" s="8"/>
      <c r="C31" s="6" t="s">
        <v>4</v>
      </c>
      <c r="D31" s="6" t="s">
        <v>4</v>
      </c>
      <c r="E31" s="6" t="s">
        <v>4</v>
      </c>
      <c r="F31" s="4"/>
      <c r="G31" s="8" t="s">
        <v>11</v>
      </c>
      <c r="H31" s="8" t="s">
        <v>1</v>
      </c>
      <c r="I31" s="7" t="s">
        <v>0</v>
      </c>
      <c r="J31" s="4"/>
      <c r="K31" s="8" t="s">
        <v>10</v>
      </c>
      <c r="L31" s="8"/>
      <c r="M31" s="5" t="s">
        <v>6</v>
      </c>
      <c r="N31" s="5"/>
      <c r="O31" s="5"/>
      <c r="P31" s="5"/>
    </row>
    <row r="32" spans="1:16" s="3" customFormat="1" ht="45" customHeight="1">
      <c r="A32" s="8" t="s">
        <v>9</v>
      </c>
      <c r="B32" s="8"/>
      <c r="C32" s="6" t="s">
        <v>4</v>
      </c>
      <c r="D32" s="6" t="s">
        <v>4</v>
      </c>
      <c r="E32" s="6" t="s">
        <v>4</v>
      </c>
      <c r="F32" s="4"/>
      <c r="G32" s="8" t="s">
        <v>8</v>
      </c>
      <c r="H32" s="8" t="s">
        <v>1</v>
      </c>
      <c r="I32" s="7" t="s">
        <v>0</v>
      </c>
      <c r="J32" s="4"/>
      <c r="K32" s="8" t="s">
        <v>7</v>
      </c>
      <c r="L32" s="8"/>
      <c r="M32" s="5" t="s">
        <v>6</v>
      </c>
      <c r="N32" s="5"/>
      <c r="O32" s="5"/>
      <c r="P32" s="5"/>
    </row>
    <row r="33" spans="1:16" s="3" customFormat="1" ht="45" customHeight="1">
      <c r="A33" s="8" t="s">
        <v>5</v>
      </c>
      <c r="B33" s="8"/>
      <c r="C33" s="6" t="s">
        <v>4</v>
      </c>
      <c r="D33" s="6" t="s">
        <v>4</v>
      </c>
      <c r="E33" s="6" t="s">
        <v>4</v>
      </c>
      <c r="F33" s="4"/>
      <c r="G33" s="8" t="s">
        <v>3</v>
      </c>
      <c r="H33" s="8" t="s">
        <v>1</v>
      </c>
      <c r="I33" s="7" t="s">
        <v>0</v>
      </c>
      <c r="J33" s="9"/>
      <c r="K33" s="8"/>
      <c r="L33" s="8"/>
      <c r="M33" s="5"/>
      <c r="N33" s="5"/>
      <c r="O33" s="5"/>
      <c r="P33" s="5"/>
    </row>
    <row r="34" spans="1:16" s="3" customFormat="1" ht="45" customHeight="1">
      <c r="A34" s="8"/>
      <c r="B34" s="8"/>
      <c r="C34" s="4"/>
      <c r="D34" s="6"/>
      <c r="E34" s="6"/>
      <c r="F34" s="4"/>
      <c r="G34" s="8" t="s">
        <v>2</v>
      </c>
      <c r="H34" s="8" t="s">
        <v>1</v>
      </c>
      <c r="I34" s="7" t="s">
        <v>0</v>
      </c>
      <c r="J34" s="4"/>
      <c r="K34" s="8"/>
      <c r="L34" s="8"/>
      <c r="M34" s="5"/>
      <c r="N34" s="5"/>
      <c r="O34" s="5"/>
      <c r="P34" s="5"/>
    </row>
    <row r="35" spans="1:16" s="3" customFormat="1" ht="45" customHeight="1">
      <c r="A35" s="8"/>
      <c r="B35" s="8"/>
      <c r="C35" s="4"/>
      <c r="D35" s="6"/>
      <c r="E35" s="6"/>
      <c r="F35" s="4"/>
      <c r="G35" s="8"/>
      <c r="H35" s="8"/>
      <c r="I35" s="7"/>
      <c r="J35" s="4"/>
      <c r="K35" s="4"/>
      <c r="L35" s="4"/>
      <c r="M35" s="4"/>
      <c r="N35" s="4"/>
      <c r="O35" s="4"/>
      <c r="P35" s="4"/>
    </row>
    <row r="36" spans="1:16" s="3" customFormat="1" ht="29.25" customHeight="1">
      <c r="A36" s="4"/>
      <c r="B36" s="4"/>
      <c r="C36" s="4"/>
      <c r="D36" s="4"/>
      <c r="E36" s="4"/>
      <c r="F36" s="4"/>
      <c r="G36" s="6"/>
      <c r="H36" s="5"/>
      <c r="I36" s="5"/>
      <c r="J36" s="4"/>
      <c r="K36" s="4"/>
      <c r="L36" s="4"/>
      <c r="M36" s="4"/>
      <c r="N36" s="4"/>
      <c r="O36" s="4"/>
      <c r="P36" s="4"/>
    </row>
  </sheetData>
  <dataConsolidate/>
  <mergeCells count="40">
    <mergeCell ref="A7:H7"/>
    <mergeCell ref="I7:P7"/>
    <mergeCell ref="A10:H10"/>
    <mergeCell ref="I10:P10"/>
    <mergeCell ref="A16:B16"/>
    <mergeCell ref="D16:D17"/>
    <mergeCell ref="E16:E17"/>
    <mergeCell ref="E2:L2"/>
    <mergeCell ref="O2:P2"/>
    <mergeCell ref="E3:K3"/>
    <mergeCell ref="O3:P3"/>
    <mergeCell ref="A5:H5"/>
    <mergeCell ref="I5:P5"/>
    <mergeCell ref="J16:J17"/>
    <mergeCell ref="M16:N16"/>
    <mergeCell ref="O16:P16"/>
    <mergeCell ref="A29:B29"/>
    <mergeCell ref="G29:H29"/>
    <mergeCell ref="A19:J19"/>
    <mergeCell ref="J27:K27"/>
    <mergeCell ref="J28:K28"/>
    <mergeCell ref="G35:H35"/>
    <mergeCell ref="A31:B31"/>
    <mergeCell ref="G31:H31"/>
    <mergeCell ref="K31:L31"/>
    <mergeCell ref="M31:P31"/>
    <mergeCell ref="A32:B32"/>
    <mergeCell ref="G32:H32"/>
    <mergeCell ref="K32:L32"/>
    <mergeCell ref="M32:P32"/>
    <mergeCell ref="A33:B33"/>
    <mergeCell ref="G33:H33"/>
    <mergeCell ref="K33:L33"/>
    <mergeCell ref="M33:P33"/>
    <mergeCell ref="H36:I36"/>
    <mergeCell ref="A34:B34"/>
    <mergeCell ref="G34:H34"/>
    <mergeCell ref="K34:L34"/>
    <mergeCell ref="M34:P34"/>
    <mergeCell ref="A35:B35"/>
  </mergeCells>
  <dataValidations count="5">
    <dataValidation type="list" allowBlank="1" showInputMessage="1" showErrorMessage="1" sqref="B25:C25" xr:uid="{8D9ADBD1-2DD4-4106-8C15-27A179E84B99}">
      <formula1>"BUNDLE SIZE,PALLET SIZE"</formula1>
    </dataValidation>
    <dataValidation type="list" allowBlank="1" showInputMessage="1" showErrorMessage="1" sqref="B23:C24" xr:uid="{E6DEBD59-47F7-420E-ACD3-943D9C8204FA}">
      <formula1>"BOX,BUNDLE CONSISTS OF,PALLET CONSISTS OF"</formula1>
    </dataValidation>
    <dataValidation type="list" allowBlank="1" showInputMessage="1" showErrorMessage="1" sqref="B22:C22" xr:uid="{48AFDEBB-1254-4998-B22D-25E396C1477E}">
      <formula1>"BOX,BUNDLE,WOODEN PALLET,PLASTIC PALLET_big,PLASTIC PALLET_small"</formula1>
    </dataValidation>
    <dataValidation type="list" allowBlank="1" showInputMessage="1" showErrorMessage="1" sqref="F23:F24" xr:uid="{F7ED2544-54EA-4B39-BB6C-F850218A1D83}">
      <formula1>"BOXES,BOXES           _50,BOXES           _100"</formula1>
    </dataValidation>
    <dataValidation type="list" allowBlank="1" showInputMessage="1" showErrorMessage="1" sqref="F12" xr:uid="{C571385E-9435-4DEC-A04F-A90F319E4312}">
      <formula1>"NIPPON"</formula1>
    </dataValidation>
  </dataValidations>
  <printOptions horizontalCentered="1"/>
  <pageMargins left="0" right="0" top="0" bottom="0.74803149606299202" header="0.31496062992126" footer="0.31496062992126"/>
  <pageSetup paperSize="9" scale="3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779D-BD97-4B1F-A430-1B172F5E4FB9}">
  <sheetPr>
    <tabColor rgb="FFFFFF00"/>
    <pageSetUpPr fitToPage="1"/>
  </sheetPr>
  <dimension ref="A1:AF36"/>
  <sheetViews>
    <sheetView showGridLines="0" view="pageBreakPreview" topLeftCell="A11" zoomScale="70" zoomScaleNormal="70" zoomScaleSheetLayoutView="70" workbookViewId="0">
      <selection activeCell="A15" sqref="A15:P27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5" width="15.109375" style="1" customWidth="1"/>
    <col min="6" max="6" width="18.88671875" style="2" customWidth="1"/>
    <col min="7" max="7" width="19.6640625" style="2" customWidth="1"/>
    <col min="8" max="8" width="18.6640625" style="2" customWidth="1"/>
    <col min="9" max="9" width="24.5546875" style="2" customWidth="1"/>
    <col min="10" max="10" width="26.109375" style="2" customWidth="1"/>
    <col min="11" max="11" width="15.44140625" style="2" customWidth="1"/>
    <col min="12" max="14" width="12.44140625" style="2" customWidth="1"/>
    <col min="15" max="16" width="10.33203125" style="1" customWidth="1"/>
    <col min="17" max="17" width="14.6640625" style="1" customWidth="1"/>
    <col min="18" max="18" width="9.109375" style="1"/>
    <col min="19" max="19" width="21.6640625" style="1" bestFit="1" customWidth="1"/>
    <col min="20" max="21" width="21.6640625" style="1" customWidth="1"/>
    <col min="22" max="22" width="13.88671875" style="1" bestFit="1" customWidth="1"/>
    <col min="23" max="30" width="10.5546875" style="1" customWidth="1"/>
    <col min="31" max="16384" width="9.109375" style="1"/>
  </cols>
  <sheetData>
    <row r="1" spans="1:17" ht="27.75" customHeight="1" thickBot="1">
      <c r="B1" s="1" t="s">
        <v>28</v>
      </c>
    </row>
    <row r="2" spans="1:17" ht="34.5" customHeight="1" thickBot="1">
      <c r="A2" s="146"/>
      <c r="B2" s="140"/>
      <c r="C2" s="140"/>
      <c r="D2" s="145"/>
      <c r="E2" s="144" t="s">
        <v>95</v>
      </c>
      <c r="F2" s="144"/>
      <c r="G2" s="144"/>
      <c r="H2" s="144"/>
      <c r="I2" s="144"/>
      <c r="J2" s="144"/>
      <c r="K2" s="144"/>
      <c r="L2" s="144"/>
      <c r="M2" s="143"/>
      <c r="N2" s="143" t="s">
        <v>94</v>
      </c>
      <c r="O2" s="142">
        <v>46318</v>
      </c>
      <c r="P2" s="141"/>
      <c r="Q2" s="83"/>
    </row>
    <row r="3" spans="1:17" ht="60" customHeight="1" thickBot="1">
      <c r="A3" s="140"/>
      <c r="B3" s="140"/>
      <c r="C3" s="140"/>
      <c r="D3" s="140"/>
      <c r="E3" s="139" t="s">
        <v>93</v>
      </c>
      <c r="F3" s="139"/>
      <c r="G3" s="139"/>
      <c r="H3" s="139"/>
      <c r="I3" s="139"/>
      <c r="J3" s="139"/>
      <c r="K3" s="139"/>
      <c r="L3" s="137" t="s">
        <v>92</v>
      </c>
      <c r="M3" s="138">
        <v>46318</v>
      </c>
      <c r="N3" s="137" t="s">
        <v>91</v>
      </c>
      <c r="O3" s="136">
        <v>46318</v>
      </c>
      <c r="P3" s="135"/>
      <c r="Q3" s="83"/>
    </row>
    <row r="4" spans="1:17" ht="24.75" customHeight="1">
      <c r="A4" s="128" t="s">
        <v>90</v>
      </c>
      <c r="B4" s="130"/>
      <c r="C4" s="130"/>
      <c r="D4" s="130"/>
      <c r="E4" s="130"/>
      <c r="F4" s="130"/>
      <c r="G4" s="130"/>
      <c r="H4" s="129"/>
      <c r="I4" s="128" t="s">
        <v>89</v>
      </c>
      <c r="J4" s="127"/>
      <c r="K4" s="134"/>
      <c r="L4" s="125"/>
      <c r="M4" s="125"/>
      <c r="N4" s="124"/>
      <c r="O4" s="123"/>
      <c r="P4" s="122"/>
      <c r="Q4" s="83"/>
    </row>
    <row r="5" spans="1:17" ht="102" customHeight="1" thickBot="1">
      <c r="A5" s="111" t="s">
        <v>85</v>
      </c>
      <c r="B5" s="111"/>
      <c r="C5" s="111"/>
      <c r="D5" s="111"/>
      <c r="E5" s="111"/>
      <c r="F5" s="111"/>
      <c r="G5" s="111"/>
      <c r="H5" s="111"/>
      <c r="I5" s="111" t="s">
        <v>88</v>
      </c>
      <c r="J5" s="111"/>
      <c r="K5" s="111"/>
      <c r="L5" s="111"/>
      <c r="M5" s="111"/>
      <c r="N5" s="111"/>
      <c r="O5" s="111"/>
      <c r="P5" s="111"/>
    </row>
    <row r="6" spans="1:17" ht="24.75" customHeight="1">
      <c r="A6" s="128" t="s">
        <v>87</v>
      </c>
      <c r="B6" s="130"/>
      <c r="C6" s="130"/>
      <c r="D6" s="133"/>
      <c r="E6" s="130"/>
      <c r="F6" s="130"/>
      <c r="G6" s="130"/>
      <c r="H6" s="129"/>
      <c r="I6" s="128" t="s">
        <v>86</v>
      </c>
      <c r="J6" s="132"/>
      <c r="K6" s="126"/>
      <c r="L6" s="125"/>
      <c r="M6" s="125"/>
      <c r="N6" s="124"/>
      <c r="O6" s="123"/>
      <c r="P6" s="122"/>
      <c r="Q6" s="83"/>
    </row>
    <row r="7" spans="1:17" ht="111.75" customHeight="1" thickBot="1">
      <c r="A7" s="111" t="s">
        <v>85</v>
      </c>
      <c r="B7" s="111"/>
      <c r="C7" s="111"/>
      <c r="D7" s="111"/>
      <c r="E7" s="111"/>
      <c r="F7" s="111"/>
      <c r="G7" s="111"/>
      <c r="H7" s="111"/>
      <c r="I7" s="111" t="s">
        <v>84</v>
      </c>
      <c r="J7" s="111"/>
      <c r="K7" s="111"/>
      <c r="L7" s="111"/>
      <c r="M7" s="111"/>
      <c r="N7" s="111"/>
      <c r="O7" s="111"/>
      <c r="P7" s="111"/>
      <c r="Q7" s="131"/>
    </row>
    <row r="8" spans="1:17" ht="24.75" customHeight="1">
      <c r="A8" s="128" t="s">
        <v>83</v>
      </c>
      <c r="B8" s="130"/>
      <c r="C8" s="130"/>
      <c r="D8" s="130"/>
      <c r="E8" s="130"/>
      <c r="F8" s="130"/>
      <c r="G8" s="130"/>
      <c r="H8" s="129"/>
      <c r="I8" s="128" t="s">
        <v>82</v>
      </c>
      <c r="J8" s="127"/>
      <c r="K8" s="126"/>
      <c r="L8" s="125"/>
      <c r="M8" s="125"/>
      <c r="N8" s="124"/>
      <c r="O8" s="123"/>
      <c r="P8" s="122"/>
      <c r="Q8" s="83"/>
    </row>
    <row r="9" spans="1:17" ht="17.25" customHeight="1">
      <c r="A9" s="121" t="s">
        <v>81</v>
      </c>
      <c r="B9" s="120"/>
      <c r="C9" s="120"/>
      <c r="D9" s="120"/>
      <c r="E9" s="120"/>
      <c r="F9" s="120"/>
      <c r="G9" s="120"/>
      <c r="H9" s="119"/>
      <c r="I9" s="118" t="s">
        <v>80</v>
      </c>
      <c r="J9" s="117"/>
      <c r="K9" s="116"/>
      <c r="L9" s="115"/>
      <c r="M9" s="115"/>
      <c r="N9" s="114"/>
      <c r="O9" s="113"/>
      <c r="P9" s="112"/>
      <c r="Q9" s="83"/>
    </row>
    <row r="10" spans="1:17" ht="102" customHeight="1" thickBot="1">
      <c r="A10" s="111" t="s">
        <v>79</v>
      </c>
      <c r="B10" s="111"/>
      <c r="C10" s="111"/>
      <c r="D10" s="111"/>
      <c r="E10" s="111"/>
      <c r="F10" s="111"/>
      <c r="G10" s="111"/>
      <c r="H10" s="111"/>
      <c r="I10" s="110" t="s">
        <v>78</v>
      </c>
      <c r="J10" s="110"/>
      <c r="K10" s="110"/>
      <c r="L10" s="110"/>
      <c r="M10" s="110"/>
      <c r="N10" s="110"/>
      <c r="O10" s="110"/>
      <c r="P10" s="110"/>
    </row>
    <row r="11" spans="1:17" ht="24.75" customHeight="1">
      <c r="A11" s="107" t="s">
        <v>77</v>
      </c>
      <c r="B11" s="106"/>
      <c r="C11" s="106"/>
      <c r="D11" s="109"/>
      <c r="E11" s="109"/>
      <c r="F11" s="106" t="s">
        <v>76</v>
      </c>
      <c r="G11" s="109"/>
      <c r="H11" s="108"/>
      <c r="I11" s="107" t="s">
        <v>39</v>
      </c>
      <c r="J11" s="106"/>
      <c r="K11" s="101" t="s">
        <v>75</v>
      </c>
      <c r="L11" s="105"/>
      <c r="M11" s="104"/>
      <c r="N11" s="86"/>
      <c r="O11" s="103"/>
      <c r="P11" s="102"/>
      <c r="Q11" s="101" t="s">
        <v>74</v>
      </c>
    </row>
    <row r="12" spans="1:17" ht="24.75" customHeight="1">
      <c r="A12" s="97" t="s">
        <v>73</v>
      </c>
      <c r="B12" s="93"/>
      <c r="C12" s="93"/>
      <c r="D12" s="99"/>
      <c r="E12" s="99"/>
      <c r="F12" s="100" t="s">
        <v>72</v>
      </c>
      <c r="G12" s="93" t="s">
        <v>71</v>
      </c>
      <c r="H12" s="98"/>
      <c r="I12" s="97" t="s">
        <v>70</v>
      </c>
      <c r="J12" s="93"/>
      <c r="K12" s="96" t="s">
        <v>69</v>
      </c>
      <c r="L12" s="17"/>
      <c r="M12" s="10"/>
      <c r="N12" s="86"/>
      <c r="O12" s="95"/>
      <c r="P12" s="94"/>
      <c r="Q12" s="83"/>
    </row>
    <row r="13" spans="1:17" ht="24.75" customHeight="1">
      <c r="A13" s="97" t="s">
        <v>68</v>
      </c>
      <c r="B13" s="93"/>
      <c r="C13" s="93"/>
      <c r="D13" s="99"/>
      <c r="E13" s="99"/>
      <c r="F13" s="99" t="s">
        <v>67</v>
      </c>
      <c r="G13" s="93"/>
      <c r="H13" s="98"/>
      <c r="I13" s="97" t="s">
        <v>66</v>
      </c>
      <c r="J13" s="93"/>
      <c r="K13" s="96" t="s">
        <v>65</v>
      </c>
      <c r="L13" s="17"/>
      <c r="M13" s="10"/>
      <c r="N13" s="86"/>
      <c r="O13" s="95"/>
      <c r="P13" s="94"/>
      <c r="Q13" s="83"/>
    </row>
    <row r="14" spans="1:17" ht="24.75" customHeight="1" thickBot="1">
      <c r="A14" s="91" t="s">
        <v>64</v>
      </c>
      <c r="B14" s="90"/>
      <c r="C14" s="90"/>
      <c r="D14" s="90"/>
      <c r="E14" s="90"/>
      <c r="F14" s="93" t="s">
        <v>63</v>
      </c>
      <c r="G14" s="90"/>
      <c r="H14" s="92"/>
      <c r="I14" s="91" t="s">
        <v>62</v>
      </c>
      <c r="J14" s="90"/>
      <c r="K14" s="89">
        <v>95063900</v>
      </c>
      <c r="L14" s="88"/>
      <c r="M14" s="87"/>
      <c r="N14" s="86"/>
      <c r="O14" s="85"/>
      <c r="P14" s="84"/>
      <c r="Q14" s="83"/>
    </row>
    <row r="15" spans="1:17" ht="36.75" customHeight="1" thickBot="1">
      <c r="A15" s="179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1"/>
      <c r="P15" s="182"/>
    </row>
    <row r="16" spans="1:17" s="16" customFormat="1" ht="20.25" customHeight="1">
      <c r="A16" s="78" t="s">
        <v>61</v>
      </c>
      <c r="B16" s="77"/>
      <c r="C16" s="76"/>
      <c r="D16" s="75" t="s">
        <v>60</v>
      </c>
      <c r="E16" s="75" t="s">
        <v>59</v>
      </c>
      <c r="F16" s="74" t="s">
        <v>58</v>
      </c>
      <c r="G16" s="73"/>
      <c r="H16" s="73"/>
      <c r="I16" s="73"/>
      <c r="J16" s="72" t="s">
        <v>57</v>
      </c>
      <c r="K16" s="71" t="s">
        <v>56</v>
      </c>
      <c r="L16" s="70"/>
      <c r="M16" s="69" t="s">
        <v>55</v>
      </c>
      <c r="N16" s="70"/>
      <c r="O16" s="69" t="s">
        <v>54</v>
      </c>
      <c r="P16" s="68"/>
    </row>
    <row r="17" spans="1:32" s="16" customFormat="1" ht="20.25" customHeight="1">
      <c r="A17" s="67" t="s">
        <v>40</v>
      </c>
      <c r="B17" s="183" t="s">
        <v>37</v>
      </c>
      <c r="C17" s="183" t="s">
        <v>36</v>
      </c>
      <c r="D17" s="65"/>
      <c r="E17" s="65"/>
      <c r="F17" s="184" t="s">
        <v>53</v>
      </c>
      <c r="G17" s="185" t="s">
        <v>52</v>
      </c>
      <c r="H17" s="186" t="s">
        <v>51</v>
      </c>
      <c r="I17" s="186"/>
      <c r="J17" s="61"/>
      <c r="K17" s="60" t="s">
        <v>50</v>
      </c>
      <c r="L17" s="59" t="s">
        <v>49</v>
      </c>
      <c r="M17" s="59" t="s">
        <v>48</v>
      </c>
      <c r="N17" s="59" t="s">
        <v>47</v>
      </c>
      <c r="O17" s="59" t="s">
        <v>48</v>
      </c>
      <c r="P17" s="58" t="s">
        <v>47</v>
      </c>
      <c r="S17" s="57" t="s">
        <v>46</v>
      </c>
      <c r="T17" s="55" t="s">
        <v>45</v>
      </c>
      <c r="U17" s="56" t="s">
        <v>44</v>
      </c>
      <c r="V17" s="16" t="s">
        <v>43</v>
      </c>
      <c r="W17" s="55" t="s">
        <v>42</v>
      </c>
      <c r="Y17" s="16" t="s">
        <v>41</v>
      </c>
      <c r="AA17" s="16" t="s">
        <v>40</v>
      </c>
      <c r="AB17" s="16" t="s">
        <v>39</v>
      </c>
      <c r="AD17" s="54" t="s">
        <v>38</v>
      </c>
      <c r="AE17" s="16" t="s">
        <v>37</v>
      </c>
      <c r="AF17" s="16" t="s">
        <v>36</v>
      </c>
    </row>
    <row r="18" spans="1:32" s="39" customFormat="1" ht="30" customHeight="1">
      <c r="A18" s="187" t="s">
        <v>35</v>
      </c>
      <c r="B18" s="188" t="s">
        <v>26</v>
      </c>
      <c r="C18" s="188" t="s">
        <v>25</v>
      </c>
      <c r="D18" s="189" t="s">
        <v>34</v>
      </c>
      <c r="E18" s="189" t="s">
        <v>33</v>
      </c>
      <c r="F18" s="190" t="str">
        <f>V18</f>
        <v>2694291</v>
      </c>
      <c r="G18" s="189" t="s">
        <v>32</v>
      </c>
      <c r="H18" s="191" t="str">
        <f>AD18</f>
        <v>GOLF SHAFT-AU</v>
      </c>
      <c r="I18" s="188" t="s">
        <v>32</v>
      </c>
      <c r="J18" s="192" t="str">
        <f>VLOOKUP($I18,[4]Release!$A:$J,10,0)</f>
        <v>2694291/SHAFT DRIVER/FAIRWAY TENSEI 1K RED RIP 55 R 46.0</v>
      </c>
      <c r="K18" s="43">
        <v>750</v>
      </c>
      <c r="L18" s="43">
        <f>ROUNDUP($K18/50,0)</f>
        <v>15</v>
      </c>
      <c r="M18" s="42">
        <f>ROUND($N18*2.205,1)</f>
        <v>83.6</v>
      </c>
      <c r="N18" s="42">
        <f>ROUND(VLOOKUP($I18,[4]Master!$A:$C,3,0)*$K18/1000,1)</f>
        <v>37.9</v>
      </c>
      <c r="O18" s="42">
        <f>ROUND($P18*2.205,1)</f>
        <v>108</v>
      </c>
      <c r="P18" s="41">
        <f>ROUND(($N18+$L18*0.74),1)</f>
        <v>49</v>
      </c>
      <c r="R18" s="39" t="s">
        <v>30</v>
      </c>
      <c r="S18" s="47">
        <v>4.04</v>
      </c>
      <c r="T18" s="46">
        <v>6.27</v>
      </c>
      <c r="U18" s="45">
        <v>10.309999999999999</v>
      </c>
      <c r="V18" s="39" t="s">
        <v>29</v>
      </c>
      <c r="W18" s="39">
        <v>0</v>
      </c>
      <c r="AA18" s="39" t="s">
        <v>28</v>
      </c>
      <c r="AB18" s="39">
        <v>0</v>
      </c>
      <c r="AD18" s="44" t="s">
        <v>27</v>
      </c>
      <c r="AE18" s="39" t="s">
        <v>26</v>
      </c>
      <c r="AF18" s="39" t="s">
        <v>25</v>
      </c>
    </row>
    <row r="19" spans="1:32" s="39" customFormat="1" ht="16.8">
      <c r="A19" s="193"/>
      <c r="B19" s="194"/>
      <c r="C19" s="194"/>
      <c r="D19" s="194"/>
      <c r="E19" s="194"/>
      <c r="F19" s="195"/>
      <c r="G19" s="194"/>
      <c r="H19" s="196"/>
      <c r="I19" s="197"/>
      <c r="J19" s="194"/>
      <c r="K19" s="43"/>
      <c r="L19" s="43"/>
      <c r="M19" s="42"/>
      <c r="N19" s="42"/>
      <c r="O19" s="42"/>
      <c r="P19" s="41"/>
      <c r="S19" s="40"/>
      <c r="T19" s="40"/>
      <c r="U19" s="40"/>
      <c r="AD19" s="1"/>
    </row>
    <row r="20" spans="1:32" s="39" customFormat="1" ht="16.8">
      <c r="A20" s="193"/>
      <c r="B20" s="194"/>
      <c r="C20" s="194"/>
      <c r="D20" s="194"/>
      <c r="E20" s="194"/>
      <c r="F20" s="195"/>
      <c r="G20" s="194"/>
      <c r="H20" s="196"/>
      <c r="I20" s="197"/>
      <c r="J20" s="194"/>
      <c r="K20" s="43"/>
      <c r="L20" s="43"/>
      <c r="M20" s="42"/>
      <c r="N20" s="42"/>
      <c r="O20" s="42"/>
      <c r="P20" s="41"/>
      <c r="S20" s="40"/>
      <c r="T20" s="40"/>
      <c r="U20" s="40"/>
    </row>
    <row r="21" spans="1:32" s="39" customFormat="1" ht="16.8">
      <c r="A21" s="193"/>
      <c r="B21" s="194"/>
      <c r="C21" s="194"/>
      <c r="D21" s="194"/>
      <c r="E21" s="194"/>
      <c r="F21" s="195"/>
      <c r="G21" s="194"/>
      <c r="H21" s="196"/>
      <c r="I21" s="197"/>
      <c r="J21" s="194" t="s">
        <v>24</v>
      </c>
      <c r="K21" s="43"/>
      <c r="L21" s="43"/>
      <c r="M21" s="42"/>
      <c r="N21" s="42"/>
      <c r="O21" s="42"/>
      <c r="P21" s="41"/>
      <c r="S21" s="40"/>
      <c r="T21" s="40"/>
      <c r="U21" s="40"/>
    </row>
    <row r="22" spans="1:32" s="39" customFormat="1" ht="18.75" customHeight="1">
      <c r="A22" s="198"/>
      <c r="B22" s="199"/>
      <c r="C22" s="199"/>
      <c r="D22" s="194"/>
      <c r="E22" s="194"/>
      <c r="F22" s="195"/>
      <c r="G22" s="194"/>
      <c r="H22" s="196"/>
      <c r="I22" s="197"/>
      <c r="J22" s="194" t="s">
        <v>23</v>
      </c>
      <c r="K22" s="43"/>
      <c r="L22" s="43"/>
      <c r="M22" s="42"/>
      <c r="N22" s="42"/>
      <c r="O22" s="42"/>
      <c r="P22" s="41"/>
      <c r="S22" s="40"/>
      <c r="T22" s="40"/>
      <c r="U22" s="40"/>
    </row>
    <row r="23" spans="1:32" s="19" customFormat="1" ht="23.25" customHeight="1">
      <c r="A23" s="200"/>
      <c r="B23" s="201"/>
      <c r="C23" s="201"/>
      <c r="D23" s="202"/>
      <c r="E23" s="202"/>
      <c r="F23" s="203"/>
      <c r="G23" s="203"/>
      <c r="H23" s="203"/>
      <c r="I23" s="203"/>
      <c r="J23" s="38" t="s">
        <v>22</v>
      </c>
      <c r="K23" s="37">
        <f>SUM(K18:K22)</f>
        <v>750</v>
      </c>
      <c r="L23" s="37">
        <f>SUM(L18:L22)</f>
        <v>15</v>
      </c>
      <c r="M23" s="36">
        <f t="shared" ref="M23:P23" si="0">SUM(M18:M22)</f>
        <v>83.6</v>
      </c>
      <c r="N23" s="36">
        <f t="shared" si="0"/>
        <v>37.9</v>
      </c>
      <c r="O23" s="36">
        <f>SUM(O18:O22)</f>
        <v>108</v>
      </c>
      <c r="P23" s="35">
        <f t="shared" si="0"/>
        <v>49</v>
      </c>
    </row>
    <row r="24" spans="1:32" s="19" customFormat="1" ht="23.25" customHeight="1">
      <c r="A24" s="200"/>
      <c r="B24" s="204"/>
      <c r="C24" s="204"/>
      <c r="D24" s="205"/>
      <c r="E24" s="206"/>
      <c r="F24" s="207"/>
      <c r="G24" s="205"/>
      <c r="H24" s="205"/>
      <c r="I24" s="205"/>
      <c r="J24" s="34"/>
      <c r="K24" s="33"/>
      <c r="L24" s="33"/>
      <c r="M24" s="32"/>
      <c r="N24" s="32"/>
      <c r="O24" s="32"/>
      <c r="P24" s="31"/>
    </row>
    <row r="25" spans="1:32" s="19" customFormat="1" ht="23.25" customHeight="1">
      <c r="A25" s="200">
        <v>15</v>
      </c>
      <c r="B25" s="204" t="s">
        <v>21</v>
      </c>
      <c r="C25" s="204"/>
      <c r="D25" s="207" t="s">
        <v>20</v>
      </c>
      <c r="E25" s="208"/>
      <c r="F25" s="209">
        <f>ROUNDUP(LEFT(D25,FIND(" ",D25,1)-1)*MID(D25,FIND("x",D25,1)+2,3)*MID(D25,FIND("x",D25,FIND("x",D25,1)+1)+2,3)/(10^6)*A25,3)</f>
        <v>0.27</v>
      </c>
      <c r="G25" s="209"/>
      <c r="H25" s="209"/>
      <c r="I25" s="208" t="s">
        <v>19</v>
      </c>
      <c r="J25" s="30"/>
      <c r="K25" s="29"/>
      <c r="L25" s="29"/>
      <c r="M25" s="28"/>
      <c r="N25" s="27"/>
      <c r="O25" s="26"/>
      <c r="P25" s="25"/>
    </row>
    <row r="26" spans="1:32" s="19" customFormat="1" ht="23.25" customHeight="1">
      <c r="A26" s="200"/>
      <c r="B26" s="204"/>
      <c r="C26" s="204"/>
      <c r="D26" s="207"/>
      <c r="E26" s="208"/>
      <c r="F26" s="209"/>
      <c r="G26" s="209"/>
      <c r="H26" s="209"/>
      <c r="I26" s="208"/>
      <c r="J26" s="30"/>
      <c r="K26" s="29"/>
      <c r="L26" s="29"/>
      <c r="M26" s="28" t="s">
        <v>18</v>
      </c>
      <c r="N26" s="27"/>
      <c r="O26" s="26">
        <f>P26*2.205</f>
        <v>0</v>
      </c>
      <c r="P26" s="25">
        <f>IF(B23="WOODEN PALLET",19,IF(B23="PLASTIC PALLET_big",8,IF(B23="PLASTIC PALLET_small",8,0)))*$A$23</f>
        <v>0</v>
      </c>
    </row>
    <row r="27" spans="1:32" s="19" customFormat="1" ht="23.25" customHeight="1" thickBot="1">
      <c r="A27" s="210" t="s">
        <v>17</v>
      </c>
      <c r="B27" s="211"/>
      <c r="C27" s="211"/>
      <c r="D27" s="212">
        <f>SUM(F25:F26)</f>
        <v>0.27</v>
      </c>
      <c r="E27" s="213" t="s">
        <v>16</v>
      </c>
      <c r="F27" s="214"/>
      <c r="G27" s="214"/>
      <c r="H27" s="214"/>
      <c r="I27" s="214"/>
      <c r="J27" s="24"/>
      <c r="K27" s="23"/>
      <c r="L27" s="23"/>
      <c r="M27" s="22" t="s">
        <v>15</v>
      </c>
      <c r="N27" s="22"/>
      <c r="O27" s="21">
        <f>O26+O23</f>
        <v>108</v>
      </c>
      <c r="P27" s="20">
        <f>P26+P23</f>
        <v>49</v>
      </c>
      <c r="Q27" s="19">
        <v>49</v>
      </c>
    </row>
    <row r="28" spans="1:32" s="16" customFormat="1" ht="24" customHeight="1">
      <c r="A28" s="18"/>
      <c r="G28" s="18"/>
      <c r="J28" s="17"/>
      <c r="K28" s="17"/>
      <c r="L28" s="17"/>
      <c r="M28" s="17"/>
      <c r="N28" s="17"/>
      <c r="O28" s="17"/>
      <c r="P28" s="17"/>
    </row>
    <row r="29" spans="1:32" s="12" customFormat="1" ht="45" customHeight="1">
      <c r="A29" s="8" t="s">
        <v>14</v>
      </c>
      <c r="B29" s="8"/>
      <c r="C29" s="6" t="s">
        <v>4</v>
      </c>
      <c r="D29" s="6" t="s">
        <v>4</v>
      </c>
      <c r="E29" s="6" t="s">
        <v>4</v>
      </c>
      <c r="F29" s="15"/>
      <c r="G29" s="8" t="s">
        <v>13</v>
      </c>
      <c r="H29" s="8"/>
      <c r="I29" s="4" t="s">
        <v>0</v>
      </c>
      <c r="J29" s="4"/>
      <c r="K29" s="4"/>
      <c r="L29" s="4"/>
      <c r="M29" s="4"/>
      <c r="N29" s="4"/>
      <c r="O29" s="4"/>
      <c r="P29" s="4"/>
      <c r="Q29" s="13"/>
    </row>
    <row r="30" spans="1:32" s="12" customFormat="1" ht="45" customHeight="1">
      <c r="A30" s="4"/>
      <c r="B30" s="14"/>
      <c r="C30" s="4"/>
      <c r="D30" s="4"/>
      <c r="E30" s="7"/>
      <c r="F30" s="15"/>
      <c r="G30" s="4"/>
      <c r="H30" s="14"/>
      <c r="I30" s="7"/>
      <c r="J30" s="4"/>
      <c r="K30" s="4"/>
      <c r="L30" s="4"/>
      <c r="M30" s="4"/>
      <c r="N30" s="4"/>
      <c r="O30" s="4"/>
      <c r="P30" s="4"/>
      <c r="Q30" s="13"/>
    </row>
    <row r="31" spans="1:32" s="3" customFormat="1" ht="45" customHeight="1">
      <c r="A31" s="8" t="s">
        <v>12</v>
      </c>
      <c r="B31" s="8"/>
      <c r="C31" s="6" t="s">
        <v>4</v>
      </c>
      <c r="D31" s="6" t="s">
        <v>4</v>
      </c>
      <c r="E31" s="6" t="s">
        <v>4</v>
      </c>
      <c r="F31" s="4"/>
      <c r="G31" s="8" t="s">
        <v>11</v>
      </c>
      <c r="H31" s="8" t="s">
        <v>1</v>
      </c>
      <c r="I31" s="7" t="s">
        <v>0</v>
      </c>
      <c r="J31" s="4"/>
      <c r="K31" s="8" t="s">
        <v>10</v>
      </c>
      <c r="L31" s="8"/>
      <c r="M31" s="5" t="s">
        <v>6</v>
      </c>
      <c r="N31" s="5"/>
      <c r="O31" s="5"/>
      <c r="P31" s="5"/>
      <c r="Q31" s="11"/>
      <c r="R31" s="6"/>
    </row>
    <row r="32" spans="1:32" s="3" customFormat="1" ht="45" customHeight="1">
      <c r="A32" s="8" t="s">
        <v>9</v>
      </c>
      <c r="B32" s="8"/>
      <c r="C32" s="6" t="s">
        <v>4</v>
      </c>
      <c r="D32" s="6" t="s">
        <v>4</v>
      </c>
      <c r="E32" s="6" t="s">
        <v>4</v>
      </c>
      <c r="F32" s="4"/>
      <c r="G32" s="8" t="s">
        <v>8</v>
      </c>
      <c r="H32" s="8" t="s">
        <v>1</v>
      </c>
      <c r="I32" s="7" t="s">
        <v>0</v>
      </c>
      <c r="J32" s="4"/>
      <c r="K32" s="8" t="s">
        <v>7</v>
      </c>
      <c r="L32" s="8"/>
      <c r="M32" s="5" t="s">
        <v>6</v>
      </c>
      <c r="N32" s="5"/>
      <c r="O32" s="5"/>
      <c r="P32" s="5"/>
      <c r="Q32" s="10"/>
    </row>
    <row r="33" spans="1:16" s="3" customFormat="1" ht="45" customHeight="1">
      <c r="A33" s="8" t="s">
        <v>5</v>
      </c>
      <c r="B33" s="8"/>
      <c r="C33" s="6" t="s">
        <v>4</v>
      </c>
      <c r="D33" s="6" t="s">
        <v>4</v>
      </c>
      <c r="E33" s="6" t="s">
        <v>4</v>
      </c>
      <c r="F33" s="4"/>
      <c r="G33" s="8" t="s">
        <v>3</v>
      </c>
      <c r="H33" s="8" t="s">
        <v>1</v>
      </c>
      <c r="I33" s="7" t="s">
        <v>0</v>
      </c>
      <c r="J33" s="9"/>
      <c r="K33" s="8"/>
      <c r="L33" s="8"/>
      <c r="M33" s="5"/>
      <c r="N33" s="5"/>
      <c r="O33" s="5"/>
      <c r="P33" s="5"/>
    </row>
    <row r="34" spans="1:16" s="3" customFormat="1" ht="45" customHeight="1">
      <c r="A34" s="8"/>
      <c r="B34" s="8"/>
      <c r="C34" s="4"/>
      <c r="D34" s="6"/>
      <c r="E34" s="6"/>
      <c r="F34" s="4"/>
      <c r="G34" s="8" t="s">
        <v>2</v>
      </c>
      <c r="H34" s="8" t="s">
        <v>1</v>
      </c>
      <c r="I34" s="7" t="s">
        <v>0</v>
      </c>
      <c r="J34" s="4"/>
      <c r="K34" s="8"/>
      <c r="L34" s="8"/>
      <c r="M34" s="5"/>
      <c r="N34" s="5"/>
      <c r="O34" s="5"/>
      <c r="P34" s="5"/>
    </row>
    <row r="35" spans="1:16" s="3" customFormat="1" ht="45" customHeight="1">
      <c r="A35" s="8"/>
      <c r="B35" s="8"/>
      <c r="C35" s="4"/>
      <c r="D35" s="6"/>
      <c r="E35" s="6"/>
      <c r="F35" s="4"/>
      <c r="G35" s="8"/>
      <c r="H35" s="8"/>
      <c r="I35" s="7"/>
      <c r="J35" s="4"/>
      <c r="K35" s="4"/>
      <c r="L35" s="4"/>
      <c r="M35" s="4"/>
      <c r="N35" s="4"/>
      <c r="O35" s="4"/>
      <c r="P35" s="4"/>
    </row>
    <row r="36" spans="1:16" s="3" customFormat="1" ht="29.25" customHeight="1">
      <c r="A36" s="4"/>
      <c r="B36" s="4"/>
      <c r="C36" s="4"/>
      <c r="D36" s="4"/>
      <c r="E36" s="4"/>
      <c r="F36" s="4"/>
      <c r="G36" s="6"/>
      <c r="H36" s="5"/>
      <c r="I36" s="5"/>
      <c r="J36" s="4"/>
      <c r="K36" s="4"/>
      <c r="L36" s="4"/>
      <c r="M36" s="4"/>
      <c r="N36" s="4"/>
      <c r="O36" s="4"/>
      <c r="P36" s="4"/>
    </row>
  </sheetData>
  <dataConsolidate/>
  <mergeCells count="42">
    <mergeCell ref="G35:H35"/>
    <mergeCell ref="A33:B33"/>
    <mergeCell ref="G33:H33"/>
    <mergeCell ref="K33:L33"/>
    <mergeCell ref="M33:P33"/>
    <mergeCell ref="H36:I36"/>
    <mergeCell ref="A34:B34"/>
    <mergeCell ref="G34:H34"/>
    <mergeCell ref="K34:L34"/>
    <mergeCell ref="M34:P34"/>
    <mergeCell ref="A35:B35"/>
    <mergeCell ref="M23:M24"/>
    <mergeCell ref="N23:N24"/>
    <mergeCell ref="O23:O24"/>
    <mergeCell ref="A32:B32"/>
    <mergeCell ref="G32:H32"/>
    <mergeCell ref="K32:L32"/>
    <mergeCell ref="M32:P32"/>
    <mergeCell ref="P23:P24"/>
    <mergeCell ref="A29:B29"/>
    <mergeCell ref="G29:H29"/>
    <mergeCell ref="A31:B31"/>
    <mergeCell ref="G31:H31"/>
    <mergeCell ref="K31:L31"/>
    <mergeCell ref="M31:P31"/>
    <mergeCell ref="J23:J24"/>
    <mergeCell ref="K23:K24"/>
    <mergeCell ref="L23:L24"/>
    <mergeCell ref="A7:H7"/>
    <mergeCell ref="I7:P7"/>
    <mergeCell ref="A10:H10"/>
    <mergeCell ref="I10:P10"/>
    <mergeCell ref="A16:B16"/>
    <mergeCell ref="D16:D17"/>
    <mergeCell ref="E16:E17"/>
    <mergeCell ref="J16:J17"/>
    <mergeCell ref="E2:L2"/>
    <mergeCell ref="O2:P2"/>
    <mergeCell ref="E3:K3"/>
    <mergeCell ref="O3:P3"/>
    <mergeCell ref="A5:H5"/>
    <mergeCell ref="I5:P5"/>
  </mergeCells>
  <dataValidations count="6">
    <dataValidation type="list" allowBlank="1" showInputMessage="1" showErrorMessage="1" sqref="B25:C25" xr:uid="{20C36947-B1B4-458B-B1AC-CE4D821CB2CA}">
      <formula1>"BOX,BUNDLE SIZE,PALLET SIZE"</formula1>
    </dataValidation>
    <dataValidation type="list" allowBlank="1" showInputMessage="1" showErrorMessage="1" sqref="B26:C26" xr:uid="{25839962-F553-4009-AD2A-7A0E5CF643BA}">
      <formula1>"BUNDLE SIZE,PALLET SIZE"</formula1>
    </dataValidation>
    <dataValidation type="list" allowBlank="1" showInputMessage="1" showErrorMessage="1" sqref="B24:C24" xr:uid="{3D01DD31-64E8-4FBF-AE8F-A28A7A64CDB0}">
      <formula1>"BOX,BUNDLE CONSISTS OF,PALLET CONSISTS OF"</formula1>
    </dataValidation>
    <dataValidation type="list" allowBlank="1" showInputMessage="1" showErrorMessage="1" sqref="B23:C23" xr:uid="{E6C02573-D005-465D-9C75-DE037870760C}">
      <formula1>"BOX,BUNDLE,WOODEN PALLET,PLASTIC PALLET_big,PLASTIC PALLET_small"</formula1>
    </dataValidation>
    <dataValidation type="list" allowBlank="1" showInputMessage="1" showErrorMessage="1" sqref="F24" xr:uid="{A715AF82-A23A-4209-B550-B225362EFB63}">
      <formula1>"BOXES,BOXES           _50,BOXES           _100"</formula1>
    </dataValidation>
    <dataValidation type="list" allowBlank="1" showInputMessage="1" showErrorMessage="1" sqref="F12" xr:uid="{C571385E-9435-4DEC-A04F-A90F319E4312}">
      <formula1>"NIPPON"</formula1>
    </dataValidation>
  </dataValidations>
  <printOptions horizontalCentered="1"/>
  <pageMargins left="0" right="0" top="0" bottom="0.74803149606299202" header="0.31496062992126" footer="0.31496062992126"/>
  <pageSetup paperSize="9"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IV G-26-1098 </vt:lpstr>
      <vt:lpstr>G-26-1098</vt:lpstr>
      <vt:lpstr>'G-26-1098'!Print_Area</vt:lpstr>
      <vt:lpstr>'IV G-26-1098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phuong/0633227/Ngo　Phuong</dc:creator>
  <cp:lastModifiedBy>ngo phuong/0633227/Ngo　Phuong</cp:lastModifiedBy>
  <dcterms:created xsi:type="dcterms:W3CDTF">2026-10-22T06:45:58Z</dcterms:created>
  <dcterms:modified xsi:type="dcterms:W3CDTF">2026-10-22T06:49:58Z</dcterms:modified>
</cp:coreProperties>
</file>